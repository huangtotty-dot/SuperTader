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总类目排名" sheetId="1" state="visible" r:id="rId1"/>
    <sheet xmlns:r="http://schemas.openxmlformats.org/officeDocument/2006/relationships" name="2-总细分排名" sheetId="2" state="visible" r:id="rId2"/>
    <sheet xmlns:r="http://schemas.openxmlformats.org/officeDocument/2006/relationships" name="3-TOP5" sheetId="3" state="visible" r:id="rId3"/>
    <sheet xmlns:r="http://schemas.openxmlformats.org/officeDocument/2006/relationships" name="PCB" sheetId="4" state="visible" r:id="rId4"/>
    <sheet xmlns:r="http://schemas.openxmlformats.org/officeDocument/2006/relationships" name="光通信-CPO" sheetId="5" state="visible" r:id="rId5"/>
    <sheet xmlns:r="http://schemas.openxmlformats.org/officeDocument/2006/relationships" name="半导体" sheetId="6" state="visible" r:id="rId6"/>
    <sheet xmlns:r="http://schemas.openxmlformats.org/officeDocument/2006/relationships" name="电池" sheetId="7" state="visible" r:id="rId7"/>
    <sheet xmlns:r="http://schemas.openxmlformats.org/officeDocument/2006/relationships" name="算力租赁" sheetId="8" state="visible" r:id="rId8"/>
    <sheet xmlns:r="http://schemas.openxmlformats.org/officeDocument/2006/relationships" name="算力金属" sheetId="9" state="visible" r:id="rId9"/>
    <sheet xmlns:r="http://schemas.openxmlformats.org/officeDocument/2006/relationships" name="人形机器人" sheetId="10" state="visible" r:id="rId10"/>
    <sheet xmlns:r="http://schemas.openxmlformats.org/officeDocument/2006/relationships" name="AI电力出海" sheetId="11" state="visible" r:id="rId11"/>
    <sheet xmlns:r="http://schemas.openxmlformats.org/officeDocument/2006/relationships" name="商业航天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/>
  </fonts>
  <fills count="6">
    <fill>
      <patternFill/>
    </fill>
    <fill>
      <patternFill patternType="gray125"/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5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排名</t>
        </is>
      </c>
      <c r="B1" s="5" t="inlineStr">
        <is>
          <t>一级标签</t>
        </is>
      </c>
      <c r="C1" s="5" t="inlineStr">
        <is>
          <t>细分数量</t>
        </is>
      </c>
      <c r="D1" s="5" t="inlineStr">
        <is>
          <t>总成分股数</t>
        </is>
      </c>
      <c r="E1" s="5" t="inlineStr">
        <is>
          <t>平均分</t>
        </is>
      </c>
      <c r="F1" s="5" t="inlineStr">
        <is>
          <t>最高分</t>
        </is>
      </c>
      <c r="G1" s="5" t="inlineStr">
        <is>
          <t>平均涨幅</t>
        </is>
      </c>
      <c r="H1" s="5" t="inlineStr">
        <is>
          <t>涨停数</t>
        </is>
      </c>
      <c r="I1" s="5" t="inlineStr">
        <is>
          <t>平均成交亿</t>
        </is>
      </c>
      <c r="J1" s="5" t="inlineStr">
        <is>
          <t>最强细分</t>
        </is>
      </c>
      <c r="K1" s="5" t="inlineStr">
        <is>
          <t>最强细分得分</t>
        </is>
      </c>
      <c r="L1" s="5" t="inlineStr">
        <is>
          <t>前三名</t>
        </is>
      </c>
    </row>
    <row r="2">
      <c r="A2" t="n">
        <v>1</v>
      </c>
      <c r="B2" t="inlineStr">
        <is>
          <t>PCB</t>
        </is>
      </c>
      <c r="C2" t="n">
        <v>39</v>
      </c>
      <c r="D2" t="n">
        <v>71</v>
      </c>
      <c r="E2" t="n">
        <v>13.19</v>
      </c>
      <c r="F2" t="n">
        <v>31</v>
      </c>
      <c r="G2" t="n">
        <v>4.08</v>
      </c>
      <c r="H2" t="n">
        <v>31</v>
      </c>
      <c r="I2" t="n">
        <v>0.05</v>
      </c>
      <c r="J2" t="inlineStr">
        <is>
          <t>陶瓷粉体</t>
        </is>
      </c>
      <c r="K2" t="n">
        <v>25</v>
      </c>
      <c r="L2" t="inlineStr">
        <is>
          <t>1.诺德股份(600110)-31分 | 2.诺德股份(600110)-31分 | 3.诺德股份(600110)-31分</t>
        </is>
      </c>
    </row>
    <row r="3">
      <c r="A3" t="n">
        <v>2</v>
      </c>
      <c r="B3" t="inlineStr">
        <is>
          <t>光通信/CPO</t>
        </is>
      </c>
      <c r="C3" t="n">
        <v>14</v>
      </c>
      <c r="D3" t="n">
        <v>25</v>
      </c>
      <c r="E3" t="n">
        <v>8.039999999999999</v>
      </c>
      <c r="F3" t="n">
        <v>22</v>
      </c>
      <c r="G3" t="n">
        <v>1.92</v>
      </c>
      <c r="H3" t="n">
        <v>1</v>
      </c>
      <c r="I3" t="n">
        <v>0.03</v>
      </c>
      <c r="J3" t="inlineStr">
        <is>
          <t>光纤光缆</t>
        </is>
      </c>
      <c r="K3" t="n">
        <v>22</v>
      </c>
      <c r="L3" t="inlineStr">
        <is>
          <t>1.泰晶科技(603738)-22分 | 2.永鼎股份(600105)-22分 | 3.烽火通信(600498)-19分</t>
        </is>
      </c>
    </row>
    <row r="4">
      <c r="A4" t="n">
        <v>3</v>
      </c>
      <c r="B4" t="inlineStr">
        <is>
          <t>半导体</t>
        </is>
      </c>
      <c r="C4" t="n">
        <v>105</v>
      </c>
      <c r="D4" t="n">
        <v>242</v>
      </c>
      <c r="E4" t="n">
        <v>6.62</v>
      </c>
      <c r="F4" t="n">
        <v>31</v>
      </c>
      <c r="G4" t="n">
        <v>3.25</v>
      </c>
      <c r="H4" t="n">
        <v>51</v>
      </c>
      <c r="I4" t="n">
        <v>0.06</v>
      </c>
      <c r="J4" t="inlineStr">
        <is>
          <t>芯片封装玻璃</t>
        </is>
      </c>
      <c r="K4" t="n">
        <v>31</v>
      </c>
      <c r="L4" t="inlineStr">
        <is>
          <t>1.旗滨集团(601636)-31分 | 2.中巨芯-U(688549)-30分 | 3.华正新材(603186)-30分</t>
        </is>
      </c>
    </row>
    <row r="5">
      <c r="A5" t="n">
        <v>4</v>
      </c>
      <c r="B5" t="inlineStr">
        <is>
          <t>电池</t>
        </is>
      </c>
      <c r="C5" t="n">
        <v>80</v>
      </c>
      <c r="D5" t="n">
        <v>163</v>
      </c>
      <c r="E5" t="n">
        <v>3.44</v>
      </c>
      <c r="F5" t="n">
        <v>30</v>
      </c>
      <c r="G5" t="n">
        <v>0.52</v>
      </c>
      <c r="H5" t="n">
        <v>11</v>
      </c>
      <c r="I5" t="n">
        <v>0.02</v>
      </c>
      <c r="J5" t="inlineStr">
        <is>
          <t>硫化锂</t>
        </is>
      </c>
      <c r="K5" t="n">
        <v>22</v>
      </c>
      <c r="L5" t="inlineStr">
        <is>
          <t>1.中材科技(002080)-30分 | 2.中材科技(002080)-30分 | 3.金博股份(688598)-25分</t>
        </is>
      </c>
    </row>
    <row r="6">
      <c r="A6" t="n">
        <v>5</v>
      </c>
      <c r="B6" t="inlineStr">
        <is>
          <t>算力租赁</t>
        </is>
      </c>
      <c r="C6" t="n">
        <v>1</v>
      </c>
      <c r="D6" t="n">
        <v>47</v>
      </c>
      <c r="E6" t="n">
        <v>2.81</v>
      </c>
      <c r="F6" t="n">
        <v>30</v>
      </c>
      <c r="G6" t="n">
        <v>1.15</v>
      </c>
      <c r="H6" t="n">
        <v>4</v>
      </c>
      <c r="I6" t="n">
        <v>0.01</v>
      </c>
      <c r="J6" t="inlineStr">
        <is>
          <t>算力租赁</t>
        </is>
      </c>
      <c r="K6" t="n">
        <v>2.86</v>
      </c>
      <c r="L6" t="inlineStr">
        <is>
          <t>1.莲花控股(600186)-30分 | 2.长信科技(300088)-30分 | 3.贵广网络(600996)-11分</t>
        </is>
      </c>
    </row>
    <row r="7">
      <c r="A7" t="n">
        <v>6</v>
      </c>
      <c r="B7" t="inlineStr">
        <is>
          <t>算力金属</t>
        </is>
      </c>
      <c r="C7" t="n">
        <v>16</v>
      </c>
      <c r="D7" t="n">
        <v>37</v>
      </c>
      <c r="E7" t="n">
        <v>2.65</v>
      </c>
      <c r="F7" t="n">
        <v>30</v>
      </c>
      <c r="G7" t="n">
        <v>-1.18</v>
      </c>
      <c r="H7" t="n">
        <v>1</v>
      </c>
      <c r="I7" t="n">
        <v>0.01</v>
      </c>
      <c r="J7" t="inlineStr">
        <is>
          <t>钽</t>
        </is>
      </c>
      <c r="K7" t="n">
        <v>15</v>
      </c>
      <c r="L7" t="inlineStr">
        <is>
          <t>1.江钨装备(600397)-30分 | 2.盛龙股份(001257)-9分 | 3.高能环境(603588)-8分</t>
        </is>
      </c>
    </row>
    <row r="8">
      <c r="A8" t="n">
        <v>7</v>
      </c>
      <c r="B8" t="inlineStr">
        <is>
          <t>人形机器人</t>
        </is>
      </c>
      <c r="C8" t="n">
        <v>15</v>
      </c>
      <c r="D8" t="n">
        <v>97</v>
      </c>
      <c r="E8" t="n">
        <v>1.48</v>
      </c>
      <c r="F8" t="n">
        <v>22</v>
      </c>
      <c r="G8" t="n">
        <v>-1.06</v>
      </c>
      <c r="H8" t="n">
        <v>1</v>
      </c>
      <c r="I8" t="n">
        <v>0.02</v>
      </c>
      <c r="J8" t="inlineStr">
        <is>
          <t>加工刀具</t>
        </is>
      </c>
      <c r="K8" t="n">
        <v>11</v>
      </c>
      <c r="L8" t="inlineStr">
        <is>
          <t>1.敏芯股份(688286)-22分 | 2.恒锋工具(300488)-22分 | 3.芯动联科(688582)-19分</t>
        </is>
      </c>
    </row>
    <row r="9">
      <c r="A9" t="n">
        <v>8</v>
      </c>
      <c r="B9" t="inlineStr">
        <is>
          <t>AI电力出海</t>
        </is>
      </c>
      <c r="C9" t="n">
        <v>6</v>
      </c>
      <c r="D9" t="n">
        <v>44</v>
      </c>
      <c r="E9" t="n">
        <v>1.39</v>
      </c>
      <c r="F9" t="n">
        <v>20</v>
      </c>
      <c r="G9" t="n">
        <v>-0.2</v>
      </c>
      <c r="H9" t="n">
        <v>1</v>
      </c>
      <c r="I9" t="n">
        <v>0.04</v>
      </c>
      <c r="J9" t="inlineStr">
        <is>
          <t>AIDC</t>
        </is>
      </c>
      <c r="K9" t="n">
        <v>6.67</v>
      </c>
      <c r="L9" t="inlineStr">
        <is>
          <t>1.冰轮环境(000811)-20分 | 2.飞沃科技(301232)-5分 | 3.京泉华(002885)-3分</t>
        </is>
      </c>
    </row>
    <row r="10">
      <c r="A10" t="n">
        <v>9</v>
      </c>
      <c r="B10" t="inlineStr">
        <is>
          <t>商业航天</t>
        </is>
      </c>
      <c r="C10" t="n">
        <v>33</v>
      </c>
      <c r="D10" t="n">
        <v>66</v>
      </c>
      <c r="E10" t="n">
        <v>1.38</v>
      </c>
      <c r="F10" t="n">
        <v>22</v>
      </c>
      <c r="G10" t="n">
        <v>0.99</v>
      </c>
      <c r="H10" t="n">
        <v>4</v>
      </c>
      <c r="I10" t="n">
        <v>0.04</v>
      </c>
      <c r="J10" t="inlineStr">
        <is>
          <t>测试</t>
        </is>
      </c>
      <c r="K10" t="n">
        <v>11</v>
      </c>
      <c r="L10" t="inlineStr">
        <is>
          <t>1.西测测试(301306)-22分 | 2.上海瀚讯(300762)-8分 | 3.信科移动-U(688387)-8分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0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排名</t>
        </is>
      </c>
      <c r="B1" s="5" t="inlineStr">
        <is>
          <t>分层</t>
        </is>
      </c>
      <c r="C1" s="5" t="inlineStr">
        <is>
          <t>一级标签</t>
        </is>
      </c>
      <c r="D1" s="5" t="inlineStr">
        <is>
          <t>概念</t>
        </is>
      </c>
      <c r="E1" s="5" t="inlineStr">
        <is>
          <t>成分股数</t>
        </is>
      </c>
      <c r="F1" s="5" t="inlineStr">
        <is>
          <t>平均分</t>
        </is>
      </c>
      <c r="G1" s="5" t="inlineStr">
        <is>
          <t>最高分</t>
        </is>
      </c>
      <c r="H1" s="5" t="inlineStr">
        <is>
          <t>平均涨幅</t>
        </is>
      </c>
      <c r="I1" s="5" t="inlineStr">
        <is>
          <t>涨停数</t>
        </is>
      </c>
      <c r="J1" s="5" t="inlineStr">
        <is>
          <t>平均成交亿</t>
        </is>
      </c>
      <c r="K1" s="5" t="inlineStr">
        <is>
          <t>一梯队</t>
        </is>
      </c>
      <c r="L1" s="5" t="inlineStr">
        <is>
          <t>二梯队</t>
        </is>
      </c>
      <c r="M1" s="5" t="inlineStr">
        <is>
          <t>三梯队</t>
        </is>
      </c>
      <c r="N1" s="5" t="inlineStr">
        <is>
          <t>四梯队</t>
        </is>
      </c>
      <c r="O1" s="5" t="inlineStr">
        <is>
          <t>最强股</t>
        </is>
      </c>
      <c r="P1" s="5" t="inlineStr">
        <is>
          <t>最强股得分</t>
        </is>
      </c>
      <c r="Q1" s="5" t="inlineStr">
        <is>
          <t>前三名</t>
        </is>
      </c>
    </row>
    <row r="2">
      <c r="A2" t="n">
        <v>1</v>
      </c>
      <c r="B2" t="inlineStr">
        <is>
          <t>1-核心主线</t>
        </is>
      </c>
      <c r="C2" t="inlineStr">
        <is>
          <t>半导体</t>
        </is>
      </c>
      <c r="D2" t="inlineStr">
        <is>
          <t>芯片封装玻璃</t>
        </is>
      </c>
      <c r="E2" t="n">
        <v>1</v>
      </c>
      <c r="F2" t="n">
        <v>31</v>
      </c>
      <c r="G2" t="n">
        <v>31</v>
      </c>
      <c r="H2" t="n">
        <v>10.03</v>
      </c>
      <c r="I2" t="n">
        <v>1</v>
      </c>
      <c r="J2" t="n">
        <v>0.01</v>
      </c>
      <c r="K2" t="n">
        <v>0</v>
      </c>
      <c r="L2" t="n">
        <v>1</v>
      </c>
      <c r="M2" t="n">
        <v>0</v>
      </c>
      <c r="N2" t="n">
        <v>0</v>
      </c>
      <c r="O2" t="inlineStr">
        <is>
          <t>旗滨集团</t>
        </is>
      </c>
      <c r="P2" t="n">
        <v>31</v>
      </c>
      <c r="Q2" t="inlineStr">
        <is>
          <t>1.旗滨集团(601636)-31分</t>
        </is>
      </c>
    </row>
    <row r="3">
      <c r="A3" t="n">
        <v>2</v>
      </c>
      <c r="B3" t="inlineStr">
        <is>
          <t>1-核心主线</t>
        </is>
      </c>
      <c r="C3" t="inlineStr">
        <is>
          <t>半导体</t>
        </is>
      </c>
      <c r="D3" t="inlineStr">
        <is>
          <t>高硼硅玻璃</t>
        </is>
      </c>
      <c r="E3" t="n">
        <v>1</v>
      </c>
      <c r="F3" t="n">
        <v>25</v>
      </c>
      <c r="G3" t="n">
        <v>25</v>
      </c>
      <c r="H3" t="n">
        <v>13.44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inlineStr">
        <is>
          <t>力诺药包</t>
        </is>
      </c>
      <c r="P3" t="n">
        <v>25</v>
      </c>
      <c r="Q3" t="inlineStr">
        <is>
          <t>1.力诺药包(301188)-25分</t>
        </is>
      </c>
    </row>
    <row r="4">
      <c r="A4" t="n">
        <v>3</v>
      </c>
      <c r="B4" t="inlineStr">
        <is>
          <t>1-核心主线</t>
        </is>
      </c>
      <c r="C4" t="inlineStr">
        <is>
          <t>PCB</t>
        </is>
      </c>
      <c r="D4" t="inlineStr">
        <is>
          <t>陶瓷粉体</t>
        </is>
      </c>
      <c r="E4" t="n">
        <v>1</v>
      </c>
      <c r="F4" t="n">
        <v>25</v>
      </c>
      <c r="G4" t="n">
        <v>25</v>
      </c>
      <c r="H4" t="n">
        <v>16.42</v>
      </c>
      <c r="I4" t="n">
        <v>1</v>
      </c>
      <c r="J4" t="n">
        <v>0.02</v>
      </c>
      <c r="K4" t="n">
        <v>0</v>
      </c>
      <c r="L4" t="n">
        <v>1</v>
      </c>
      <c r="M4" t="n">
        <v>0</v>
      </c>
      <c r="N4" t="n">
        <v>0</v>
      </c>
      <c r="O4" t="inlineStr">
        <is>
          <t>国瓷材料</t>
        </is>
      </c>
      <c r="P4" t="n">
        <v>25</v>
      </c>
      <c r="Q4" t="inlineStr">
        <is>
          <t>1.国瓷材料(300285)-25分</t>
        </is>
      </c>
    </row>
    <row r="5">
      <c r="A5" t="n">
        <v>4</v>
      </c>
      <c r="B5" t="inlineStr">
        <is>
          <t>1-核心主线</t>
        </is>
      </c>
      <c r="C5" t="inlineStr">
        <is>
          <t>半导体</t>
        </is>
      </c>
      <c r="D5" t="inlineStr">
        <is>
          <t>硼硅玻璃生产企业</t>
        </is>
      </c>
      <c r="E5" t="n">
        <v>1</v>
      </c>
      <c r="F5" t="n">
        <v>25</v>
      </c>
      <c r="G5" t="n">
        <v>25</v>
      </c>
      <c r="H5" t="n">
        <v>13.44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inlineStr">
        <is>
          <t>力诺药包</t>
        </is>
      </c>
      <c r="P5" t="n">
        <v>25</v>
      </c>
      <c r="Q5" t="inlineStr">
        <is>
          <t>1.力诺药包(301188)-25分</t>
        </is>
      </c>
    </row>
    <row r="6">
      <c r="A6" t="n">
        <v>5</v>
      </c>
      <c r="B6" t="inlineStr">
        <is>
          <t>2-积极关注</t>
        </is>
      </c>
      <c r="C6" t="inlineStr">
        <is>
          <t>半导体</t>
        </is>
      </c>
      <c r="D6" t="inlineStr">
        <is>
          <t>芯片用玻璃基板</t>
        </is>
      </c>
      <c r="E6" t="n">
        <v>1</v>
      </c>
      <c r="F6" t="n">
        <v>24</v>
      </c>
      <c r="G6" t="n">
        <v>24</v>
      </c>
      <c r="H6" t="n">
        <v>10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inlineStr">
        <is>
          <t>沃格光电</t>
        </is>
      </c>
      <c r="P6" t="n">
        <v>24</v>
      </c>
      <c r="Q6" t="inlineStr">
        <is>
          <t>1.沃格光电(603773)-24分</t>
        </is>
      </c>
    </row>
    <row r="7">
      <c r="A7" t="n">
        <v>6</v>
      </c>
      <c r="B7" t="inlineStr">
        <is>
          <t>2-积极关注</t>
        </is>
      </c>
      <c r="C7" t="inlineStr">
        <is>
          <t>电池</t>
        </is>
      </c>
      <c r="D7" t="inlineStr">
        <is>
          <t>硫化锂</t>
        </is>
      </c>
      <c r="E7" t="n">
        <v>1</v>
      </c>
      <c r="F7" t="n">
        <v>22</v>
      </c>
      <c r="G7" t="n">
        <v>22</v>
      </c>
      <c r="H7" t="n">
        <v>20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inlineStr">
        <is>
          <t>海辰药业</t>
        </is>
      </c>
      <c r="P7" t="n">
        <v>22</v>
      </c>
      <c r="Q7" t="inlineStr">
        <is>
          <t>1.海辰药业(300584)-22分</t>
        </is>
      </c>
    </row>
    <row r="8">
      <c r="A8" t="n">
        <v>7</v>
      </c>
      <c r="B8" t="inlineStr">
        <is>
          <t>2-积极关注</t>
        </is>
      </c>
      <c r="C8" t="inlineStr">
        <is>
          <t>半导体</t>
        </is>
      </c>
      <c r="D8" t="inlineStr">
        <is>
          <t>TSV电镀</t>
        </is>
      </c>
      <c r="E8" t="n">
        <v>1</v>
      </c>
      <c r="F8" t="n">
        <v>22</v>
      </c>
      <c r="G8" t="n">
        <v>22</v>
      </c>
      <c r="H8" t="n">
        <v>20</v>
      </c>
      <c r="I8" t="n">
        <v>1</v>
      </c>
      <c r="J8" t="n">
        <v>0.12</v>
      </c>
      <c r="K8" t="n">
        <v>0</v>
      </c>
      <c r="L8" t="n">
        <v>1</v>
      </c>
      <c r="M8" t="n">
        <v>0</v>
      </c>
      <c r="N8" t="n">
        <v>0</v>
      </c>
      <c r="O8" t="inlineStr">
        <is>
          <t>盛美上海</t>
        </is>
      </c>
      <c r="P8" t="n">
        <v>22</v>
      </c>
      <c r="Q8" t="inlineStr">
        <is>
          <t>1.盛美上海(688082)-22分</t>
        </is>
      </c>
    </row>
    <row r="9">
      <c r="A9" t="n">
        <v>8</v>
      </c>
      <c r="B9" t="inlineStr">
        <is>
          <t>2-积极关注</t>
        </is>
      </c>
      <c r="C9" t="inlineStr">
        <is>
          <t>半导体</t>
        </is>
      </c>
      <c r="D9" t="inlineStr">
        <is>
          <t>TGV工艺标准</t>
        </is>
      </c>
      <c r="E9" t="n">
        <v>1</v>
      </c>
      <c r="F9" t="n">
        <v>22</v>
      </c>
      <c r="G9" t="n">
        <v>22</v>
      </c>
      <c r="H9" t="n">
        <v>5.92</v>
      </c>
      <c r="I9" t="n">
        <v>0</v>
      </c>
      <c r="J9" t="n">
        <v>0.02</v>
      </c>
      <c r="K9" t="n">
        <v>0</v>
      </c>
      <c r="L9" t="n">
        <v>1</v>
      </c>
      <c r="M9" t="n">
        <v>0</v>
      </c>
      <c r="N9" t="n">
        <v>0</v>
      </c>
      <c r="O9" t="inlineStr">
        <is>
          <t>蓝思科技</t>
        </is>
      </c>
      <c r="P9" t="n">
        <v>22</v>
      </c>
      <c r="Q9" t="inlineStr">
        <is>
          <t>1.蓝思科技(300433)-22分</t>
        </is>
      </c>
    </row>
    <row r="10">
      <c r="A10" t="n">
        <v>9</v>
      </c>
      <c r="B10" t="inlineStr">
        <is>
          <t>2-积极关注</t>
        </is>
      </c>
      <c r="C10" t="inlineStr">
        <is>
          <t>半导体</t>
        </is>
      </c>
      <c r="D10" t="inlineStr">
        <is>
          <t>玻璃基板工艺</t>
        </is>
      </c>
      <c r="E10" t="n">
        <v>1</v>
      </c>
      <c r="F10" t="n">
        <v>22</v>
      </c>
      <c r="G10" t="n">
        <v>22</v>
      </c>
      <c r="H10" t="n">
        <v>8.390000000000001</v>
      </c>
      <c r="I10" t="n">
        <v>0</v>
      </c>
      <c r="J10" t="n">
        <v>0.03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兴森科技</t>
        </is>
      </c>
      <c r="P10" t="n">
        <v>22</v>
      </c>
      <c r="Q10" t="inlineStr">
        <is>
          <t>1.兴森科技(002436)-22分</t>
        </is>
      </c>
    </row>
    <row r="11">
      <c r="A11" t="n">
        <v>10</v>
      </c>
      <c r="B11" t="inlineStr">
        <is>
          <t>2-积极关注</t>
        </is>
      </c>
      <c r="C11" t="inlineStr">
        <is>
          <t>半导体</t>
        </is>
      </c>
      <c r="D11" t="inlineStr">
        <is>
          <t>半导体玻璃基板激光打孔</t>
        </is>
      </c>
      <c r="E11" t="n">
        <v>1</v>
      </c>
      <c r="F11" t="n">
        <v>22</v>
      </c>
      <c r="G11" t="n">
        <v>22</v>
      </c>
      <c r="H11" t="n">
        <v>9.33</v>
      </c>
      <c r="I11" t="n">
        <v>0</v>
      </c>
      <c r="J11" t="n">
        <v>0.01</v>
      </c>
      <c r="K11" t="n">
        <v>0</v>
      </c>
      <c r="L11" t="n">
        <v>1</v>
      </c>
      <c r="M11" t="n">
        <v>0</v>
      </c>
      <c r="N11" t="n">
        <v>0</v>
      </c>
      <c r="O11" t="inlineStr">
        <is>
          <t>麦格米特</t>
        </is>
      </c>
      <c r="P11" t="n">
        <v>22</v>
      </c>
      <c r="Q11" t="inlineStr">
        <is>
          <t>1.麦格米特(002851)-22分</t>
        </is>
      </c>
    </row>
    <row r="12">
      <c r="A12" t="n">
        <v>11</v>
      </c>
      <c r="B12" t="inlineStr">
        <is>
          <t>2-积极关注</t>
        </is>
      </c>
      <c r="C12" t="inlineStr">
        <is>
          <t>光通信/CPO</t>
        </is>
      </c>
      <c r="D12" t="inlineStr">
        <is>
          <t>光纤光缆</t>
        </is>
      </c>
      <c r="E12" t="n">
        <v>1</v>
      </c>
      <c r="F12" t="n">
        <v>22</v>
      </c>
      <c r="G12" t="n">
        <v>22</v>
      </c>
      <c r="H12" t="n">
        <v>7.15</v>
      </c>
      <c r="I12" t="n">
        <v>0</v>
      </c>
      <c r="J12" t="n">
        <v>0.02</v>
      </c>
      <c r="K12" t="n">
        <v>0</v>
      </c>
      <c r="L12" t="n">
        <v>1</v>
      </c>
      <c r="M12" t="n">
        <v>0</v>
      </c>
      <c r="N12" t="n">
        <v>0</v>
      </c>
      <c r="O12" t="inlineStr">
        <is>
          <t>永鼎股份</t>
        </is>
      </c>
      <c r="P12" t="n">
        <v>22</v>
      </c>
      <c r="Q12" t="inlineStr">
        <is>
          <t>1.永鼎股份(600105)-22分</t>
        </is>
      </c>
    </row>
    <row r="13">
      <c r="A13" t="n">
        <v>12</v>
      </c>
      <c r="B13" t="inlineStr">
        <is>
          <t>3-跟踪观察</t>
        </is>
      </c>
      <c r="C13" t="inlineStr">
        <is>
          <t>半导体</t>
        </is>
      </c>
      <c r="D13" t="inlineStr">
        <is>
          <t>TGV玻璃技术</t>
        </is>
      </c>
      <c r="E13" t="n">
        <v>1</v>
      </c>
      <c r="F13" t="n">
        <v>19</v>
      </c>
      <c r="G13" t="n">
        <v>19</v>
      </c>
      <c r="H13" t="n">
        <v>9.98</v>
      </c>
      <c r="I13" t="n">
        <v>1</v>
      </c>
      <c r="J13" t="n">
        <v>0.01</v>
      </c>
      <c r="K13" t="n">
        <v>0</v>
      </c>
      <c r="L13" t="n">
        <v>1</v>
      </c>
      <c r="M13" t="n">
        <v>0</v>
      </c>
      <c r="N13" t="n">
        <v>0</v>
      </c>
      <c r="O13" t="inlineStr">
        <is>
          <t>凯盛科技</t>
        </is>
      </c>
      <c r="P13" t="n">
        <v>19</v>
      </c>
      <c r="Q13" t="inlineStr">
        <is>
          <t>1.凯盛科技(600552)-19分</t>
        </is>
      </c>
    </row>
    <row r="14">
      <c r="A14" t="n">
        <v>13</v>
      </c>
      <c r="B14" t="inlineStr">
        <is>
          <t>3-跟踪观察</t>
        </is>
      </c>
      <c r="C14" t="inlineStr">
        <is>
          <t>PCB</t>
        </is>
      </c>
      <c r="D14" t="inlineStr">
        <is>
          <t>覆铜板</t>
        </is>
      </c>
      <c r="E14" t="n">
        <v>8</v>
      </c>
      <c r="F14" t="n">
        <v>18.38</v>
      </c>
      <c r="G14" t="n">
        <v>30</v>
      </c>
      <c r="H14" t="n">
        <v>4.62</v>
      </c>
      <c r="I14" t="n">
        <v>4</v>
      </c>
      <c r="J14" t="n">
        <v>0.01</v>
      </c>
      <c r="K14" t="n">
        <v>4</v>
      </c>
      <c r="L14" t="n">
        <v>0</v>
      </c>
      <c r="M14" t="n">
        <v>2</v>
      </c>
      <c r="N14" t="n">
        <v>2</v>
      </c>
      <c r="O14" t="inlineStr">
        <is>
          <t>宏昌电子</t>
        </is>
      </c>
      <c r="P14" t="n">
        <v>30</v>
      </c>
      <c r="Q14" t="inlineStr">
        <is>
          <t>1.宏昌电子(603002)-30分 | 2.华正新材(603186)-30分 | 3.超声电子(000823)-25分</t>
        </is>
      </c>
    </row>
    <row r="15">
      <c r="A15" t="n">
        <v>14</v>
      </c>
      <c r="B15" t="inlineStr">
        <is>
          <t>3-跟踪观察</t>
        </is>
      </c>
      <c r="C15" t="inlineStr">
        <is>
          <t>PCB</t>
        </is>
      </c>
      <c r="D15" t="inlineStr">
        <is>
          <t>化学品</t>
        </is>
      </c>
      <c r="E15" t="n">
        <v>4</v>
      </c>
      <c r="F15" t="n">
        <v>17.75</v>
      </c>
      <c r="G15" t="n">
        <v>30</v>
      </c>
      <c r="H15" t="n">
        <v>10.91</v>
      </c>
      <c r="I15" t="n">
        <v>3</v>
      </c>
      <c r="J15" t="n">
        <v>0.06</v>
      </c>
      <c r="K15" t="n">
        <v>2</v>
      </c>
      <c r="L15" t="n">
        <v>0</v>
      </c>
      <c r="M15" t="n">
        <v>1</v>
      </c>
      <c r="N15" t="n">
        <v>1</v>
      </c>
      <c r="O15" t="inlineStr">
        <is>
          <t>宏昌电子</t>
        </is>
      </c>
      <c r="P15" t="n">
        <v>30</v>
      </c>
      <c r="Q15" t="inlineStr">
        <is>
          <t>1.宏昌电子(603002)-30分 | 2.一博科技(301366)-22分 | 3.天承科技(688603)-11分</t>
        </is>
      </c>
    </row>
    <row r="16">
      <c r="A16" t="n">
        <v>15</v>
      </c>
      <c r="B16" t="inlineStr">
        <is>
          <t>3-跟踪观察</t>
        </is>
      </c>
      <c r="C16" t="inlineStr">
        <is>
          <t>PCB</t>
        </is>
      </c>
      <c r="D16" t="inlineStr">
        <is>
          <t>硅微粉</t>
        </is>
      </c>
      <c r="E16" t="n">
        <v>7</v>
      </c>
      <c r="F16" t="n">
        <v>17.29</v>
      </c>
      <c r="G16" t="n">
        <v>25</v>
      </c>
      <c r="H16" t="n">
        <v>6.05</v>
      </c>
      <c r="I16" t="n">
        <v>2</v>
      </c>
      <c r="J16" t="n">
        <v>0.05</v>
      </c>
      <c r="K16" t="n">
        <v>3</v>
      </c>
      <c r="L16" t="n">
        <v>1</v>
      </c>
      <c r="M16" t="n">
        <v>2</v>
      </c>
      <c r="N16" t="n">
        <v>1</v>
      </c>
      <c r="O16" t="inlineStr">
        <is>
          <t>国瓷材料</t>
        </is>
      </c>
      <c r="P16" t="n">
        <v>25</v>
      </c>
      <c r="Q16" t="inlineStr">
        <is>
          <t>1.国瓷材料(300285)-25分 | 2.雅克科技(002409)-22分 | 3.联瑞新材(688300)-22分</t>
        </is>
      </c>
    </row>
    <row r="17">
      <c r="A17" t="n">
        <v>16</v>
      </c>
      <c r="B17" t="inlineStr">
        <is>
          <t>3-跟踪观察</t>
        </is>
      </c>
      <c r="C17" t="inlineStr">
        <is>
          <t>电池</t>
        </is>
      </c>
      <c r="D17" t="inlineStr">
        <is>
          <t>锗</t>
        </is>
      </c>
      <c r="E17" t="n">
        <v>1</v>
      </c>
      <c r="F17" t="n">
        <v>17</v>
      </c>
      <c r="G17" t="n">
        <v>17</v>
      </c>
      <c r="H17" t="n">
        <v>0.3</v>
      </c>
      <c r="I17" t="n">
        <v>0</v>
      </c>
      <c r="J17" t="n">
        <v>0.02</v>
      </c>
      <c r="K17" t="n">
        <v>0</v>
      </c>
      <c r="L17" t="n">
        <v>1</v>
      </c>
      <c r="M17" t="n">
        <v>0</v>
      </c>
      <c r="N17" t="n">
        <v>0</v>
      </c>
      <c r="O17" t="inlineStr">
        <is>
          <t>驰宏锌锗</t>
        </is>
      </c>
      <c r="P17" t="n">
        <v>17</v>
      </c>
      <c r="Q17" t="inlineStr">
        <is>
          <t>1.驰宏锌锗(600497)-17分</t>
        </is>
      </c>
    </row>
    <row r="18">
      <c r="A18" t="n">
        <v>17</v>
      </c>
      <c r="B18" t="inlineStr">
        <is>
          <t>3-跟踪观察</t>
        </is>
      </c>
      <c r="C18" t="inlineStr">
        <is>
          <t>电池</t>
        </is>
      </c>
      <c r="D18" t="inlineStr">
        <is>
          <t>锗原料</t>
        </is>
      </c>
      <c r="E18" t="n">
        <v>1</v>
      </c>
      <c r="F18" t="n">
        <v>17</v>
      </c>
      <c r="G18" t="n">
        <v>17</v>
      </c>
      <c r="H18" t="n">
        <v>0.3</v>
      </c>
      <c r="I18" t="n">
        <v>0</v>
      </c>
      <c r="J18" t="n">
        <v>0.02</v>
      </c>
      <c r="K18" t="n">
        <v>0</v>
      </c>
      <c r="L18" t="n">
        <v>1</v>
      </c>
      <c r="M18" t="n">
        <v>0</v>
      </c>
      <c r="N18" t="n">
        <v>0</v>
      </c>
      <c r="O18" t="inlineStr">
        <is>
          <t>驰宏锌锗</t>
        </is>
      </c>
      <c r="P18" t="n">
        <v>17</v>
      </c>
      <c r="Q18" t="inlineStr">
        <is>
          <t>1.驰宏锌锗(600497)-17分</t>
        </is>
      </c>
    </row>
    <row r="19">
      <c r="A19" t="n">
        <v>18</v>
      </c>
      <c r="B19" t="inlineStr">
        <is>
          <t>3-跟踪观察</t>
        </is>
      </c>
      <c r="C19" t="inlineStr">
        <is>
          <t>半导体</t>
        </is>
      </c>
      <c r="D19" t="inlineStr">
        <is>
          <t>泛半导体直写光刻设备</t>
        </is>
      </c>
      <c r="E19" t="n">
        <v>1</v>
      </c>
      <c r="F19" t="n">
        <v>17</v>
      </c>
      <c r="G19" t="n">
        <v>17</v>
      </c>
      <c r="H19" t="n">
        <v>2.58</v>
      </c>
      <c r="I19" t="n">
        <v>0</v>
      </c>
      <c r="J19" t="n">
        <v>0.06</v>
      </c>
      <c r="K19" t="n">
        <v>0</v>
      </c>
      <c r="L19" t="n">
        <v>1</v>
      </c>
      <c r="M19" t="n">
        <v>0</v>
      </c>
      <c r="N19" t="n">
        <v>0</v>
      </c>
      <c r="O19" t="inlineStr">
        <is>
          <t>芯基微装</t>
        </is>
      </c>
      <c r="P19" t="n">
        <v>17</v>
      </c>
      <c r="Q19" t="inlineStr">
        <is>
          <t>1.芯基微装(688630)-17分</t>
        </is>
      </c>
    </row>
    <row r="20">
      <c r="A20" t="n">
        <v>19</v>
      </c>
      <c r="B20" t="inlineStr">
        <is>
          <t>3-跟踪观察</t>
        </is>
      </c>
      <c r="C20" t="inlineStr">
        <is>
          <t>PCB</t>
        </is>
      </c>
      <c r="D20" t="inlineStr">
        <is>
          <t>PPE</t>
        </is>
      </c>
      <c r="E20" t="n">
        <v>1</v>
      </c>
      <c r="F20" t="n">
        <v>17</v>
      </c>
      <c r="G20" t="n">
        <v>17</v>
      </c>
      <c r="H20" t="n">
        <v>1.55</v>
      </c>
      <c r="I20" t="n">
        <v>0</v>
      </c>
      <c r="J20" t="n">
        <v>0.06</v>
      </c>
      <c r="K20" t="n">
        <v>0</v>
      </c>
      <c r="L20" t="n">
        <v>1</v>
      </c>
      <c r="M20" t="n">
        <v>0</v>
      </c>
      <c r="N20" t="n">
        <v>0</v>
      </c>
      <c r="O20" t="inlineStr">
        <is>
          <t>中化国际</t>
        </is>
      </c>
      <c r="P20" t="n">
        <v>17</v>
      </c>
      <c r="Q20" t="inlineStr">
        <is>
          <t>1.中化国际(600500)-17分</t>
        </is>
      </c>
    </row>
    <row r="21">
      <c r="A21" t="n">
        <v>20</v>
      </c>
      <c r="B21" t="inlineStr">
        <is>
          <t>3-跟踪观察</t>
        </is>
      </c>
      <c r="C21" t="inlineStr">
        <is>
          <t>光通信/CPO</t>
        </is>
      </c>
      <c r="D21" t="inlineStr">
        <is>
          <t>调制器</t>
        </is>
      </c>
      <c r="E21" t="n">
        <v>1</v>
      </c>
      <c r="F21" t="n">
        <v>17</v>
      </c>
      <c r="G21" t="n">
        <v>17</v>
      </c>
      <c r="H21" t="n">
        <v>0.6899999999999999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inlineStr">
        <is>
          <t>光库科技</t>
        </is>
      </c>
      <c r="P21" t="n">
        <v>17</v>
      </c>
      <c r="Q21" t="inlineStr">
        <is>
          <t>1.光库科技(300620)-17分</t>
        </is>
      </c>
    </row>
    <row r="22">
      <c r="A22" t="n">
        <v>21</v>
      </c>
      <c r="B22" t="inlineStr">
        <is>
          <t>3-跟踪观察</t>
        </is>
      </c>
      <c r="C22" t="inlineStr">
        <is>
          <t>光通信/CPO</t>
        </is>
      </c>
      <c r="D22" t="inlineStr">
        <is>
          <t>插芯</t>
        </is>
      </c>
      <c r="E22" t="n">
        <v>1</v>
      </c>
      <c r="F22" t="n">
        <v>17</v>
      </c>
      <c r="G22" t="n">
        <v>17</v>
      </c>
      <c r="H22" t="n">
        <v>1.03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inlineStr">
        <is>
          <t>太晨光</t>
        </is>
      </c>
      <c r="P22" t="n">
        <v>17</v>
      </c>
      <c r="Q22" t="inlineStr">
        <is>
          <t>1.太晨光(300570)-17分</t>
        </is>
      </c>
    </row>
    <row r="23">
      <c r="A23" t="n">
        <v>22</v>
      </c>
      <c r="B23" t="inlineStr">
        <is>
          <t>3-跟踪观察</t>
        </is>
      </c>
      <c r="C23" t="inlineStr">
        <is>
          <t>半导体</t>
        </is>
      </c>
      <c r="D23" t="inlineStr">
        <is>
          <t>G5级</t>
        </is>
      </c>
      <c r="E23" t="n">
        <v>2</v>
      </c>
      <c r="F23" t="n">
        <v>16.5</v>
      </c>
      <c r="G23" t="n">
        <v>30</v>
      </c>
      <c r="H23" t="n">
        <v>6.48</v>
      </c>
      <c r="I23" t="n">
        <v>1</v>
      </c>
      <c r="J23" t="n">
        <v>0.6</v>
      </c>
      <c r="K23" t="n">
        <v>1</v>
      </c>
      <c r="L23" t="n">
        <v>0</v>
      </c>
      <c r="M23" t="n">
        <v>0</v>
      </c>
      <c r="N23" t="n">
        <v>1</v>
      </c>
      <c r="O23" t="inlineStr">
        <is>
          <t>中巨芯-U</t>
        </is>
      </c>
      <c r="P23" t="n">
        <v>30</v>
      </c>
      <c r="Q23" t="inlineStr">
        <is>
          <t>1.中巨芯-U(688549)-30分 | 2.滨化股份(601678)-3分</t>
        </is>
      </c>
    </row>
    <row r="24">
      <c r="A24" t="n">
        <v>23</v>
      </c>
      <c r="B24" t="inlineStr">
        <is>
          <t>3-跟踪观察</t>
        </is>
      </c>
      <c r="C24" t="inlineStr">
        <is>
          <t>电池</t>
        </is>
      </c>
      <c r="D24" t="inlineStr">
        <is>
          <t>多孔碳</t>
        </is>
      </c>
      <c r="E24" t="n">
        <v>2</v>
      </c>
      <c r="F24" t="n">
        <v>16.5</v>
      </c>
      <c r="G24" t="n">
        <v>25</v>
      </c>
      <c r="H24" t="n">
        <v>13.24</v>
      </c>
      <c r="I24" t="n">
        <v>1</v>
      </c>
      <c r="J24" t="n">
        <v>0.18</v>
      </c>
      <c r="K24" t="n">
        <v>1</v>
      </c>
      <c r="L24" t="n">
        <v>0</v>
      </c>
      <c r="M24" t="n">
        <v>0</v>
      </c>
      <c r="N24" t="n">
        <v>1</v>
      </c>
      <c r="O24" t="inlineStr">
        <is>
          <t>金博股份</t>
        </is>
      </c>
      <c r="P24" t="n">
        <v>25</v>
      </c>
      <c r="Q24" t="inlineStr">
        <is>
          <t>1.金博股份(688598)-25分 | 2.元力股份(300174)-8分</t>
        </is>
      </c>
    </row>
    <row r="25">
      <c r="A25" t="n">
        <v>24</v>
      </c>
      <c r="B25" t="inlineStr">
        <is>
          <t>3-跟踪观察</t>
        </is>
      </c>
      <c r="C25" t="inlineStr">
        <is>
          <t>PCB</t>
        </is>
      </c>
      <c r="D25" t="inlineStr">
        <is>
          <t>其他领域MLCC</t>
        </is>
      </c>
      <c r="E25" t="n">
        <v>2</v>
      </c>
      <c r="F25" t="n">
        <v>16.5</v>
      </c>
      <c r="G25" t="n">
        <v>25</v>
      </c>
      <c r="H25" t="n">
        <v>12.17</v>
      </c>
      <c r="I25" t="n">
        <v>1</v>
      </c>
      <c r="J25" t="n">
        <v>0.04</v>
      </c>
      <c r="K25" t="n">
        <v>1</v>
      </c>
      <c r="L25" t="n">
        <v>0</v>
      </c>
      <c r="M25" t="n">
        <v>0</v>
      </c>
      <c r="N25" t="n">
        <v>1</v>
      </c>
      <c r="O25" t="inlineStr">
        <is>
          <t>昀冢科技</t>
        </is>
      </c>
      <c r="P25" t="n">
        <v>25</v>
      </c>
      <c r="Q25" t="inlineStr">
        <is>
          <t>1.昀冢科技(688260)-25分 | 2.达利凯普(301566)-8分</t>
        </is>
      </c>
    </row>
    <row r="26">
      <c r="A26" t="n">
        <v>25</v>
      </c>
      <c r="B26" t="inlineStr">
        <is>
          <t>3-跟踪观察</t>
        </is>
      </c>
      <c r="C26" t="inlineStr">
        <is>
          <t>半导体</t>
        </is>
      </c>
      <c r="D26" t="inlineStr">
        <is>
          <t>TGV技术</t>
        </is>
      </c>
      <c r="E26" t="n">
        <v>1</v>
      </c>
      <c r="F26" t="n">
        <v>16</v>
      </c>
      <c r="G26" t="n">
        <v>16</v>
      </c>
      <c r="H26" t="n">
        <v>9.16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inlineStr">
        <is>
          <t>莱宝高科</t>
        </is>
      </c>
      <c r="P26" t="n">
        <v>16</v>
      </c>
      <c r="Q26" t="inlineStr">
        <is>
          <t>1.莱宝高科(002106)-16分</t>
        </is>
      </c>
    </row>
    <row r="27">
      <c r="A27" t="n">
        <v>26</v>
      </c>
      <c r="B27" t="inlineStr">
        <is>
          <t>3-跟踪观察</t>
        </is>
      </c>
      <c r="C27" t="inlineStr">
        <is>
          <t>半导体</t>
        </is>
      </c>
      <c r="D27" t="inlineStr">
        <is>
          <t>光纤涂料</t>
        </is>
      </c>
      <c r="E27" t="n">
        <v>1</v>
      </c>
      <c r="F27" t="n">
        <v>16</v>
      </c>
      <c r="G27" t="n">
        <v>16</v>
      </c>
      <c r="H27" t="n">
        <v>3.92</v>
      </c>
      <c r="I27" t="n">
        <v>0</v>
      </c>
      <c r="J27" t="n">
        <v>0.01</v>
      </c>
      <c r="K27" t="n">
        <v>0</v>
      </c>
      <c r="L27" t="n">
        <v>1</v>
      </c>
      <c r="M27" t="n">
        <v>0</v>
      </c>
      <c r="N27" t="n">
        <v>0</v>
      </c>
      <c r="O27" t="inlineStr">
        <is>
          <t>飞凯材料</t>
        </is>
      </c>
      <c r="P27" t="n">
        <v>16</v>
      </c>
      <c r="Q27" t="inlineStr">
        <is>
          <t>1.飞凯材料(300398)-16分</t>
        </is>
      </c>
    </row>
    <row r="28">
      <c r="A28" t="n">
        <v>27</v>
      </c>
      <c r="B28" t="inlineStr">
        <is>
          <t>3-跟踪观察</t>
        </is>
      </c>
      <c r="C28" t="inlineStr">
        <is>
          <t>半导体</t>
        </is>
      </c>
      <c r="D28" t="inlineStr">
        <is>
          <t>基板玻璃产品</t>
        </is>
      </c>
      <c r="E28" t="n">
        <v>1</v>
      </c>
      <c r="F28" t="n">
        <v>16</v>
      </c>
      <c r="G28" t="n">
        <v>16</v>
      </c>
      <c r="H28" t="n">
        <v>9.99</v>
      </c>
      <c r="I28" t="n">
        <v>1</v>
      </c>
      <c r="J28" t="n">
        <v>0.02</v>
      </c>
      <c r="K28" t="n">
        <v>0</v>
      </c>
      <c r="L28" t="n">
        <v>1</v>
      </c>
      <c r="M28" t="n">
        <v>0</v>
      </c>
      <c r="N28" t="n">
        <v>0</v>
      </c>
      <c r="O28" t="inlineStr">
        <is>
          <t>彩虹股份</t>
        </is>
      </c>
      <c r="P28" t="n">
        <v>16</v>
      </c>
      <c r="Q28" t="inlineStr">
        <is>
          <t>1.彩虹股份(600707)-16分</t>
        </is>
      </c>
    </row>
    <row r="29">
      <c r="A29" t="n">
        <v>28</v>
      </c>
      <c r="B29" t="inlineStr">
        <is>
          <t>3-跟踪观察</t>
        </is>
      </c>
      <c r="C29" t="inlineStr">
        <is>
          <t>光通信/CPO</t>
        </is>
      </c>
      <c r="D29" t="inlineStr">
        <is>
          <t>光模块</t>
        </is>
      </c>
      <c r="E29" t="n">
        <v>1</v>
      </c>
      <c r="F29" t="n">
        <v>16</v>
      </c>
      <c r="G29" t="n">
        <v>16</v>
      </c>
      <c r="H29" t="n">
        <v>5.21</v>
      </c>
      <c r="I29" t="n">
        <v>0</v>
      </c>
      <c r="J29" t="n">
        <v>0.01</v>
      </c>
      <c r="K29" t="n">
        <v>0</v>
      </c>
      <c r="L29" t="n">
        <v>1</v>
      </c>
      <c r="M29" t="n">
        <v>0</v>
      </c>
      <c r="N29" t="n">
        <v>0</v>
      </c>
      <c r="O29" t="inlineStr">
        <is>
          <t>光讯科技</t>
        </is>
      </c>
      <c r="P29" t="n">
        <v>16</v>
      </c>
      <c r="Q29" t="inlineStr">
        <is>
          <t>1.光讯科技(002281)-16分</t>
        </is>
      </c>
    </row>
    <row r="30">
      <c r="A30" t="n">
        <v>29</v>
      </c>
      <c r="B30" t="inlineStr">
        <is>
          <t>3-跟踪观察</t>
        </is>
      </c>
      <c r="C30" t="inlineStr">
        <is>
          <t>半导体</t>
        </is>
      </c>
      <c r="D30" t="inlineStr">
        <is>
          <t>玻璃基板(液晶领域)</t>
        </is>
      </c>
      <c r="E30" t="n">
        <v>1</v>
      </c>
      <c r="F30" t="n">
        <v>16</v>
      </c>
      <c r="G30" t="n">
        <v>16</v>
      </c>
      <c r="H30" t="n">
        <v>9.99</v>
      </c>
      <c r="I30" t="n">
        <v>1</v>
      </c>
      <c r="J30" t="n">
        <v>0.02</v>
      </c>
      <c r="K30" t="n">
        <v>0</v>
      </c>
      <c r="L30" t="n">
        <v>1</v>
      </c>
      <c r="M30" t="n">
        <v>0</v>
      </c>
      <c r="N30" t="n">
        <v>0</v>
      </c>
      <c r="O30" t="inlineStr">
        <is>
          <t>彩虹股份</t>
        </is>
      </c>
      <c r="P30" t="n">
        <v>16</v>
      </c>
      <c r="Q30" t="inlineStr">
        <is>
          <t>1.彩虹股份(600707)-16分</t>
        </is>
      </c>
    </row>
    <row r="31">
      <c r="A31" t="n">
        <v>30</v>
      </c>
      <c r="B31" t="inlineStr">
        <is>
          <t>3-跟踪观察</t>
        </is>
      </c>
      <c r="C31" t="inlineStr">
        <is>
          <t>半导体</t>
        </is>
      </c>
      <c r="D31" t="inlineStr">
        <is>
          <t>TGV封装湿化学品</t>
        </is>
      </c>
      <c r="E31" t="n">
        <v>1</v>
      </c>
      <c r="F31" t="n">
        <v>16</v>
      </c>
      <c r="G31" t="n">
        <v>16</v>
      </c>
      <c r="H31" t="n">
        <v>3.92</v>
      </c>
      <c r="I31" t="n">
        <v>0</v>
      </c>
      <c r="J31" t="n">
        <v>0.01</v>
      </c>
      <c r="K31" t="n">
        <v>0</v>
      </c>
      <c r="L31" t="n">
        <v>1</v>
      </c>
      <c r="M31" t="n">
        <v>0</v>
      </c>
      <c r="N31" t="n">
        <v>0</v>
      </c>
      <c r="O31" t="inlineStr">
        <is>
          <t>飞凯材料</t>
        </is>
      </c>
      <c r="P31" t="n">
        <v>16</v>
      </c>
      <c r="Q31" t="inlineStr">
        <is>
          <t>1.飞凯材料(300398)-16分</t>
        </is>
      </c>
    </row>
    <row r="32">
      <c r="A32" t="n">
        <v>31</v>
      </c>
      <c r="B32" t="inlineStr">
        <is>
          <t>3-跟踪观察</t>
        </is>
      </c>
      <c r="C32" t="inlineStr">
        <is>
          <t>电池</t>
        </is>
      </c>
      <c r="D32" t="inlineStr">
        <is>
          <t>电子布</t>
        </is>
      </c>
      <c r="E32" t="n">
        <v>8</v>
      </c>
      <c r="F32" t="n">
        <v>15.5</v>
      </c>
      <c r="G32" t="n">
        <v>30</v>
      </c>
      <c r="H32" t="n">
        <v>3.76</v>
      </c>
      <c r="I32" t="n">
        <v>2</v>
      </c>
      <c r="J32" t="n">
        <v>0.01</v>
      </c>
      <c r="K32" t="n">
        <v>4</v>
      </c>
      <c r="L32" t="n">
        <v>1</v>
      </c>
      <c r="M32" t="n">
        <v>0</v>
      </c>
      <c r="N32" t="n">
        <v>3</v>
      </c>
      <c r="O32" t="inlineStr">
        <is>
          <t>中材科技</t>
        </is>
      </c>
      <c r="P32" t="n">
        <v>30</v>
      </c>
      <c r="Q32" t="inlineStr">
        <is>
          <t>1.中材科技(002080)-30分 | 2.中国巨石(600176)-25分 | 3.平安电工(001359)-22分</t>
        </is>
      </c>
    </row>
    <row r="33">
      <c r="A33" t="n">
        <v>32</v>
      </c>
      <c r="B33" t="inlineStr">
        <is>
          <t>3-跟踪观察</t>
        </is>
      </c>
      <c r="C33" t="inlineStr">
        <is>
          <t>半导体</t>
        </is>
      </c>
      <c r="D33" t="inlineStr">
        <is>
          <t>探针台</t>
        </is>
      </c>
      <c r="E33" t="n">
        <v>2</v>
      </c>
      <c r="F33" t="n">
        <v>15</v>
      </c>
      <c r="G33" t="n">
        <v>25</v>
      </c>
      <c r="H33" t="n">
        <v>9.69</v>
      </c>
      <c r="I33" t="n">
        <v>1</v>
      </c>
      <c r="J33" t="n">
        <v>0.05</v>
      </c>
      <c r="K33" t="n">
        <v>1</v>
      </c>
      <c r="L33" t="n">
        <v>0</v>
      </c>
      <c r="M33" t="n">
        <v>0</v>
      </c>
      <c r="N33" t="n">
        <v>1</v>
      </c>
      <c r="O33" t="inlineStr">
        <is>
          <t>和林微纳</t>
        </is>
      </c>
      <c r="P33" t="n">
        <v>25</v>
      </c>
      <c r="Q33" t="inlineStr">
        <is>
          <t>1.和林微纳(688661)-25分 | 2.矽电股份(301629)-5分</t>
        </is>
      </c>
    </row>
    <row r="34">
      <c r="A34" t="n">
        <v>33</v>
      </c>
      <c r="B34" t="inlineStr">
        <is>
          <t>3-跟踪观察</t>
        </is>
      </c>
      <c r="C34" t="inlineStr">
        <is>
          <t>算力金属</t>
        </is>
      </c>
      <c r="D34" t="inlineStr">
        <is>
          <t>钽</t>
        </is>
      </c>
      <c r="E34" t="n">
        <v>2</v>
      </c>
      <c r="F34" t="n">
        <v>15</v>
      </c>
      <c r="G34" t="n">
        <v>30</v>
      </c>
      <c r="H34" t="n">
        <v>4.26</v>
      </c>
      <c r="I34" t="n">
        <v>1</v>
      </c>
      <c r="J34" t="n">
        <v>0.01</v>
      </c>
      <c r="K34" t="n">
        <v>1</v>
      </c>
      <c r="L34" t="n">
        <v>0</v>
      </c>
      <c r="M34" t="n">
        <v>0</v>
      </c>
      <c r="N34" t="n">
        <v>1</v>
      </c>
      <c r="O34" t="inlineStr">
        <is>
          <t>江钨装备</t>
        </is>
      </c>
      <c r="P34" t="n">
        <v>30</v>
      </c>
      <c r="Q34" t="inlineStr">
        <is>
          <t>1.江钨装备(600397)-30分 | 2.永兴材料(002756)-0分</t>
        </is>
      </c>
    </row>
    <row r="35">
      <c r="A35" t="n">
        <v>34</v>
      </c>
      <c r="B35" t="inlineStr">
        <is>
          <t>3-跟踪观察</t>
        </is>
      </c>
      <c r="C35" t="inlineStr">
        <is>
          <t>PCB</t>
        </is>
      </c>
      <c r="D35" t="inlineStr">
        <is>
          <t>电子级PPO树脂</t>
        </is>
      </c>
      <c r="E35" t="n">
        <v>4</v>
      </c>
      <c r="F35" t="n">
        <v>15</v>
      </c>
      <c r="G35" t="n">
        <v>30</v>
      </c>
      <c r="H35" t="n">
        <v>4.21</v>
      </c>
      <c r="I35" t="n">
        <v>1</v>
      </c>
      <c r="J35" t="n">
        <v>0.01</v>
      </c>
      <c r="K35" t="n">
        <v>1</v>
      </c>
      <c r="L35" t="n">
        <v>1</v>
      </c>
      <c r="M35" t="n">
        <v>1</v>
      </c>
      <c r="N35" t="n">
        <v>1</v>
      </c>
      <c r="O35" t="inlineStr">
        <is>
          <t>宏昌电子</t>
        </is>
      </c>
      <c r="P35" t="n">
        <v>30</v>
      </c>
      <c r="Q35" t="inlineStr">
        <is>
          <t>1.宏昌电子(603002)-30分 | 2.同宇新材(301630)-16分 | 3.东材科技(601208)-11分</t>
        </is>
      </c>
    </row>
    <row r="36">
      <c r="A36" t="n">
        <v>35</v>
      </c>
      <c r="B36" t="inlineStr">
        <is>
          <t>4-暂时回避</t>
        </is>
      </c>
      <c r="C36" t="inlineStr">
        <is>
          <t>半导体</t>
        </is>
      </c>
      <c r="D36" t="inlineStr">
        <is>
          <t>玻璃通孔(TGV)</t>
        </is>
      </c>
      <c r="E36" t="n">
        <v>8</v>
      </c>
      <c r="F36" t="n">
        <v>14.88</v>
      </c>
      <c r="G36" t="n">
        <v>24</v>
      </c>
      <c r="H36" t="n">
        <v>7.63</v>
      </c>
      <c r="I36" t="n">
        <v>3</v>
      </c>
      <c r="J36" t="n">
        <v>0.03</v>
      </c>
      <c r="K36" t="n">
        <v>4</v>
      </c>
      <c r="L36" t="n">
        <v>1</v>
      </c>
      <c r="M36" t="n">
        <v>1</v>
      </c>
      <c r="N36" t="n">
        <v>2</v>
      </c>
      <c r="O36" t="inlineStr">
        <is>
          <t>沃格光电</t>
        </is>
      </c>
      <c r="P36" t="n">
        <v>24</v>
      </c>
      <c r="Q36" t="inlineStr">
        <is>
          <t>1.沃格光电(603773)-24分 | 2.兴森科技(002436)-22分 | 3.蓝思科技(300433)-22分</t>
        </is>
      </c>
    </row>
    <row r="37">
      <c r="A37" t="n">
        <v>36</v>
      </c>
      <c r="B37" t="inlineStr">
        <is>
          <t>4-暂时回避</t>
        </is>
      </c>
      <c r="C37" t="inlineStr">
        <is>
          <t>PCB</t>
        </is>
      </c>
      <c r="D37" t="inlineStr">
        <is>
          <t>环氧树脂</t>
        </is>
      </c>
      <c r="E37" t="n">
        <v>3</v>
      </c>
      <c r="F37" t="n">
        <v>14.67</v>
      </c>
      <c r="G37" t="n">
        <v>30</v>
      </c>
      <c r="H37" t="n">
        <v>3.69</v>
      </c>
      <c r="I37" t="n">
        <v>1</v>
      </c>
      <c r="J37" t="n">
        <v>0.01</v>
      </c>
      <c r="K37" t="n">
        <v>1</v>
      </c>
      <c r="L37" t="n">
        <v>0</v>
      </c>
      <c r="M37" t="n">
        <v>1</v>
      </c>
      <c r="N37" t="n">
        <v>1</v>
      </c>
      <c r="O37" t="inlineStr">
        <is>
          <t>宏昌电子</t>
        </is>
      </c>
      <c r="P37" t="n">
        <v>30</v>
      </c>
      <c r="Q37" t="inlineStr">
        <is>
          <t>1.宏昌电子(603002)-30分 | 2.东材科技(601208)-11分 | 3.圣泉集团(605589)-3分</t>
        </is>
      </c>
    </row>
    <row r="38">
      <c r="A38" t="n">
        <v>37</v>
      </c>
      <c r="B38" t="inlineStr">
        <is>
          <t>4-暂时回避</t>
        </is>
      </c>
      <c r="C38" t="inlineStr">
        <is>
          <t>半导体</t>
        </is>
      </c>
      <c r="D38" t="inlineStr">
        <is>
          <t>基板</t>
        </is>
      </c>
      <c r="E38" t="n">
        <v>12</v>
      </c>
      <c r="F38" t="n">
        <v>14.42</v>
      </c>
      <c r="G38" t="n">
        <v>30</v>
      </c>
      <c r="H38" t="n">
        <v>5.16</v>
      </c>
      <c r="I38" t="n">
        <v>4</v>
      </c>
      <c r="J38" t="n">
        <v>0.01</v>
      </c>
      <c r="K38" t="n">
        <v>4</v>
      </c>
      <c r="L38" t="n">
        <v>3</v>
      </c>
      <c r="M38" t="n">
        <v>1</v>
      </c>
      <c r="N38" t="n">
        <v>4</v>
      </c>
      <c r="O38" t="inlineStr">
        <is>
          <t>华正新材</t>
        </is>
      </c>
      <c r="P38" t="n">
        <v>30</v>
      </c>
      <c r="Q38" t="inlineStr">
        <is>
          <t>1.华正新材(603186)-30分 | 2.南亚新材(688519)-25分 | 3.博敏电子(603936)-22分</t>
        </is>
      </c>
    </row>
    <row r="39">
      <c r="A39" t="n">
        <v>38</v>
      </c>
      <c r="B39" t="inlineStr">
        <is>
          <t>4-暂时回避</t>
        </is>
      </c>
      <c r="C39" t="inlineStr">
        <is>
          <t>PCB</t>
        </is>
      </c>
      <c r="D39" t="inlineStr">
        <is>
          <t>AWS</t>
        </is>
      </c>
      <c r="E39" t="n">
        <v>3</v>
      </c>
      <c r="F39" t="n">
        <v>14.33</v>
      </c>
      <c r="G39" t="n">
        <v>17</v>
      </c>
      <c r="H39" t="n">
        <v>3.76</v>
      </c>
      <c r="I39" t="n">
        <v>0</v>
      </c>
      <c r="J39" t="n">
        <v>0.16</v>
      </c>
      <c r="K39" t="n">
        <v>0</v>
      </c>
      <c r="L39" t="n">
        <v>1</v>
      </c>
      <c r="M39" t="n">
        <v>2</v>
      </c>
      <c r="N39" t="n">
        <v>0</v>
      </c>
      <c r="O39" t="inlineStr">
        <is>
          <t>生益电子</t>
        </is>
      </c>
      <c r="P39" t="n">
        <v>17</v>
      </c>
      <c r="Q39" t="inlineStr">
        <is>
          <t>1.生益电子(688183)-17分 | 2.广合科技(001389)-13分 | 3.沪电股份(002463)-13分</t>
        </is>
      </c>
    </row>
    <row r="40">
      <c r="A40" t="n">
        <v>39</v>
      </c>
      <c r="B40" t="inlineStr">
        <is>
          <t>4-暂时回避</t>
        </is>
      </c>
      <c r="C40" t="inlineStr">
        <is>
          <t>光通信/CPO</t>
        </is>
      </c>
      <c r="D40" t="inlineStr">
        <is>
          <t>光纤光缆</t>
        </is>
      </c>
      <c r="E40" t="n">
        <v>6</v>
      </c>
      <c r="F40" t="n">
        <v>14</v>
      </c>
      <c r="G40" t="n">
        <v>19</v>
      </c>
      <c r="H40" t="n">
        <v>3.92</v>
      </c>
      <c r="I40" t="n">
        <v>1</v>
      </c>
      <c r="J40" t="n">
        <v>0.02</v>
      </c>
      <c r="K40" t="n">
        <v>2</v>
      </c>
      <c r="L40" t="n">
        <v>2</v>
      </c>
      <c r="M40" t="n">
        <v>1</v>
      </c>
      <c r="N40" t="n">
        <v>1</v>
      </c>
      <c r="O40" t="inlineStr">
        <is>
          <t>烽火通信</t>
        </is>
      </c>
      <c r="P40" t="n">
        <v>19</v>
      </c>
      <c r="Q40" t="inlineStr">
        <is>
          <t>1.烽火通信(600498)-19分 | 2.通鼎互联(002491)-19分 | 3.特发信息(000070)-16分</t>
        </is>
      </c>
    </row>
    <row r="41">
      <c r="A41" t="n">
        <v>40</v>
      </c>
      <c r="B41" t="inlineStr">
        <is>
          <t>4-暂时回避</t>
        </is>
      </c>
      <c r="C41" t="inlineStr">
        <is>
          <t>半导体</t>
        </is>
      </c>
      <c r="D41" t="inlineStr">
        <is>
          <t>玻璃基板封装设备</t>
        </is>
      </c>
      <c r="E41" t="n">
        <v>1</v>
      </c>
      <c r="F41" t="n">
        <v>14</v>
      </c>
      <c r="G41" t="n">
        <v>14</v>
      </c>
      <c r="H41" t="n">
        <v>3.95</v>
      </c>
      <c r="I41" t="n">
        <v>0</v>
      </c>
      <c r="J41" t="n">
        <v>0.02</v>
      </c>
      <c r="K41" t="n">
        <v>0</v>
      </c>
      <c r="L41" t="n">
        <v>1</v>
      </c>
      <c r="M41" t="n">
        <v>0</v>
      </c>
      <c r="N41" t="n">
        <v>0</v>
      </c>
      <c r="O41" t="inlineStr">
        <is>
          <t>新益昌</t>
        </is>
      </c>
      <c r="P41" t="n">
        <v>14</v>
      </c>
      <c r="Q41" t="inlineStr">
        <is>
          <t>1.新益昌(688383)-14分</t>
        </is>
      </c>
    </row>
    <row r="42">
      <c r="A42" t="n">
        <v>41</v>
      </c>
      <c r="B42" t="inlineStr">
        <is>
          <t>4-暂时回避</t>
        </is>
      </c>
      <c r="C42" t="inlineStr">
        <is>
          <t>半导体</t>
        </is>
      </c>
      <c r="D42" t="inlineStr">
        <is>
          <t>固晶</t>
        </is>
      </c>
      <c r="E42" t="n">
        <v>1</v>
      </c>
      <c r="F42" t="n">
        <v>14</v>
      </c>
      <c r="G42" t="n">
        <v>14</v>
      </c>
      <c r="H42" t="n">
        <v>3.95</v>
      </c>
      <c r="I42" t="n">
        <v>0</v>
      </c>
      <c r="J42" t="n">
        <v>0.02</v>
      </c>
      <c r="K42" t="n">
        <v>0</v>
      </c>
      <c r="L42" t="n">
        <v>1</v>
      </c>
      <c r="M42" t="n">
        <v>0</v>
      </c>
      <c r="N42" t="n">
        <v>0</v>
      </c>
      <c r="O42" t="inlineStr">
        <is>
          <t>新益昌</t>
        </is>
      </c>
      <c r="P42" t="n">
        <v>14</v>
      </c>
      <c r="Q42" t="inlineStr">
        <is>
          <t>1.新益昌(688383)-14分</t>
        </is>
      </c>
    </row>
    <row r="43">
      <c r="A43" t="n">
        <v>42</v>
      </c>
      <c r="B43" t="inlineStr">
        <is>
          <t>4-暂时回避</t>
        </is>
      </c>
      <c r="C43" t="inlineStr">
        <is>
          <t>半导体</t>
        </is>
      </c>
      <c r="D43" t="inlineStr">
        <is>
          <t>Meta</t>
        </is>
      </c>
      <c r="E43" t="n">
        <v>3</v>
      </c>
      <c r="F43" t="n">
        <v>14</v>
      </c>
      <c r="G43" t="n">
        <v>16</v>
      </c>
      <c r="H43" t="n">
        <v>6.59</v>
      </c>
      <c r="I43" t="n">
        <v>1</v>
      </c>
      <c r="J43" t="n">
        <v>0</v>
      </c>
      <c r="K43" t="n">
        <v>0</v>
      </c>
      <c r="L43" t="n">
        <v>1</v>
      </c>
      <c r="M43" t="n">
        <v>2</v>
      </c>
      <c r="N43" t="n">
        <v>0</v>
      </c>
      <c r="O43" t="inlineStr">
        <is>
          <t>深南电路</t>
        </is>
      </c>
      <c r="P43" t="n">
        <v>16</v>
      </c>
      <c r="Q43" t="inlineStr">
        <is>
          <t>1.深南电路(002916)-16分 | 2.广合科技(001389)-13分 | 3.沪电股份(002463)-13分</t>
        </is>
      </c>
    </row>
    <row r="44">
      <c r="A44" t="n">
        <v>43</v>
      </c>
      <c r="B44" t="inlineStr">
        <is>
          <t>4-暂时回避</t>
        </is>
      </c>
      <c r="C44" t="inlineStr">
        <is>
          <t>PCB</t>
        </is>
      </c>
      <c r="D44" t="inlineStr">
        <is>
          <t>AI领域MLCC</t>
        </is>
      </c>
      <c r="E44" t="n">
        <v>6</v>
      </c>
      <c r="F44" t="n">
        <v>13.67</v>
      </c>
      <c r="G44" t="n">
        <v>22</v>
      </c>
      <c r="H44" t="n">
        <v>4.47</v>
      </c>
      <c r="I44" t="n">
        <v>0</v>
      </c>
      <c r="J44" t="n">
        <v>0.01</v>
      </c>
      <c r="K44" t="n">
        <v>2</v>
      </c>
      <c r="L44" t="n">
        <v>1</v>
      </c>
      <c r="M44" t="n">
        <v>1</v>
      </c>
      <c r="N44" t="n">
        <v>2</v>
      </c>
      <c r="O44" t="inlineStr">
        <is>
          <t>火炬电子</t>
        </is>
      </c>
      <c r="P44" t="n">
        <v>22</v>
      </c>
      <c r="Q44" t="inlineStr">
        <is>
          <t>1.火炬电子(603678)-22分 | 2.风华高科(000636)-22分 | 3.利和兴(301013)-16分</t>
        </is>
      </c>
    </row>
    <row r="45">
      <c r="A45" t="n">
        <v>44</v>
      </c>
      <c r="B45" t="inlineStr">
        <is>
          <t>4-暂时回避</t>
        </is>
      </c>
      <c r="C45" t="inlineStr">
        <is>
          <t>PCB</t>
        </is>
      </c>
      <c r="D45" t="inlineStr">
        <is>
          <t>钻针</t>
        </is>
      </c>
      <c r="E45" t="n">
        <v>3</v>
      </c>
      <c r="F45" t="n">
        <v>13.67</v>
      </c>
      <c r="G45" t="n">
        <v>22</v>
      </c>
      <c r="H45" t="n">
        <v>7.79</v>
      </c>
      <c r="I45" t="n">
        <v>1</v>
      </c>
      <c r="J45" t="n">
        <v>0.01</v>
      </c>
      <c r="K45" t="n">
        <v>1</v>
      </c>
      <c r="L45" t="n">
        <v>1</v>
      </c>
      <c r="M45" t="n">
        <v>0</v>
      </c>
      <c r="N45" t="n">
        <v>1</v>
      </c>
      <c r="O45" t="inlineStr">
        <is>
          <t>鼎泰高科</t>
        </is>
      </c>
      <c r="P45" t="n">
        <v>22</v>
      </c>
      <c r="Q45" t="inlineStr">
        <is>
          <t>1.鼎泰高科(301377)-22分 | 2.温州宏丰(300283)-16分 | 3.中钨高新(000657)-3分</t>
        </is>
      </c>
    </row>
    <row r="46">
      <c r="A46" t="n">
        <v>45</v>
      </c>
      <c r="B46" t="inlineStr">
        <is>
          <t>4-暂时回避</t>
        </is>
      </c>
      <c r="C46" t="inlineStr">
        <is>
          <t>半导体</t>
        </is>
      </c>
      <c r="D46" t="inlineStr">
        <is>
          <t>封装基板</t>
        </is>
      </c>
      <c r="E46" t="n">
        <v>5</v>
      </c>
      <c r="F46" t="n">
        <v>13.6</v>
      </c>
      <c r="G46" t="n">
        <v>25</v>
      </c>
      <c r="H46" t="n">
        <v>7.85</v>
      </c>
      <c r="I46" t="n">
        <v>2</v>
      </c>
      <c r="J46" t="n">
        <v>0.03</v>
      </c>
      <c r="K46" t="n">
        <v>2</v>
      </c>
      <c r="L46" t="n">
        <v>1</v>
      </c>
      <c r="M46" t="n">
        <v>0</v>
      </c>
      <c r="N46" t="n">
        <v>2</v>
      </c>
      <c r="O46" t="inlineStr">
        <is>
          <t>和林微纳</t>
        </is>
      </c>
      <c r="P46" t="n">
        <v>25</v>
      </c>
      <c r="Q46" t="inlineStr">
        <is>
          <t>1.和林微纳(688661)-25分 | 2.兴森科技(002436)-22分 | 3.深南电路(002916)-16分</t>
        </is>
      </c>
    </row>
    <row r="47">
      <c r="A47" t="n">
        <v>46</v>
      </c>
      <c r="B47" t="inlineStr">
        <is>
          <t>4-暂时回避</t>
        </is>
      </c>
      <c r="C47" t="inlineStr">
        <is>
          <t>半导体</t>
        </is>
      </c>
      <c r="D47" t="inlineStr">
        <is>
          <t>测试设备</t>
        </is>
      </c>
      <c r="E47" t="n">
        <v>3</v>
      </c>
      <c r="F47" t="n">
        <v>13.33</v>
      </c>
      <c r="G47" t="n">
        <v>16</v>
      </c>
      <c r="H47" t="n">
        <v>10.68</v>
      </c>
      <c r="I47" t="n">
        <v>2</v>
      </c>
      <c r="J47" t="n">
        <v>0.03</v>
      </c>
      <c r="K47" t="n">
        <v>1</v>
      </c>
      <c r="L47" t="n">
        <v>0</v>
      </c>
      <c r="M47" t="n">
        <v>2</v>
      </c>
      <c r="N47" t="n">
        <v>0</v>
      </c>
      <c r="O47" t="inlineStr">
        <is>
          <t>长川科技</t>
        </is>
      </c>
      <c r="P47" t="n">
        <v>16</v>
      </c>
      <c r="Q47" t="inlineStr">
        <is>
          <t>1.长川科技(300604)-16分 | 2.联动科技(301369)-13分 | 3.华峰测控(688200)-11分</t>
        </is>
      </c>
    </row>
    <row r="48">
      <c r="A48" t="n">
        <v>47</v>
      </c>
      <c r="B48" t="inlineStr">
        <is>
          <t>4-暂时回避</t>
        </is>
      </c>
      <c r="C48" t="inlineStr">
        <is>
          <t>半导体</t>
        </is>
      </c>
      <c r="D48" t="inlineStr">
        <is>
          <t>其他</t>
        </is>
      </c>
      <c r="E48" t="n">
        <v>4</v>
      </c>
      <c r="F48" t="n">
        <v>13</v>
      </c>
      <c r="G48" t="n">
        <v>22</v>
      </c>
      <c r="H48" t="n">
        <v>2.23</v>
      </c>
      <c r="I48" t="n">
        <v>0</v>
      </c>
      <c r="J48" t="n">
        <v>0.03</v>
      </c>
      <c r="K48" t="n">
        <v>2</v>
      </c>
      <c r="L48" t="n">
        <v>0</v>
      </c>
      <c r="M48" t="n">
        <v>1</v>
      </c>
      <c r="N48" t="n">
        <v>1</v>
      </c>
      <c r="O48" t="inlineStr">
        <is>
          <t>麦格米特</t>
        </is>
      </c>
      <c r="P48" t="n">
        <v>22</v>
      </c>
      <c r="Q48" t="inlineStr">
        <is>
          <t>1.麦格米特(002851)-22分 | 2.飞凯材料(300398)-16分 | 3.天承科技(688603)-11分</t>
        </is>
      </c>
    </row>
    <row r="49">
      <c r="A49" t="n">
        <v>48</v>
      </c>
      <c r="B49" t="inlineStr">
        <is>
          <t>4-暂时回避</t>
        </is>
      </c>
      <c r="C49" t="inlineStr">
        <is>
          <t>PCB</t>
        </is>
      </c>
      <c r="D49" t="inlineStr">
        <is>
          <t>碳氢树脂M9</t>
        </is>
      </c>
      <c r="E49" t="n">
        <v>3</v>
      </c>
      <c r="F49" t="n">
        <v>13</v>
      </c>
      <c r="G49" t="n">
        <v>25</v>
      </c>
      <c r="H49" t="n">
        <v>7.02</v>
      </c>
      <c r="I49" t="n">
        <v>1</v>
      </c>
      <c r="J49" t="n">
        <v>0.01</v>
      </c>
      <c r="K49" t="n">
        <v>1</v>
      </c>
      <c r="L49" t="n">
        <v>0</v>
      </c>
      <c r="M49" t="n">
        <v>1</v>
      </c>
      <c r="N49" t="n">
        <v>1</v>
      </c>
      <c r="O49" t="inlineStr">
        <is>
          <t>世名科技</t>
        </is>
      </c>
      <c r="P49" t="n">
        <v>25</v>
      </c>
      <c r="Q49" t="inlineStr">
        <is>
          <t>1.世名科技(300522)-25分 | 2.东材科技(601208)-11分 | 3.圣泉集团(605589)-3分</t>
        </is>
      </c>
    </row>
    <row r="50">
      <c r="A50" t="n">
        <v>49</v>
      </c>
      <c r="B50" t="inlineStr">
        <is>
          <t>4-暂时回避</t>
        </is>
      </c>
      <c r="C50" t="inlineStr">
        <is>
          <t>PCB</t>
        </is>
      </c>
      <c r="D50" t="inlineStr">
        <is>
          <t>AI服务器相关</t>
        </is>
      </c>
      <c r="E50" t="n">
        <v>16</v>
      </c>
      <c r="F50" t="n">
        <v>12.94</v>
      </c>
      <c r="G50" t="n">
        <v>25</v>
      </c>
      <c r="H50" t="n">
        <v>5.95</v>
      </c>
      <c r="I50" t="n">
        <v>5</v>
      </c>
      <c r="J50" t="n">
        <v>0.04</v>
      </c>
      <c r="K50" t="n">
        <v>8</v>
      </c>
      <c r="L50" t="n">
        <v>1</v>
      </c>
      <c r="M50" t="n">
        <v>3</v>
      </c>
      <c r="N50" t="n">
        <v>4</v>
      </c>
      <c r="O50" t="inlineStr">
        <is>
          <t>超声电子</t>
        </is>
      </c>
      <c r="P50" t="n">
        <v>25</v>
      </c>
      <c r="Q50" t="inlineStr">
        <is>
          <t>1.超声电子(000823)-25分 | 2.科翔股份(300903)-25分 | 3.博敏电子(603936)-22分</t>
        </is>
      </c>
    </row>
    <row r="51">
      <c r="A51" t="n">
        <v>50</v>
      </c>
      <c r="B51" t="inlineStr">
        <is>
          <t>4-暂时回避</t>
        </is>
      </c>
      <c r="C51" t="inlineStr">
        <is>
          <t>电池</t>
        </is>
      </c>
      <c r="D51" t="inlineStr">
        <is>
          <t>硫化物</t>
        </is>
      </c>
      <c r="E51" t="n">
        <v>5</v>
      </c>
      <c r="F51" t="n">
        <v>12.8</v>
      </c>
      <c r="G51" t="n">
        <v>25</v>
      </c>
      <c r="H51" t="n">
        <v>4.2</v>
      </c>
      <c r="I51" t="n">
        <v>1</v>
      </c>
      <c r="J51" t="n">
        <v>0.05</v>
      </c>
      <c r="K51" t="n">
        <v>3</v>
      </c>
      <c r="L51" t="n">
        <v>0</v>
      </c>
      <c r="M51" t="n">
        <v>0</v>
      </c>
      <c r="N51" t="n">
        <v>2</v>
      </c>
      <c r="O51" t="inlineStr">
        <is>
          <t>光华科技</t>
        </is>
      </c>
      <c r="P51" t="n">
        <v>25</v>
      </c>
      <c r="Q51" t="inlineStr">
        <is>
          <t>1.光华科技(002741)-25分 | 2.华盛锂电(688353)-22分 | 3.有研新材(600206)-17分</t>
        </is>
      </c>
    </row>
    <row r="52">
      <c r="A52" t="n">
        <v>51</v>
      </c>
      <c r="B52" t="inlineStr">
        <is>
          <t>4-暂时回避</t>
        </is>
      </c>
      <c r="C52" t="inlineStr">
        <is>
          <t>电池</t>
        </is>
      </c>
      <c r="D52" t="inlineStr">
        <is>
          <t>电解液添加剂</t>
        </is>
      </c>
      <c r="E52" t="n">
        <v>3</v>
      </c>
      <c r="F52" t="n">
        <v>12.67</v>
      </c>
      <c r="G52" t="n">
        <v>22</v>
      </c>
      <c r="H52" t="n">
        <v>4.52</v>
      </c>
      <c r="I52" t="n">
        <v>0</v>
      </c>
      <c r="J52" t="n">
        <v>0.04</v>
      </c>
      <c r="K52" t="n">
        <v>2</v>
      </c>
      <c r="L52" t="n">
        <v>0</v>
      </c>
      <c r="M52" t="n">
        <v>0</v>
      </c>
      <c r="N52" t="n">
        <v>1</v>
      </c>
      <c r="O52" t="inlineStr">
        <is>
          <t>华盛锂电</t>
        </is>
      </c>
      <c r="P52" t="n">
        <v>22</v>
      </c>
      <c r="Q52" t="inlineStr">
        <is>
          <t>1.华盛锂电(688353)-22分 | 2.新宙邦(300037)-16分 | 3.永太科技(002326)-0分</t>
        </is>
      </c>
    </row>
    <row r="53">
      <c r="A53" t="n">
        <v>52</v>
      </c>
      <c r="B53" t="inlineStr">
        <is>
          <t>4-暂时回避</t>
        </is>
      </c>
      <c r="C53" t="inlineStr">
        <is>
          <t>PCB</t>
        </is>
      </c>
      <c r="D53" t="inlineStr">
        <is>
          <t>正极铝箔</t>
        </is>
      </c>
      <c r="E53" t="n">
        <v>3</v>
      </c>
      <c r="F53" t="n">
        <v>12.33</v>
      </c>
      <c r="G53" t="n">
        <v>31</v>
      </c>
      <c r="H53" t="n">
        <v>-9.02</v>
      </c>
      <c r="I53" t="n">
        <v>1</v>
      </c>
      <c r="J53" t="n">
        <v>0.32</v>
      </c>
      <c r="K53" t="n">
        <v>1</v>
      </c>
      <c r="L53" t="n">
        <v>0</v>
      </c>
      <c r="M53" t="n">
        <v>0</v>
      </c>
      <c r="N53" t="n">
        <v>2</v>
      </c>
      <c r="O53" t="inlineStr">
        <is>
          <t>诺德股份</t>
        </is>
      </c>
      <c r="P53" t="n">
        <v>31</v>
      </c>
      <c r="Q53" t="inlineStr">
        <is>
          <t>1.诺德股份(600110)-31分 | 2.嘉元科技(688388)-3分 | 3.德福科技(301511)-3分</t>
        </is>
      </c>
    </row>
    <row r="54">
      <c r="A54" t="n">
        <v>53</v>
      </c>
      <c r="B54" t="inlineStr">
        <is>
          <t>4-暂时回避</t>
        </is>
      </c>
      <c r="C54" t="inlineStr">
        <is>
          <t>半导体</t>
        </is>
      </c>
      <c r="D54" t="inlineStr">
        <is>
          <t>抛光材料</t>
        </is>
      </c>
      <c r="E54" t="n">
        <v>2</v>
      </c>
      <c r="F54" t="n">
        <v>12</v>
      </c>
      <c r="G54" t="n">
        <v>19</v>
      </c>
      <c r="H54" t="n">
        <v>6.66</v>
      </c>
      <c r="I54" t="n">
        <v>0</v>
      </c>
      <c r="J54" t="n">
        <v>0.06</v>
      </c>
      <c r="K54" t="n">
        <v>1</v>
      </c>
      <c r="L54" t="n">
        <v>0</v>
      </c>
      <c r="M54" t="n">
        <v>0</v>
      </c>
      <c r="N54" t="n">
        <v>1</v>
      </c>
      <c r="O54" t="inlineStr">
        <is>
          <t>鼎龙股份</t>
        </is>
      </c>
      <c r="P54" t="n">
        <v>19</v>
      </c>
      <c r="Q54" t="inlineStr">
        <is>
          <t>1.鼎龙股份(300054)-19分 | 2.安集科技(688019)-5分</t>
        </is>
      </c>
    </row>
    <row r="55">
      <c r="A55" t="n">
        <v>54</v>
      </c>
      <c r="B55" t="inlineStr">
        <is>
          <t>4-暂时回避</t>
        </is>
      </c>
      <c r="C55" t="inlineStr">
        <is>
          <t>PCB</t>
        </is>
      </c>
      <c r="D55" t="inlineStr">
        <is>
          <t>铜箔</t>
        </is>
      </c>
      <c r="E55" t="n">
        <v>4</v>
      </c>
      <c r="F55" t="n">
        <v>11.25</v>
      </c>
      <c r="G55" t="n">
        <v>31</v>
      </c>
      <c r="H55" t="n">
        <v>-2.29</v>
      </c>
      <c r="I55" t="n">
        <v>2</v>
      </c>
      <c r="J55" t="n">
        <v>0.24</v>
      </c>
      <c r="K55" t="n">
        <v>1</v>
      </c>
      <c r="L55" t="n">
        <v>0</v>
      </c>
      <c r="M55" t="n">
        <v>1</v>
      </c>
      <c r="N55" t="n">
        <v>2</v>
      </c>
      <c r="O55" t="inlineStr">
        <is>
          <t>诺德股份</t>
        </is>
      </c>
      <c r="P55" t="n">
        <v>31</v>
      </c>
      <c r="Q55" t="inlineStr">
        <is>
          <t>1.诺德股份(600110)-31分 | 2.中一科技(301150)-8分 | 3.铜冠铜箔(301217)-3分</t>
        </is>
      </c>
    </row>
    <row r="56">
      <c r="A56" t="n">
        <v>55</v>
      </c>
      <c r="B56" t="inlineStr">
        <is>
          <t>4-暂时回避</t>
        </is>
      </c>
      <c r="C56" t="inlineStr">
        <is>
          <t>PCB</t>
        </is>
      </c>
      <c r="D56" t="inlineStr">
        <is>
          <t>插芯</t>
        </is>
      </c>
      <c r="E56" t="n">
        <v>1</v>
      </c>
      <c r="F56" t="n">
        <v>11</v>
      </c>
      <c r="G56" t="n">
        <v>11</v>
      </c>
      <c r="H56" t="n">
        <v>3.49</v>
      </c>
      <c r="I56" t="n">
        <v>0</v>
      </c>
      <c r="J56" t="n">
        <v>0.01</v>
      </c>
      <c r="K56" t="n">
        <v>0</v>
      </c>
      <c r="L56" t="n">
        <v>1</v>
      </c>
      <c r="M56" t="n">
        <v>0</v>
      </c>
      <c r="N56" t="n">
        <v>0</v>
      </c>
      <c r="O56" t="inlineStr">
        <is>
          <t>三环集团</t>
        </is>
      </c>
      <c r="P56" t="n">
        <v>11</v>
      </c>
      <c r="Q56" t="inlineStr">
        <is>
          <t>1.三环集团(300408)-11分</t>
        </is>
      </c>
    </row>
    <row r="57">
      <c r="A57" t="n">
        <v>56</v>
      </c>
      <c r="B57" t="inlineStr">
        <is>
          <t>4-暂时回避</t>
        </is>
      </c>
      <c r="C57" t="inlineStr">
        <is>
          <t>半导体</t>
        </is>
      </c>
      <c r="D57" t="inlineStr">
        <is>
          <t>TGV工艺</t>
        </is>
      </c>
      <c r="E57" t="n">
        <v>1</v>
      </c>
      <c r="F57" t="n">
        <v>11</v>
      </c>
      <c r="G57" t="n">
        <v>11</v>
      </c>
      <c r="H57" t="n">
        <v>19.98</v>
      </c>
      <c r="I57" t="n">
        <v>1</v>
      </c>
      <c r="J57" t="n">
        <v>0.16</v>
      </c>
      <c r="K57" t="n">
        <v>0</v>
      </c>
      <c r="L57" t="n">
        <v>1</v>
      </c>
      <c r="M57" t="n">
        <v>0</v>
      </c>
      <c r="N57" t="n">
        <v>0</v>
      </c>
      <c r="O57" t="inlineStr">
        <is>
          <t>美迪凯</t>
        </is>
      </c>
      <c r="P57" t="n">
        <v>11</v>
      </c>
      <c r="Q57" t="inlineStr">
        <is>
          <t>1.美迪凯(688079)-11分</t>
        </is>
      </c>
    </row>
    <row r="58">
      <c r="A58" t="n">
        <v>57</v>
      </c>
      <c r="B58" t="inlineStr">
        <is>
          <t>4-暂时回避</t>
        </is>
      </c>
      <c r="C58" t="inlineStr">
        <is>
          <t>半导体</t>
        </is>
      </c>
      <c r="D58" t="inlineStr">
        <is>
          <t>电镀添加剂</t>
        </is>
      </c>
      <c r="E58" t="n">
        <v>1</v>
      </c>
      <c r="F58" t="n">
        <v>11</v>
      </c>
      <c r="G58" t="n">
        <v>11</v>
      </c>
      <c r="H58" t="n">
        <v>0.44</v>
      </c>
      <c r="I58" t="n">
        <v>0</v>
      </c>
      <c r="J58" t="n">
        <v>0.11</v>
      </c>
      <c r="K58" t="n">
        <v>0</v>
      </c>
      <c r="L58" t="n">
        <v>1</v>
      </c>
      <c r="M58" t="n">
        <v>0</v>
      </c>
      <c r="N58" t="n">
        <v>0</v>
      </c>
      <c r="O58" t="inlineStr">
        <is>
          <t>天承科技</t>
        </is>
      </c>
      <c r="P58" t="n">
        <v>11</v>
      </c>
      <c r="Q58" t="inlineStr">
        <is>
          <t>1.天承科技(688603)-11分</t>
        </is>
      </c>
    </row>
    <row r="59">
      <c r="A59" t="n">
        <v>58</v>
      </c>
      <c r="B59" t="inlineStr">
        <is>
          <t>4-暂时回避</t>
        </is>
      </c>
      <c r="C59" t="inlineStr">
        <is>
          <t>半导体</t>
        </is>
      </c>
      <c r="D59" t="inlineStr">
        <is>
          <t>TGV设备</t>
        </is>
      </c>
      <c r="E59" t="n">
        <v>1</v>
      </c>
      <c r="F59" t="n">
        <v>11</v>
      </c>
      <c r="G59" t="n">
        <v>11</v>
      </c>
      <c r="H59" t="n">
        <v>1.94</v>
      </c>
      <c r="I59" t="n">
        <v>0</v>
      </c>
      <c r="J59" t="n">
        <v>0.16</v>
      </c>
      <c r="K59" t="n">
        <v>0</v>
      </c>
      <c r="L59" t="n">
        <v>1</v>
      </c>
      <c r="M59" t="n">
        <v>0</v>
      </c>
      <c r="N59" t="n">
        <v>0</v>
      </c>
      <c r="O59" t="inlineStr">
        <is>
          <t>东威科技</t>
        </is>
      </c>
      <c r="P59" t="n">
        <v>11</v>
      </c>
      <c r="Q59" t="inlineStr">
        <is>
          <t>1.东威科技(688700)-11分</t>
        </is>
      </c>
    </row>
    <row r="60">
      <c r="A60" t="n">
        <v>59</v>
      </c>
      <c r="B60" t="inlineStr">
        <is>
          <t>4-暂时回避</t>
        </is>
      </c>
      <c r="C60" t="inlineStr">
        <is>
          <t>商业航天</t>
        </is>
      </c>
      <c r="D60" t="inlineStr">
        <is>
          <t>测试</t>
        </is>
      </c>
      <c r="E60" t="n">
        <v>2</v>
      </c>
      <c r="F60" t="n">
        <v>11</v>
      </c>
      <c r="G60" t="n">
        <v>22</v>
      </c>
      <c r="H60" t="n">
        <v>9.890000000000001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inlineStr">
        <is>
          <t>西测测试</t>
        </is>
      </c>
      <c r="P60" t="n">
        <v>22</v>
      </c>
      <c r="Q60" t="inlineStr">
        <is>
          <t>1.西测测试(301306)-22分 | 2.苏试试验(300416)-0分</t>
        </is>
      </c>
    </row>
    <row r="61">
      <c r="A61" t="n">
        <v>60</v>
      </c>
      <c r="B61" t="inlineStr">
        <is>
          <t>4-暂时回避</t>
        </is>
      </c>
      <c r="C61" t="inlineStr">
        <is>
          <t>半导体</t>
        </is>
      </c>
      <c r="D61" t="inlineStr">
        <is>
          <t>其他</t>
        </is>
      </c>
      <c r="E61" t="n">
        <v>1</v>
      </c>
      <c r="F61" t="n">
        <v>11</v>
      </c>
      <c r="G61" t="n">
        <v>11</v>
      </c>
      <c r="H61" t="n">
        <v>2.55</v>
      </c>
      <c r="I61" t="n">
        <v>0</v>
      </c>
      <c r="J61" t="n">
        <v>0.02</v>
      </c>
      <c r="K61" t="n">
        <v>0</v>
      </c>
      <c r="L61" t="n">
        <v>1</v>
      </c>
      <c r="M61" t="n">
        <v>0</v>
      </c>
      <c r="N61" t="n">
        <v>0</v>
      </c>
      <c r="O61" t="inlineStr">
        <is>
          <t>四方光电</t>
        </is>
      </c>
      <c r="P61" t="n">
        <v>11</v>
      </c>
      <c r="Q61" t="inlineStr">
        <is>
          <t>1.四方光电(688665)-11分</t>
        </is>
      </c>
    </row>
    <row r="62">
      <c r="A62" t="n">
        <v>61</v>
      </c>
      <c r="B62" t="inlineStr">
        <is>
          <t>4-暂时回避</t>
        </is>
      </c>
      <c r="C62" t="inlineStr">
        <is>
          <t>半导体</t>
        </is>
      </c>
      <c r="D62" t="inlineStr">
        <is>
          <t>玻璃基板封装</t>
        </is>
      </c>
      <c r="E62" t="n">
        <v>1</v>
      </c>
      <c r="F62" t="n">
        <v>11</v>
      </c>
      <c r="G62" t="n">
        <v>11</v>
      </c>
      <c r="H62" t="n">
        <v>10</v>
      </c>
      <c r="I62" t="n">
        <v>1</v>
      </c>
      <c r="J62" t="n">
        <v>0.19</v>
      </c>
      <c r="K62" t="n">
        <v>0</v>
      </c>
      <c r="L62" t="n">
        <v>1</v>
      </c>
      <c r="M62" t="n">
        <v>0</v>
      </c>
      <c r="N62" t="n">
        <v>0</v>
      </c>
      <c r="O62" t="inlineStr">
        <is>
          <t>京东方Ａ</t>
        </is>
      </c>
      <c r="P62" t="n">
        <v>11</v>
      </c>
      <c r="Q62" t="inlineStr">
        <is>
          <t>1.京东方Ａ(000725)-11分</t>
        </is>
      </c>
    </row>
    <row r="63">
      <c r="A63" t="n">
        <v>62</v>
      </c>
      <c r="B63" t="inlineStr">
        <is>
          <t>4-暂时回避</t>
        </is>
      </c>
      <c r="C63" t="inlineStr">
        <is>
          <t>人形机器人</t>
        </is>
      </c>
      <c r="D63" t="inlineStr">
        <is>
          <t>加工刀具</t>
        </is>
      </c>
      <c r="E63" t="n">
        <v>2</v>
      </c>
      <c r="F63" t="n">
        <v>11</v>
      </c>
      <c r="G63" t="n">
        <v>22</v>
      </c>
      <c r="H63" t="n">
        <v>5.93</v>
      </c>
      <c r="I63" t="n">
        <v>0</v>
      </c>
      <c r="J63" t="n">
        <v>0.03</v>
      </c>
      <c r="K63" t="n">
        <v>1</v>
      </c>
      <c r="L63" t="n">
        <v>0</v>
      </c>
      <c r="M63" t="n">
        <v>0</v>
      </c>
      <c r="N63" t="n">
        <v>1</v>
      </c>
      <c r="O63" t="inlineStr">
        <is>
          <t>恒锋工具</t>
        </is>
      </c>
      <c r="P63" t="n">
        <v>22</v>
      </c>
      <c r="Q63" t="inlineStr">
        <is>
          <t>1.恒锋工具(300488)-22分 | 2.沃尔德(688028)-0分</t>
        </is>
      </c>
    </row>
    <row r="64">
      <c r="A64" t="n">
        <v>63</v>
      </c>
      <c r="B64" t="inlineStr">
        <is>
          <t>4-暂时回避</t>
        </is>
      </c>
      <c r="C64" t="inlineStr">
        <is>
          <t>PCB</t>
        </is>
      </c>
      <c r="D64" t="inlineStr">
        <is>
          <t>英伟达</t>
        </is>
      </c>
      <c r="E64" t="n">
        <v>6</v>
      </c>
      <c r="F64" t="n">
        <v>10.83</v>
      </c>
      <c r="G64" t="n">
        <v>30</v>
      </c>
      <c r="H64" t="n">
        <v>7.18</v>
      </c>
      <c r="I64" t="n">
        <v>2</v>
      </c>
      <c r="J64" t="n">
        <v>0</v>
      </c>
      <c r="K64" t="n">
        <v>2</v>
      </c>
      <c r="L64" t="n">
        <v>0</v>
      </c>
      <c r="M64" t="n">
        <v>1</v>
      </c>
      <c r="N64" t="n">
        <v>3</v>
      </c>
      <c r="O64" t="inlineStr">
        <is>
          <t>宏昌电子</t>
        </is>
      </c>
      <c r="P64" t="n">
        <v>30</v>
      </c>
      <c r="Q64" t="inlineStr">
        <is>
          <t>1.宏昌电子(603002)-30分 | 2.一博科技(301366)-22分 | 3.美联新材(300586)-8分</t>
        </is>
      </c>
    </row>
    <row r="65">
      <c r="A65" t="n">
        <v>64</v>
      </c>
      <c r="B65" t="inlineStr">
        <is>
          <t>4-暂时回避</t>
        </is>
      </c>
      <c r="C65" t="inlineStr">
        <is>
          <t>半导体</t>
        </is>
      </c>
      <c r="D65" t="inlineStr">
        <is>
          <t>蚀刻设备</t>
        </is>
      </c>
      <c r="E65" t="n">
        <v>4</v>
      </c>
      <c r="F65" t="n">
        <v>10.75</v>
      </c>
      <c r="G65" t="n">
        <v>22</v>
      </c>
      <c r="H65" t="n">
        <v>7.24</v>
      </c>
      <c r="I65" t="n">
        <v>1</v>
      </c>
      <c r="J65" t="n">
        <v>0.14</v>
      </c>
      <c r="K65" t="n">
        <v>1</v>
      </c>
      <c r="L65" t="n">
        <v>0</v>
      </c>
      <c r="M65" t="n">
        <v>2</v>
      </c>
      <c r="N65" t="n">
        <v>1</v>
      </c>
      <c r="O65" t="inlineStr">
        <is>
          <t>神工股份</t>
        </is>
      </c>
      <c r="P65" t="n">
        <v>22</v>
      </c>
      <c r="Q65" t="inlineStr">
        <is>
          <t>1.神工股份(688233)-22分 | 2.先锋精科(688605)-8分 | 3.中微公司(688012)-8分</t>
        </is>
      </c>
    </row>
    <row r="66">
      <c r="A66" t="n">
        <v>65</v>
      </c>
      <c r="B66" t="inlineStr">
        <is>
          <t>4-暂时回避</t>
        </is>
      </c>
      <c r="C66" t="inlineStr">
        <is>
          <t>PCB</t>
        </is>
      </c>
      <c r="D66" t="inlineStr">
        <is>
          <t>钻孔</t>
        </is>
      </c>
      <c r="E66" t="n">
        <v>4</v>
      </c>
      <c r="F66" t="n">
        <v>10.25</v>
      </c>
      <c r="G66" t="n">
        <v>22</v>
      </c>
      <c r="H66" t="n">
        <v>4.51</v>
      </c>
      <c r="I66" t="n">
        <v>0</v>
      </c>
      <c r="J66" t="n">
        <v>0.06</v>
      </c>
      <c r="K66" t="n">
        <v>1</v>
      </c>
      <c r="L66" t="n">
        <v>0</v>
      </c>
      <c r="M66" t="n">
        <v>2</v>
      </c>
      <c r="N66" t="n">
        <v>1</v>
      </c>
      <c r="O66" t="inlineStr">
        <is>
          <t>英诺激光</t>
        </is>
      </c>
      <c r="P66" t="n">
        <v>22</v>
      </c>
      <c r="Q66" t="inlineStr">
        <is>
          <t>1.英诺激光(301021)-22分 | 2.德龙激光(688170)-8分 | 3.天准科技(688003)-8分</t>
        </is>
      </c>
    </row>
    <row r="67">
      <c r="A67" t="n">
        <v>66</v>
      </c>
      <c r="B67" t="inlineStr">
        <is>
          <t>4-暂时回避</t>
        </is>
      </c>
      <c r="C67" t="inlineStr">
        <is>
          <t>半导体</t>
        </is>
      </c>
      <c r="D67" t="inlineStr">
        <is>
          <t>代工</t>
        </is>
      </c>
      <c r="E67" t="n">
        <v>9</v>
      </c>
      <c r="F67" t="n">
        <v>9.890000000000001</v>
      </c>
      <c r="G67" t="n">
        <v>22</v>
      </c>
      <c r="H67" t="n">
        <v>5.69</v>
      </c>
      <c r="I67" t="n">
        <v>1</v>
      </c>
      <c r="J67" t="n">
        <v>0.25</v>
      </c>
      <c r="K67" t="n">
        <v>3</v>
      </c>
      <c r="L67" t="n">
        <v>0</v>
      </c>
      <c r="M67" t="n">
        <v>2</v>
      </c>
      <c r="N67" t="n">
        <v>4</v>
      </c>
      <c r="O67" t="inlineStr">
        <is>
          <t>新洁能</t>
        </is>
      </c>
      <c r="P67" t="n">
        <v>22</v>
      </c>
      <c r="Q67" t="inlineStr">
        <is>
          <t>1.新洁能(605111)-22分 | 2.士兰微(600460)-22分 | 3.华虹公司(688347)-13分</t>
        </is>
      </c>
    </row>
    <row r="68">
      <c r="A68" t="n">
        <v>67</v>
      </c>
      <c r="B68" t="inlineStr">
        <is>
          <t>4-暂时回避</t>
        </is>
      </c>
      <c r="C68" t="inlineStr">
        <is>
          <t>PCB</t>
        </is>
      </c>
      <c r="D68" t="inlineStr">
        <is>
          <t>HVLP</t>
        </is>
      </c>
      <c r="E68" t="n">
        <v>7</v>
      </c>
      <c r="F68" t="n">
        <v>9.859999999999999</v>
      </c>
      <c r="G68" t="n">
        <v>31</v>
      </c>
      <c r="H68" t="n">
        <v>-4.43</v>
      </c>
      <c r="I68" t="n">
        <v>1</v>
      </c>
      <c r="J68" t="n">
        <v>0.14</v>
      </c>
      <c r="K68" t="n">
        <v>2</v>
      </c>
      <c r="L68" t="n">
        <v>0</v>
      </c>
      <c r="M68" t="n">
        <v>1</v>
      </c>
      <c r="N68" t="n">
        <v>4</v>
      </c>
      <c r="O68" t="inlineStr">
        <is>
          <t>诺德股份</t>
        </is>
      </c>
      <c r="P68" t="n">
        <v>31</v>
      </c>
      <c r="Q68" t="inlineStr">
        <is>
          <t>1.诺德股份(600110)-31分 | 2.宝鼎科技(002552)-17分 | 3.逸豪新材(301176)-9分</t>
        </is>
      </c>
    </row>
    <row r="69">
      <c r="A69" t="n">
        <v>68</v>
      </c>
      <c r="B69" t="inlineStr">
        <is>
          <t>4-暂时回避</t>
        </is>
      </c>
      <c r="C69" t="inlineStr">
        <is>
          <t>半导体</t>
        </is>
      </c>
      <c r="D69" t="inlineStr">
        <is>
          <t>空气净化系统</t>
        </is>
      </c>
      <c r="E69" t="n">
        <v>5</v>
      </c>
      <c r="F69" t="n">
        <v>9.800000000000001</v>
      </c>
      <c r="G69" t="n">
        <v>25</v>
      </c>
      <c r="H69" t="n">
        <v>4.22</v>
      </c>
      <c r="I69" t="n">
        <v>2</v>
      </c>
      <c r="J69" t="n">
        <v>0.01</v>
      </c>
      <c r="K69" t="n">
        <v>2</v>
      </c>
      <c r="L69" t="n">
        <v>0</v>
      </c>
      <c r="M69" t="n">
        <v>1</v>
      </c>
      <c r="N69" t="n">
        <v>2</v>
      </c>
      <c r="O69" t="inlineStr">
        <is>
          <t>盛剑科技</t>
        </is>
      </c>
      <c r="P69" t="n">
        <v>25</v>
      </c>
      <c r="Q69" t="inlineStr">
        <is>
          <t>1.盛剑科技(603324)-25分 | 2.美埃科技(688376)-16分 | 3.再升科技(603601)-8分</t>
        </is>
      </c>
    </row>
    <row r="70">
      <c r="A70" t="n">
        <v>69</v>
      </c>
      <c r="B70" t="inlineStr">
        <is>
          <t>4-暂时回避</t>
        </is>
      </c>
      <c r="C70" t="inlineStr">
        <is>
          <t>电池</t>
        </is>
      </c>
      <c r="D70" t="inlineStr">
        <is>
          <t>VC+FEC</t>
        </is>
      </c>
      <c r="E70" t="n">
        <v>4</v>
      </c>
      <c r="F70" t="n">
        <v>9.75</v>
      </c>
      <c r="G70" t="n">
        <v>22</v>
      </c>
      <c r="H70" t="n">
        <v>1.04</v>
      </c>
      <c r="I70" t="n">
        <v>0</v>
      </c>
      <c r="J70" t="n">
        <v>0.03</v>
      </c>
      <c r="K70" t="n">
        <v>2</v>
      </c>
      <c r="L70" t="n">
        <v>0</v>
      </c>
      <c r="M70" t="n">
        <v>0</v>
      </c>
      <c r="N70" t="n">
        <v>2</v>
      </c>
      <c r="O70" t="inlineStr">
        <is>
          <t>华盛锂电</t>
        </is>
      </c>
      <c r="P70" t="n">
        <v>22</v>
      </c>
      <c r="Q70" t="inlineStr">
        <is>
          <t>1.华盛锂电(688353)-22分 | 2.海科新源(301292)-14分 | 3.冠城新材(600067)-3分</t>
        </is>
      </c>
    </row>
    <row r="71">
      <c r="A71" t="n">
        <v>70</v>
      </c>
      <c r="B71" t="inlineStr">
        <is>
          <t>4-暂时回避</t>
        </is>
      </c>
      <c r="C71" t="inlineStr">
        <is>
          <t>PCB</t>
        </is>
      </c>
      <c r="D71" t="inlineStr">
        <is>
          <t>谷歌</t>
        </is>
      </c>
      <c r="E71" t="n">
        <v>3</v>
      </c>
      <c r="F71" t="n">
        <v>9.67</v>
      </c>
      <c r="G71" t="n">
        <v>16</v>
      </c>
      <c r="H71" t="n">
        <v>5.32</v>
      </c>
      <c r="I71" t="n">
        <v>1</v>
      </c>
      <c r="J71" t="n">
        <v>0.01</v>
      </c>
      <c r="K71" t="n">
        <v>2</v>
      </c>
      <c r="L71" t="n">
        <v>0</v>
      </c>
      <c r="M71" t="n">
        <v>0</v>
      </c>
      <c r="N71" t="n">
        <v>1</v>
      </c>
      <c r="O71" t="inlineStr">
        <is>
          <t>深南电路</t>
        </is>
      </c>
      <c r="P71" t="n">
        <v>16</v>
      </c>
      <c r="Q71" t="inlineStr">
        <is>
          <t>1.深南电路(002916)-16分 | 2.沪电股份(002463)-13分 | 3.胜宏科技(300476)-0分</t>
        </is>
      </c>
    </row>
    <row r="72">
      <c r="A72" t="n">
        <v>71</v>
      </c>
      <c r="B72" t="inlineStr">
        <is>
          <t>4-暂时回避</t>
        </is>
      </c>
      <c r="C72" t="inlineStr">
        <is>
          <t>半导体</t>
        </is>
      </c>
      <c r="D72" t="inlineStr">
        <is>
          <t>薄膜沉积设备</t>
        </is>
      </c>
      <c r="E72" t="n">
        <v>5</v>
      </c>
      <c r="F72" t="n">
        <v>9.6</v>
      </c>
      <c r="G72" t="n">
        <v>19</v>
      </c>
      <c r="H72" t="n">
        <v>7.68</v>
      </c>
      <c r="I72" t="n">
        <v>2</v>
      </c>
      <c r="J72" t="n">
        <v>0.14</v>
      </c>
      <c r="K72" t="n">
        <v>1</v>
      </c>
      <c r="L72" t="n">
        <v>0</v>
      </c>
      <c r="M72" t="n">
        <v>3</v>
      </c>
      <c r="N72" t="n">
        <v>1</v>
      </c>
      <c r="O72" t="inlineStr">
        <is>
          <t>微导纳米</t>
        </is>
      </c>
      <c r="P72" t="n">
        <v>19</v>
      </c>
      <c r="Q72" t="inlineStr">
        <is>
          <t>1.微导纳米(688147)-19分 | 2.先锋精科(688605)-8分 | 3.拓荆科技(688072)-8分</t>
        </is>
      </c>
    </row>
    <row r="73">
      <c r="A73" t="n">
        <v>72</v>
      </c>
      <c r="B73" t="inlineStr">
        <is>
          <t>4-暂时回避</t>
        </is>
      </c>
      <c r="C73" t="inlineStr">
        <is>
          <t>半导体</t>
        </is>
      </c>
      <c r="D73" t="inlineStr">
        <is>
          <t>溅射靶材</t>
        </is>
      </c>
      <c r="E73" t="n">
        <v>5</v>
      </c>
      <c r="F73" t="n">
        <v>9.6</v>
      </c>
      <c r="G73" t="n">
        <v>17</v>
      </c>
      <c r="H73" t="n">
        <v>0.58</v>
      </c>
      <c r="I73" t="n">
        <v>0</v>
      </c>
      <c r="J73" t="n">
        <v>0.04</v>
      </c>
      <c r="K73" t="n">
        <v>2</v>
      </c>
      <c r="L73" t="n">
        <v>0</v>
      </c>
      <c r="M73" t="n">
        <v>1</v>
      </c>
      <c r="N73" t="n">
        <v>2</v>
      </c>
      <c r="O73" t="inlineStr">
        <is>
          <t>隆华科技</t>
        </is>
      </c>
      <c r="P73" t="n">
        <v>17</v>
      </c>
      <c r="Q73" t="inlineStr">
        <is>
          <t>1.隆华科技(300263)-17分 | 2.有研新材(600206)-17分 | 3.欧莱新材(688530)-8分</t>
        </is>
      </c>
    </row>
    <row r="74">
      <c r="A74" t="n">
        <v>73</v>
      </c>
      <c r="B74" t="inlineStr">
        <is>
          <t>4-暂时回避</t>
        </is>
      </c>
      <c r="C74" t="inlineStr">
        <is>
          <t>PCB</t>
        </is>
      </c>
      <c r="D74" t="inlineStr">
        <is>
          <t>检测</t>
        </is>
      </c>
      <c r="E74" t="n">
        <v>2</v>
      </c>
      <c r="F74" t="n">
        <v>9.5</v>
      </c>
      <c r="G74" t="n">
        <v>11</v>
      </c>
      <c r="H74" t="n">
        <v>6.19</v>
      </c>
      <c r="I74" t="n">
        <v>1</v>
      </c>
      <c r="J74" t="n">
        <v>0.06</v>
      </c>
      <c r="K74" t="n">
        <v>0</v>
      </c>
      <c r="L74" t="n">
        <v>1</v>
      </c>
      <c r="M74" t="n">
        <v>1</v>
      </c>
      <c r="N74" t="n">
        <v>0</v>
      </c>
      <c r="O74" t="inlineStr">
        <is>
          <t>正业科技</t>
        </is>
      </c>
      <c r="P74" t="n">
        <v>11</v>
      </c>
      <c r="Q74" t="inlineStr">
        <is>
          <t>1.正业科技(300410)-11分 | 2.燕麦科技(688312)-8分</t>
        </is>
      </c>
    </row>
    <row r="75">
      <c r="A75" t="n">
        <v>74</v>
      </c>
      <c r="B75" t="inlineStr">
        <is>
          <t>4-暂时回避</t>
        </is>
      </c>
      <c r="C75" t="inlineStr">
        <is>
          <t>半导体</t>
        </is>
      </c>
      <c r="D75" t="inlineStr">
        <is>
          <t>洁净室</t>
        </is>
      </c>
      <c r="E75" t="n">
        <v>8</v>
      </c>
      <c r="F75" t="n">
        <v>8.880000000000001</v>
      </c>
      <c r="G75" t="n">
        <v>17</v>
      </c>
      <c r="H75" t="n">
        <v>2.19</v>
      </c>
      <c r="I75" t="n">
        <v>1</v>
      </c>
      <c r="J75" t="n">
        <v>0.01</v>
      </c>
      <c r="K75" t="n">
        <v>4</v>
      </c>
      <c r="L75" t="n">
        <v>0</v>
      </c>
      <c r="M75" t="n">
        <v>1</v>
      </c>
      <c r="N75" t="n">
        <v>3</v>
      </c>
      <c r="O75" t="inlineStr">
        <is>
          <t>深桑达Ａ</t>
        </is>
      </c>
      <c r="P75" t="n">
        <v>17</v>
      </c>
      <c r="Q75" t="inlineStr">
        <is>
          <t>1.深桑达Ａ(000032)-17分 | 2.圣晖集成(603163)-16分 | 3.太极实业(600667)-16分</t>
        </is>
      </c>
    </row>
    <row r="76">
      <c r="A76" t="n">
        <v>75</v>
      </c>
      <c r="B76" t="inlineStr">
        <is>
          <t>4-暂时回避</t>
        </is>
      </c>
      <c r="C76" t="inlineStr">
        <is>
          <t>电池</t>
        </is>
      </c>
      <c r="D76" t="inlineStr">
        <is>
          <t>电解液溶剂</t>
        </is>
      </c>
      <c r="E76" t="n">
        <v>5</v>
      </c>
      <c r="F76" t="n">
        <v>8.6</v>
      </c>
      <c r="G76" t="n">
        <v>16</v>
      </c>
      <c r="H76" t="n">
        <v>2.78</v>
      </c>
      <c r="I76" t="n">
        <v>0</v>
      </c>
      <c r="J76" t="n">
        <v>0</v>
      </c>
      <c r="K76" t="n">
        <v>3</v>
      </c>
      <c r="L76" t="n">
        <v>0</v>
      </c>
      <c r="M76" t="n">
        <v>0</v>
      </c>
      <c r="N76" t="n">
        <v>2</v>
      </c>
      <c r="O76" t="inlineStr">
        <is>
          <t>新宙邦</t>
        </is>
      </c>
      <c r="P76" t="n">
        <v>16</v>
      </c>
      <c r="Q76" t="inlineStr">
        <is>
          <t>1.新宙邦(300037)-16分 | 2.海科新源(301292)-14分 | 3.石大胜华(603026)-13分</t>
        </is>
      </c>
    </row>
    <row r="77">
      <c r="A77" t="n">
        <v>76</v>
      </c>
      <c r="B77" t="inlineStr">
        <is>
          <t>4-暂时回避</t>
        </is>
      </c>
      <c r="C77" t="inlineStr">
        <is>
          <t>PCB</t>
        </is>
      </c>
      <c r="D77" t="inlineStr">
        <is>
          <t>隔膜</t>
        </is>
      </c>
      <c r="E77" t="n">
        <v>5</v>
      </c>
      <c r="F77" t="n">
        <v>8.199999999999999</v>
      </c>
      <c r="G77" t="n">
        <v>30</v>
      </c>
      <c r="H77" t="n">
        <v>2.15</v>
      </c>
      <c r="I77" t="n">
        <v>1</v>
      </c>
      <c r="J77" t="n">
        <v>0.01</v>
      </c>
      <c r="K77" t="n">
        <v>1</v>
      </c>
      <c r="L77" t="n">
        <v>0</v>
      </c>
      <c r="M77" t="n">
        <v>1</v>
      </c>
      <c r="N77" t="n">
        <v>3</v>
      </c>
      <c r="O77" t="inlineStr">
        <is>
          <t>中材科技</t>
        </is>
      </c>
      <c r="P77" t="n">
        <v>30</v>
      </c>
      <c r="Q77" t="inlineStr">
        <is>
          <t>1.中材科技(002080)-30分 | 2.星源材质(300568)-8分 | 3.恩捷股份(002812)-3分</t>
        </is>
      </c>
    </row>
    <row r="78">
      <c r="A78" t="n">
        <v>77</v>
      </c>
      <c r="B78" t="inlineStr">
        <is>
          <t>4-暂时回避</t>
        </is>
      </c>
      <c r="C78" t="inlineStr">
        <is>
          <t>半导体</t>
        </is>
      </c>
      <c r="D78" t="inlineStr">
        <is>
          <t>分选机</t>
        </is>
      </c>
      <c r="E78" t="n">
        <v>1</v>
      </c>
      <c r="F78" t="n">
        <v>8</v>
      </c>
      <c r="G78" t="n">
        <v>8</v>
      </c>
      <c r="H78" t="n">
        <v>1.05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inlineStr">
        <is>
          <t>金海通</t>
        </is>
      </c>
      <c r="P78" t="n">
        <v>8</v>
      </c>
      <c r="Q78" t="inlineStr">
        <is>
          <t>1.金海通(603061)-8分</t>
        </is>
      </c>
    </row>
    <row r="79">
      <c r="A79" t="n">
        <v>78</v>
      </c>
      <c r="B79" t="inlineStr">
        <is>
          <t>4-暂时回避</t>
        </is>
      </c>
      <c r="C79" t="inlineStr">
        <is>
          <t>PCB</t>
        </is>
      </c>
      <c r="D79" t="inlineStr">
        <is>
          <t>树脂增韧剂</t>
        </is>
      </c>
      <c r="E79" t="n">
        <v>1</v>
      </c>
      <c r="F79" t="n">
        <v>8</v>
      </c>
      <c r="G79" t="n">
        <v>8</v>
      </c>
      <c r="H79" t="n">
        <v>1.56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inlineStr">
        <is>
          <t>瑞丰高材</t>
        </is>
      </c>
      <c r="P79" t="n">
        <v>8</v>
      </c>
      <c r="Q79" t="inlineStr">
        <is>
          <t>1.瑞丰高材(300243)-8分</t>
        </is>
      </c>
    </row>
    <row r="80">
      <c r="A80" t="n">
        <v>79</v>
      </c>
      <c r="B80" t="inlineStr">
        <is>
          <t>4-暂时回避</t>
        </is>
      </c>
      <c r="C80" t="inlineStr">
        <is>
          <t>电池</t>
        </is>
      </c>
      <c r="D80" t="inlineStr">
        <is>
          <t>骨架膜</t>
        </is>
      </c>
      <c r="E80" t="n">
        <v>1</v>
      </c>
      <c r="F80" t="n">
        <v>8</v>
      </c>
      <c r="G80" t="n">
        <v>8</v>
      </c>
      <c r="H80" t="n">
        <v>3.15</v>
      </c>
      <c r="I80" t="n">
        <v>0</v>
      </c>
      <c r="J80" t="n">
        <v>0.01</v>
      </c>
      <c r="K80" t="n">
        <v>0</v>
      </c>
      <c r="L80" t="n">
        <v>1</v>
      </c>
      <c r="M80" t="n">
        <v>0</v>
      </c>
      <c r="N80" t="n">
        <v>0</v>
      </c>
      <c r="O80" t="inlineStr">
        <is>
          <t>星源材质</t>
        </is>
      </c>
      <c r="P80" t="n">
        <v>8</v>
      </c>
      <c r="Q80" t="inlineStr">
        <is>
          <t>1.星源材质(300568)-8分</t>
        </is>
      </c>
    </row>
    <row r="81">
      <c r="A81" t="n">
        <v>80</v>
      </c>
      <c r="B81" t="inlineStr">
        <is>
          <t>4-暂时回避</t>
        </is>
      </c>
      <c r="C81" t="inlineStr">
        <is>
          <t>商业航天</t>
        </is>
      </c>
      <c r="D81" t="inlineStr">
        <is>
          <t>垣信卫星</t>
        </is>
      </c>
      <c r="E81" t="n">
        <v>1</v>
      </c>
      <c r="F81" t="n">
        <v>8</v>
      </c>
      <c r="G81" t="n">
        <v>8</v>
      </c>
      <c r="H81" t="n">
        <v>10.4</v>
      </c>
      <c r="I81" t="n">
        <v>1</v>
      </c>
      <c r="J81" t="n">
        <v>0.01</v>
      </c>
      <c r="K81" t="n">
        <v>0</v>
      </c>
      <c r="L81" t="n">
        <v>1</v>
      </c>
      <c r="M81" t="n">
        <v>0</v>
      </c>
      <c r="N81" t="n">
        <v>0</v>
      </c>
      <c r="O81" t="inlineStr">
        <is>
          <t>上海瀚讯</t>
        </is>
      </c>
      <c r="P81" t="n">
        <v>8</v>
      </c>
      <c r="Q81" t="inlineStr">
        <is>
          <t>1.上海瀚讯(300762)-8分</t>
        </is>
      </c>
    </row>
    <row r="82">
      <c r="A82" t="n">
        <v>81</v>
      </c>
      <c r="B82" t="inlineStr">
        <is>
          <t>4-暂时回避</t>
        </is>
      </c>
      <c r="C82" t="inlineStr">
        <is>
          <t>半导体</t>
        </is>
      </c>
      <c r="D82" t="inlineStr">
        <is>
          <t>DPU</t>
        </is>
      </c>
      <c r="E82" t="n">
        <v>1</v>
      </c>
      <c r="F82" t="n">
        <v>8</v>
      </c>
      <c r="G82" t="n">
        <v>8</v>
      </c>
      <c r="H82" t="n">
        <v>2.01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inlineStr">
        <is>
          <t>致尚科技</t>
        </is>
      </c>
      <c r="P82" t="n">
        <v>8</v>
      </c>
      <c r="Q82" t="inlineStr">
        <is>
          <t>1.致尚科技(301486)-8分</t>
        </is>
      </c>
    </row>
    <row r="83">
      <c r="A83" t="n">
        <v>82</v>
      </c>
      <c r="B83" t="inlineStr">
        <is>
          <t>4-暂时回避</t>
        </is>
      </c>
      <c r="C83" t="inlineStr">
        <is>
          <t>半导体</t>
        </is>
      </c>
      <c r="D83" t="inlineStr">
        <is>
          <t>化学机械抛光设备</t>
        </is>
      </c>
      <c r="E83" t="n">
        <v>1</v>
      </c>
      <c r="F83" t="n">
        <v>8</v>
      </c>
      <c r="G83" t="n">
        <v>8</v>
      </c>
      <c r="H83" t="n">
        <v>10.5</v>
      </c>
      <c r="I83" t="n">
        <v>1</v>
      </c>
      <c r="J83" t="n">
        <v>0.2</v>
      </c>
      <c r="K83" t="n">
        <v>0</v>
      </c>
      <c r="L83" t="n">
        <v>1</v>
      </c>
      <c r="M83" t="n">
        <v>0</v>
      </c>
      <c r="N83" t="n">
        <v>0</v>
      </c>
      <c r="O83" t="inlineStr">
        <is>
          <t>华海清科</t>
        </is>
      </c>
      <c r="P83" t="n">
        <v>8</v>
      </c>
      <c r="Q83" t="inlineStr">
        <is>
          <t>1.华海清科(688120)-8分</t>
        </is>
      </c>
    </row>
    <row r="84">
      <c r="A84" t="n">
        <v>83</v>
      </c>
      <c r="B84" t="inlineStr">
        <is>
          <t>4-暂时回避</t>
        </is>
      </c>
      <c r="C84" t="inlineStr">
        <is>
          <t>半导体</t>
        </is>
      </c>
      <c r="D84" t="inlineStr">
        <is>
          <t>TGV激光微孔设备</t>
        </is>
      </c>
      <c r="E84" t="n">
        <v>1</v>
      </c>
      <c r="F84" t="n">
        <v>8</v>
      </c>
      <c r="G84" t="n">
        <v>8</v>
      </c>
      <c r="H84" t="n">
        <v>10.08</v>
      </c>
      <c r="I84" t="n">
        <v>1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inlineStr">
        <is>
          <t>帝尔激光</t>
        </is>
      </c>
      <c r="P84" t="n">
        <v>8</v>
      </c>
      <c r="Q84" t="inlineStr">
        <is>
          <t>1.帝尔激光(300776)-8分</t>
        </is>
      </c>
    </row>
    <row r="85">
      <c r="A85" t="n">
        <v>84</v>
      </c>
      <c r="B85" t="inlineStr">
        <is>
          <t>4-暂时回避</t>
        </is>
      </c>
      <c r="C85" t="inlineStr">
        <is>
          <t>半导体</t>
        </is>
      </c>
      <c r="D85" t="inlineStr">
        <is>
          <t>玻璃基板在Fanout等封装工艺上量产经验</t>
        </is>
      </c>
      <c r="E85" t="n">
        <v>1</v>
      </c>
      <c r="F85" t="n">
        <v>8</v>
      </c>
      <c r="G85" t="n">
        <v>8</v>
      </c>
      <c r="H85" t="n">
        <v>4.25</v>
      </c>
      <c r="I85" t="n">
        <v>0</v>
      </c>
      <c r="J85" t="n">
        <v>0.01</v>
      </c>
      <c r="K85" t="n">
        <v>0</v>
      </c>
      <c r="L85" t="n">
        <v>1</v>
      </c>
      <c r="M85" t="n">
        <v>0</v>
      </c>
      <c r="N85" t="n">
        <v>0</v>
      </c>
      <c r="O85" t="inlineStr">
        <is>
          <t>晶方科技</t>
        </is>
      </c>
      <c r="P85" t="n">
        <v>8</v>
      </c>
      <c r="Q85" t="inlineStr">
        <is>
          <t>1.晶方科技(603005)-8分</t>
        </is>
      </c>
    </row>
    <row r="86">
      <c r="A86" t="n">
        <v>85</v>
      </c>
      <c r="B86" t="inlineStr">
        <is>
          <t>4-暂时回避</t>
        </is>
      </c>
      <c r="C86" t="inlineStr">
        <is>
          <t>光通信/CPO</t>
        </is>
      </c>
      <c r="D86" t="inlineStr">
        <is>
          <t>铌酸锂</t>
        </is>
      </c>
      <c r="E86" t="n">
        <v>1</v>
      </c>
      <c r="F86" t="n">
        <v>8</v>
      </c>
      <c r="G86" t="n">
        <v>8</v>
      </c>
      <c r="H86" t="n">
        <v>3.15</v>
      </c>
      <c r="I86" t="n">
        <v>0</v>
      </c>
      <c r="J86" t="n">
        <v>0.01</v>
      </c>
      <c r="K86" t="n">
        <v>0</v>
      </c>
      <c r="L86" t="n">
        <v>1</v>
      </c>
      <c r="M86" t="n">
        <v>0</v>
      </c>
      <c r="N86" t="n">
        <v>0</v>
      </c>
      <c r="O86" t="inlineStr">
        <is>
          <t>天通股份</t>
        </is>
      </c>
      <c r="P86" t="n">
        <v>8</v>
      </c>
      <c r="Q86" t="inlineStr">
        <is>
          <t>1.天通股份(600330)-8分</t>
        </is>
      </c>
    </row>
    <row r="87">
      <c r="A87" t="n">
        <v>86</v>
      </c>
      <c r="B87" t="inlineStr">
        <is>
          <t>4-暂时回避</t>
        </is>
      </c>
      <c r="C87" t="inlineStr">
        <is>
          <t>半导体</t>
        </is>
      </c>
      <c r="D87" t="inlineStr">
        <is>
          <t>环氧塑封料</t>
        </is>
      </c>
      <c r="E87" t="n">
        <v>1</v>
      </c>
      <c r="F87" t="n">
        <v>8</v>
      </c>
      <c r="G87" t="n">
        <v>8</v>
      </c>
      <c r="H87" t="n">
        <v>6.55</v>
      </c>
      <c r="I87" t="n">
        <v>0</v>
      </c>
      <c r="J87" t="n">
        <v>0.13</v>
      </c>
      <c r="K87" t="n">
        <v>0</v>
      </c>
      <c r="L87" t="n">
        <v>1</v>
      </c>
      <c r="M87" t="n">
        <v>0</v>
      </c>
      <c r="N87" t="n">
        <v>0</v>
      </c>
      <c r="O87" t="inlineStr">
        <is>
          <t>华海诚科</t>
        </is>
      </c>
      <c r="P87" t="n">
        <v>8</v>
      </c>
      <c r="Q87" t="inlineStr">
        <is>
          <t>1.华海诚科(688535)-8分</t>
        </is>
      </c>
    </row>
    <row r="88">
      <c r="A88" t="n">
        <v>87</v>
      </c>
      <c r="B88" t="inlineStr">
        <is>
          <t>4-暂时回避</t>
        </is>
      </c>
      <c r="C88" t="inlineStr">
        <is>
          <t>半导体</t>
        </is>
      </c>
      <c r="D88" t="inlineStr">
        <is>
          <t>HiPIMS设备</t>
        </is>
      </c>
      <c r="E88" t="n">
        <v>1</v>
      </c>
      <c r="F88" t="n">
        <v>8</v>
      </c>
      <c r="G88" t="n">
        <v>8</v>
      </c>
      <c r="H88" t="n">
        <v>15.69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inlineStr">
        <is>
          <t>汇成真空</t>
        </is>
      </c>
      <c r="P88" t="n">
        <v>8</v>
      </c>
      <c r="Q88" t="inlineStr">
        <is>
          <t>1.汇成真空(301392)-8分</t>
        </is>
      </c>
    </row>
    <row r="89">
      <c r="A89" t="n">
        <v>88</v>
      </c>
      <c r="B89" t="inlineStr">
        <is>
          <t>4-暂时回避</t>
        </is>
      </c>
      <c r="C89" t="inlineStr">
        <is>
          <t>半导体</t>
        </is>
      </c>
      <c r="D89" t="inlineStr">
        <is>
          <t>玻璃通孔激光设备</t>
        </is>
      </c>
      <c r="E89" t="n">
        <v>1</v>
      </c>
      <c r="F89" t="n">
        <v>8</v>
      </c>
      <c r="G89" t="n">
        <v>8</v>
      </c>
      <c r="H89" t="n">
        <v>3.2</v>
      </c>
      <c r="I89" t="n">
        <v>0</v>
      </c>
      <c r="J89" t="n">
        <v>0.11</v>
      </c>
      <c r="K89" t="n">
        <v>0</v>
      </c>
      <c r="L89" t="n">
        <v>1</v>
      </c>
      <c r="M89" t="n">
        <v>0</v>
      </c>
      <c r="N89" t="n">
        <v>0</v>
      </c>
      <c r="O89" t="inlineStr">
        <is>
          <t>德龙激光</t>
        </is>
      </c>
      <c r="P89" t="n">
        <v>8</v>
      </c>
      <c r="Q89" t="inlineStr">
        <is>
          <t>1.德龙激光(688170)-8分</t>
        </is>
      </c>
    </row>
    <row r="90">
      <c r="A90" t="n">
        <v>89</v>
      </c>
      <c r="B90" t="inlineStr">
        <is>
          <t>4-暂时回避</t>
        </is>
      </c>
      <c r="C90" t="inlineStr">
        <is>
          <t>半导体</t>
        </is>
      </c>
      <c r="D90" t="inlineStr">
        <is>
          <t>设计总包</t>
        </is>
      </c>
      <c r="E90" t="n">
        <v>1</v>
      </c>
      <c r="F90" t="n">
        <v>8</v>
      </c>
      <c r="G90" t="n">
        <v>8</v>
      </c>
      <c r="H90" t="n">
        <v>2.41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inlineStr">
        <is>
          <t>国投中鲁</t>
        </is>
      </c>
      <c r="P90" t="n">
        <v>8</v>
      </c>
      <c r="Q90" t="inlineStr">
        <is>
          <t>1.国投中鲁(600962)-8分</t>
        </is>
      </c>
    </row>
    <row r="91">
      <c r="A91" t="n">
        <v>90</v>
      </c>
      <c r="B91" t="inlineStr">
        <is>
          <t>4-暂时回避</t>
        </is>
      </c>
      <c r="C91" t="inlineStr">
        <is>
          <t>半导体</t>
        </is>
      </c>
      <c r="D91" t="inlineStr">
        <is>
          <t>设备</t>
        </is>
      </c>
      <c r="E91" t="n">
        <v>11</v>
      </c>
      <c r="F91" t="n">
        <v>7.91</v>
      </c>
      <c r="G91" t="n">
        <v>22</v>
      </c>
      <c r="H91" t="n">
        <v>6.02</v>
      </c>
      <c r="I91" t="n">
        <v>3</v>
      </c>
      <c r="J91" t="n">
        <v>0.04</v>
      </c>
      <c r="K91" t="n">
        <v>3</v>
      </c>
      <c r="L91" t="n">
        <v>3</v>
      </c>
      <c r="M91" t="n">
        <v>2</v>
      </c>
      <c r="N91" t="n">
        <v>3</v>
      </c>
      <c r="O91" t="inlineStr">
        <is>
          <t>盛美上海</t>
        </is>
      </c>
      <c r="P91" t="n">
        <v>22</v>
      </c>
      <c r="Q91" t="inlineStr">
        <is>
          <t>1.盛美上海(688082)-22分 | 2.新益昌(688383)-14分 | 3.东威科技(688700)-11分</t>
        </is>
      </c>
    </row>
    <row r="92">
      <c r="A92" t="n">
        <v>91</v>
      </c>
      <c r="B92" t="inlineStr">
        <is>
          <t>4-暂时回避</t>
        </is>
      </c>
      <c r="C92" t="inlineStr">
        <is>
          <t>半导体</t>
        </is>
      </c>
      <c r="D92" t="inlineStr">
        <is>
          <t>相关设备</t>
        </is>
      </c>
      <c r="E92" t="n">
        <v>12</v>
      </c>
      <c r="F92" t="n">
        <v>7.75</v>
      </c>
      <c r="G92" t="n">
        <v>22</v>
      </c>
      <c r="H92" t="n">
        <v>7.84</v>
      </c>
      <c r="I92" t="n">
        <v>5</v>
      </c>
      <c r="J92" t="n">
        <v>0.08</v>
      </c>
      <c r="K92" t="n">
        <v>2</v>
      </c>
      <c r="L92" t="n">
        <v>4</v>
      </c>
      <c r="M92" t="n">
        <v>5</v>
      </c>
      <c r="N92" t="n">
        <v>1</v>
      </c>
      <c r="O92" t="inlineStr">
        <is>
          <t>盛美上海</t>
        </is>
      </c>
      <c r="P92" t="n">
        <v>22</v>
      </c>
      <c r="Q92" t="inlineStr">
        <is>
          <t>1.盛美上海(688082)-22分 | 2.新益昌(688383)-14分 | 3.赛腾股份(603283)-8分</t>
        </is>
      </c>
    </row>
    <row r="93">
      <c r="A93" t="n">
        <v>92</v>
      </c>
      <c r="B93" t="inlineStr">
        <is>
          <t>4-暂时回避</t>
        </is>
      </c>
      <c r="C93" t="inlineStr">
        <is>
          <t>半导体</t>
        </is>
      </c>
      <c r="D93" t="inlineStr">
        <is>
          <t>溅射靶材</t>
        </is>
      </c>
      <c r="E93" t="n">
        <v>3</v>
      </c>
      <c r="F93" t="n">
        <v>7.67</v>
      </c>
      <c r="G93" t="n">
        <v>17</v>
      </c>
      <c r="H93" t="n">
        <v>-0.78</v>
      </c>
      <c r="I93" t="n">
        <v>0</v>
      </c>
      <c r="J93" t="n">
        <v>0.01</v>
      </c>
      <c r="K93" t="n">
        <v>1</v>
      </c>
      <c r="L93" t="n">
        <v>0</v>
      </c>
      <c r="M93" t="n">
        <v>0</v>
      </c>
      <c r="N93" t="n">
        <v>2</v>
      </c>
      <c r="O93" t="inlineStr">
        <is>
          <t>有研新材</t>
        </is>
      </c>
      <c r="P93" t="n">
        <v>17</v>
      </c>
      <c r="Q93" t="inlineStr">
        <is>
          <t>1.有研新材(600206)-17分 | 2.江丰电子(300666)-3分 | 3.阿石创(300706)-3分</t>
        </is>
      </c>
    </row>
    <row r="94">
      <c r="A94" t="n">
        <v>93</v>
      </c>
      <c r="B94" t="inlineStr">
        <is>
          <t>4-暂时回避</t>
        </is>
      </c>
      <c r="C94" t="inlineStr">
        <is>
          <t>电池</t>
        </is>
      </c>
      <c r="D94" t="inlineStr">
        <is>
          <t>钨</t>
        </is>
      </c>
      <c r="E94" t="n">
        <v>3</v>
      </c>
      <c r="F94" t="n">
        <v>7.67</v>
      </c>
      <c r="G94" t="n">
        <v>17</v>
      </c>
      <c r="H94" t="n">
        <v>-3.74</v>
      </c>
      <c r="I94" t="n">
        <v>0</v>
      </c>
      <c r="J94" t="n">
        <v>0.01</v>
      </c>
      <c r="K94" t="n">
        <v>1</v>
      </c>
      <c r="L94" t="n">
        <v>0</v>
      </c>
      <c r="M94" t="n">
        <v>0</v>
      </c>
      <c r="N94" t="n">
        <v>2</v>
      </c>
      <c r="O94" t="inlineStr">
        <is>
          <t>厦门钨业</t>
        </is>
      </c>
      <c r="P94" t="n">
        <v>17</v>
      </c>
      <c r="Q94" t="inlineStr">
        <is>
          <t>1.厦门钨业(600549)-17分 | 2.翔鹭钨业(002842)-3分 | 3.章源钨业(002378)-3分</t>
        </is>
      </c>
    </row>
    <row r="95">
      <c r="A95" t="n">
        <v>94</v>
      </c>
      <c r="B95" t="inlineStr">
        <is>
          <t>4-暂时回避</t>
        </is>
      </c>
      <c r="C95" t="inlineStr">
        <is>
          <t>半导体</t>
        </is>
      </c>
      <c r="D95" t="inlineStr">
        <is>
          <t>相关耗材</t>
        </is>
      </c>
      <c r="E95" t="n">
        <v>14</v>
      </c>
      <c r="F95" t="n">
        <v>7.64</v>
      </c>
      <c r="G95" t="n">
        <v>22</v>
      </c>
      <c r="H95" t="n">
        <v>3.87</v>
      </c>
      <c r="I95" t="n">
        <v>0</v>
      </c>
      <c r="J95" t="n">
        <v>0.03</v>
      </c>
      <c r="K95" t="n">
        <v>5</v>
      </c>
      <c r="L95" t="n">
        <v>1</v>
      </c>
      <c r="M95" t="n">
        <v>2</v>
      </c>
      <c r="N95" t="n">
        <v>6</v>
      </c>
      <c r="O95" t="inlineStr">
        <is>
          <t>联瑞新材</t>
        </is>
      </c>
      <c r="P95" t="n">
        <v>22</v>
      </c>
      <c r="Q95" t="inlineStr">
        <is>
          <t>1.联瑞新材(688300)-22分 | 2.鼎龙股份(300054)-19分 | 3.飞凯材料(300398)-16分</t>
        </is>
      </c>
    </row>
    <row r="96">
      <c r="A96" t="n">
        <v>95</v>
      </c>
      <c r="B96" t="inlineStr">
        <is>
          <t>4-暂时回避</t>
        </is>
      </c>
      <c r="C96" t="inlineStr">
        <is>
          <t>PCB</t>
        </is>
      </c>
      <c r="D96" t="inlineStr">
        <is>
          <t>电子特气</t>
        </is>
      </c>
      <c r="E96" t="n">
        <v>8</v>
      </c>
      <c r="F96" t="n">
        <v>7.62</v>
      </c>
      <c r="G96" t="n">
        <v>22</v>
      </c>
      <c r="H96" t="n">
        <v>1.15</v>
      </c>
      <c r="I96" t="n">
        <v>0</v>
      </c>
      <c r="J96" t="n">
        <v>0.07000000000000001</v>
      </c>
      <c r="K96" t="n">
        <v>2</v>
      </c>
      <c r="L96" t="n">
        <v>1</v>
      </c>
      <c r="M96" t="n">
        <v>0</v>
      </c>
      <c r="N96" t="n">
        <v>5</v>
      </c>
      <c r="O96" t="inlineStr">
        <is>
          <t>雅克科技</t>
        </is>
      </c>
      <c r="P96" t="n">
        <v>22</v>
      </c>
      <c r="Q96" t="inlineStr">
        <is>
          <t>1.雅克科技(002409)-22分 | 2.和远气体(002971)-22分 | 3.金宏气体(688106)-8分</t>
        </is>
      </c>
    </row>
    <row r="97">
      <c r="A97" t="n">
        <v>96</v>
      </c>
      <c r="B97" t="inlineStr">
        <is>
          <t>4-暂时回避</t>
        </is>
      </c>
      <c r="C97" t="inlineStr">
        <is>
          <t>半导体</t>
        </is>
      </c>
      <c r="D97" t="inlineStr">
        <is>
          <t>锆原料</t>
        </is>
      </c>
      <c r="E97" t="n">
        <v>3</v>
      </c>
      <c r="F97" t="n">
        <v>7.33</v>
      </c>
      <c r="G97" t="n">
        <v>19</v>
      </c>
      <c r="H97" t="n">
        <v>0.57</v>
      </c>
      <c r="I97" t="n">
        <v>1</v>
      </c>
      <c r="J97" t="n">
        <v>0.01</v>
      </c>
      <c r="K97" t="n">
        <v>1</v>
      </c>
      <c r="L97" t="n">
        <v>0</v>
      </c>
      <c r="M97" t="n">
        <v>0</v>
      </c>
      <c r="N97" t="n">
        <v>2</v>
      </c>
      <c r="O97" t="inlineStr">
        <is>
          <t>凯盛科技</t>
        </is>
      </c>
      <c r="P97" t="n">
        <v>19</v>
      </c>
      <c r="Q97" t="inlineStr">
        <is>
          <t>1.凯盛科技(600552)-19分 | 2.三祥新材(603663)-3分 | 3.东方锆业(002167)-0分</t>
        </is>
      </c>
    </row>
    <row r="98">
      <c r="A98" t="n">
        <v>97</v>
      </c>
      <c r="B98" t="inlineStr">
        <is>
          <t>4-暂时回避</t>
        </is>
      </c>
      <c r="C98" t="inlineStr">
        <is>
          <t>光通信/CPO</t>
        </is>
      </c>
      <c r="D98" t="inlineStr">
        <is>
          <t>石英晶振</t>
        </is>
      </c>
      <c r="E98" t="n">
        <v>3</v>
      </c>
      <c r="F98" t="n">
        <v>7.33</v>
      </c>
      <c r="G98" t="n">
        <v>22</v>
      </c>
      <c r="H98" t="n">
        <v>2.76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2</v>
      </c>
      <c r="O98" t="inlineStr">
        <is>
          <t>泰晶科技</t>
        </is>
      </c>
      <c r="P98" t="n">
        <v>22</v>
      </c>
      <c r="Q98" t="inlineStr">
        <is>
          <t>1.泰晶科技(603738)-22分 | 2.惠伦晶体(300460)-0分 | 3.*ST东晶(002199)-0分</t>
        </is>
      </c>
    </row>
    <row r="99">
      <c r="A99" t="n">
        <v>98</v>
      </c>
      <c r="B99" t="inlineStr">
        <is>
          <t>4-暂时回避</t>
        </is>
      </c>
      <c r="C99" t="inlineStr">
        <is>
          <t>半导体</t>
        </is>
      </c>
      <c r="D99" t="inlineStr">
        <is>
          <t>封装</t>
        </is>
      </c>
      <c r="E99" t="n">
        <v>4</v>
      </c>
      <c r="F99" t="n">
        <v>7.25</v>
      </c>
      <c r="G99" t="n">
        <v>11</v>
      </c>
      <c r="H99" t="n">
        <v>9.33</v>
      </c>
      <c r="I99" t="n">
        <v>1</v>
      </c>
      <c r="J99" t="n">
        <v>0.05</v>
      </c>
      <c r="K99" t="n">
        <v>1</v>
      </c>
      <c r="L99" t="n">
        <v>1</v>
      </c>
      <c r="M99" t="n">
        <v>2</v>
      </c>
      <c r="N99" t="n">
        <v>0</v>
      </c>
      <c r="O99" t="inlineStr">
        <is>
          <t>美迪凯</t>
        </is>
      </c>
      <c r="P99" t="n">
        <v>11</v>
      </c>
      <c r="Q99" t="inlineStr">
        <is>
          <t>1.美迪凯(688079)-11分 | 2.晶方科技(603005)-8分 | 3.长电科技(600584)-5分</t>
        </is>
      </c>
    </row>
    <row r="100">
      <c r="A100" t="n">
        <v>99</v>
      </c>
      <c r="B100" t="inlineStr">
        <is>
          <t>4-暂时回避</t>
        </is>
      </c>
      <c r="C100" t="inlineStr">
        <is>
          <t>半导体</t>
        </is>
      </c>
      <c r="D100" t="inlineStr">
        <is>
          <t>光掩膜版</t>
        </is>
      </c>
      <c r="E100" t="n">
        <v>3</v>
      </c>
      <c r="F100" t="n">
        <v>7</v>
      </c>
      <c r="G100" t="n">
        <v>16</v>
      </c>
      <c r="H100" t="n">
        <v>5.11</v>
      </c>
      <c r="I100" t="n">
        <v>1</v>
      </c>
      <c r="J100" t="n">
        <v>0.18</v>
      </c>
      <c r="K100" t="n">
        <v>1</v>
      </c>
      <c r="L100" t="n">
        <v>0</v>
      </c>
      <c r="M100" t="n">
        <v>1</v>
      </c>
      <c r="N100" t="n">
        <v>1</v>
      </c>
      <c r="O100" t="inlineStr">
        <is>
          <t>清溢光电</t>
        </is>
      </c>
      <c r="P100" t="n">
        <v>16</v>
      </c>
      <c r="Q100" t="inlineStr">
        <is>
          <t>1.清溢光电(688138)-16分 | 2.路维光电(688401)-5分 | 3.聚和材料(688503)-0分</t>
        </is>
      </c>
    </row>
    <row r="101">
      <c r="A101" t="n">
        <v>100</v>
      </c>
      <c r="B101" t="inlineStr">
        <is>
          <t>4-暂时回避</t>
        </is>
      </c>
      <c r="C101" t="inlineStr">
        <is>
          <t>半导体</t>
        </is>
      </c>
      <c r="D101" t="inlineStr">
        <is>
          <t>硅片</t>
        </is>
      </c>
      <c r="E101" t="n">
        <v>7</v>
      </c>
      <c r="F101" t="n">
        <v>6.86</v>
      </c>
      <c r="G101" t="n">
        <v>22</v>
      </c>
      <c r="H101" t="n">
        <v>2.76</v>
      </c>
      <c r="I101" t="n">
        <v>0</v>
      </c>
      <c r="J101" t="n">
        <v>0.4</v>
      </c>
      <c r="K101" t="n">
        <v>1</v>
      </c>
      <c r="L101" t="n">
        <v>1</v>
      </c>
      <c r="M101" t="n">
        <v>1</v>
      </c>
      <c r="N101" t="n">
        <v>4</v>
      </c>
      <c r="O101" t="inlineStr">
        <is>
          <t>神工股份</t>
        </is>
      </c>
      <c r="P101" t="n">
        <v>22</v>
      </c>
      <c r="Q101" t="inlineStr">
        <is>
          <t>1.神工股份(688233)-22分 | 2.合盛硅业(603260)-9分 | 3.沪硅产业(688126)-8分</t>
        </is>
      </c>
    </row>
    <row r="102">
      <c r="A102" t="n">
        <v>101</v>
      </c>
      <c r="B102" t="inlineStr">
        <is>
          <t>4-暂时回避</t>
        </is>
      </c>
      <c r="C102" t="inlineStr">
        <is>
          <t>半导体</t>
        </is>
      </c>
      <c r="D102" t="inlineStr">
        <is>
          <t>前道检测设备</t>
        </is>
      </c>
      <c r="E102" t="n">
        <v>5</v>
      </c>
      <c r="F102" t="n">
        <v>6.8</v>
      </c>
      <c r="G102" t="n">
        <v>13</v>
      </c>
      <c r="H102" t="n">
        <v>4.67</v>
      </c>
      <c r="I102" t="n">
        <v>1</v>
      </c>
      <c r="J102" t="n">
        <v>0.03</v>
      </c>
      <c r="K102" t="n">
        <v>1</v>
      </c>
      <c r="L102" t="n">
        <v>1</v>
      </c>
      <c r="M102" t="n">
        <v>2</v>
      </c>
      <c r="N102" t="n">
        <v>1</v>
      </c>
      <c r="O102" t="inlineStr">
        <is>
          <t>骄成超声</t>
        </is>
      </c>
      <c r="P102" t="n">
        <v>13</v>
      </c>
      <c r="Q102" t="inlineStr">
        <is>
          <t>1.骄成超声(688392)-13分 | 2.赛腾股份(603283)-8分 | 3.中科飞测(688361)-5分</t>
        </is>
      </c>
    </row>
    <row r="103">
      <c r="A103" t="n">
        <v>102</v>
      </c>
      <c r="B103" t="inlineStr">
        <is>
          <t>4-暂时回避</t>
        </is>
      </c>
      <c r="C103" t="inlineStr">
        <is>
          <t>半导体</t>
        </is>
      </c>
      <c r="D103" t="inlineStr">
        <is>
          <t>酚醛树脂</t>
        </is>
      </c>
      <c r="E103" t="n">
        <v>4</v>
      </c>
      <c r="F103" t="n">
        <v>6.75</v>
      </c>
      <c r="G103" t="n">
        <v>13</v>
      </c>
      <c r="H103" t="n">
        <v>1.31</v>
      </c>
      <c r="I103" t="n">
        <v>0</v>
      </c>
      <c r="J103" t="n">
        <v>0.01</v>
      </c>
      <c r="K103" t="n">
        <v>2</v>
      </c>
      <c r="L103" t="n">
        <v>0</v>
      </c>
      <c r="M103" t="n">
        <v>0</v>
      </c>
      <c r="N103" t="n">
        <v>2</v>
      </c>
      <c r="O103" t="inlineStr">
        <is>
          <t>彤程新材</t>
        </is>
      </c>
      <c r="P103" t="n">
        <v>13</v>
      </c>
      <c r="Q103" t="inlineStr">
        <is>
          <t>1.彤程新材(603650)-13分 | 2.东材科技(601208)-11分 | 3.圣泉集团(605589)-3分</t>
        </is>
      </c>
    </row>
    <row r="104">
      <c r="A104" t="n">
        <v>103</v>
      </c>
      <c r="B104" t="inlineStr">
        <is>
          <t>4-暂时回避</t>
        </is>
      </c>
      <c r="C104" t="inlineStr">
        <is>
          <t>AI电力出海</t>
        </is>
      </c>
      <c r="D104" t="inlineStr">
        <is>
          <t>AIDC</t>
        </is>
      </c>
      <c r="E104" t="n">
        <v>3</v>
      </c>
      <c r="F104" t="n">
        <v>6.67</v>
      </c>
      <c r="G104" t="n">
        <v>20</v>
      </c>
      <c r="H104" t="n">
        <v>2.92</v>
      </c>
      <c r="I104" t="n">
        <v>1</v>
      </c>
      <c r="J104" t="n">
        <v>0</v>
      </c>
      <c r="K104" t="n">
        <v>1</v>
      </c>
      <c r="L104" t="n">
        <v>0</v>
      </c>
      <c r="M104" t="n">
        <v>0</v>
      </c>
      <c r="N104" t="n">
        <v>2</v>
      </c>
      <c r="O104" t="inlineStr">
        <is>
          <t>冰轮环境</t>
        </is>
      </c>
      <c r="P104" t="n">
        <v>20</v>
      </c>
      <c r="Q104" t="inlineStr">
        <is>
          <t>1.冰轮环境(000811)-20分 | 2.宏发股份(600885)-0分 | 3.盛弘股份(300693)-0分</t>
        </is>
      </c>
    </row>
    <row r="105">
      <c r="A105" t="n">
        <v>104</v>
      </c>
      <c r="B105" t="inlineStr">
        <is>
          <t>4-暂时回避</t>
        </is>
      </c>
      <c r="C105" t="inlineStr">
        <is>
          <t>电池</t>
        </is>
      </c>
      <c r="D105" t="inlineStr">
        <is>
          <t>湿电子化学品</t>
        </is>
      </c>
      <c r="E105" t="n">
        <v>8</v>
      </c>
      <c r="F105" t="n">
        <v>6.62</v>
      </c>
      <c r="G105" t="n">
        <v>16</v>
      </c>
      <c r="H105" t="n">
        <v>3.15</v>
      </c>
      <c r="I105" t="n">
        <v>0</v>
      </c>
      <c r="J105" t="n">
        <v>0.05</v>
      </c>
      <c r="K105" t="n">
        <v>3</v>
      </c>
      <c r="L105" t="n">
        <v>0</v>
      </c>
      <c r="M105" t="n">
        <v>3</v>
      </c>
      <c r="N105" t="n">
        <v>2</v>
      </c>
      <c r="O105" t="inlineStr">
        <is>
          <t>新宙邦</t>
        </is>
      </c>
      <c r="P105" t="n">
        <v>16</v>
      </c>
      <c r="Q105" t="inlineStr">
        <is>
          <t>1.新宙邦(300037)-16分 | 2.江化微(603078)-11分 | 3.兴福电子(688545)-8分</t>
        </is>
      </c>
    </row>
    <row r="106">
      <c r="A106" t="n">
        <v>105</v>
      </c>
      <c r="B106" t="inlineStr">
        <is>
          <t>4-暂时回避</t>
        </is>
      </c>
      <c r="C106" t="inlineStr">
        <is>
          <t>PCB</t>
        </is>
      </c>
      <c r="D106" t="inlineStr">
        <is>
          <t>苊烯树脂</t>
        </is>
      </c>
      <c r="E106" t="n">
        <v>2</v>
      </c>
      <c r="F106" t="n">
        <v>6.5</v>
      </c>
      <c r="G106" t="n">
        <v>8</v>
      </c>
      <c r="H106" t="n">
        <v>3.64</v>
      </c>
      <c r="I106" t="n">
        <v>0</v>
      </c>
      <c r="J106" t="n">
        <v>0.01</v>
      </c>
      <c r="K106" t="n">
        <v>1</v>
      </c>
      <c r="L106" t="n">
        <v>0</v>
      </c>
      <c r="M106" t="n">
        <v>1</v>
      </c>
      <c r="N106" t="n">
        <v>0</v>
      </c>
      <c r="O106" t="inlineStr">
        <is>
          <t>美联新材</t>
        </is>
      </c>
      <c r="P106" t="n">
        <v>8</v>
      </c>
      <c r="Q106" t="inlineStr">
        <is>
          <t>1.美联新材(300586)-8分 | 2.七彩化学(300758)-5分</t>
        </is>
      </c>
    </row>
    <row r="107">
      <c r="A107" t="n">
        <v>106</v>
      </c>
      <c r="B107" t="inlineStr">
        <is>
          <t>4-暂时回避</t>
        </is>
      </c>
      <c r="C107" t="inlineStr">
        <is>
          <t>半导体</t>
        </is>
      </c>
      <c r="D107" t="inlineStr">
        <is>
          <t>无水氢氟酸</t>
        </is>
      </c>
      <c r="E107" t="n">
        <v>2</v>
      </c>
      <c r="F107" t="n">
        <v>6.5</v>
      </c>
      <c r="G107" t="n">
        <v>13</v>
      </c>
      <c r="H107" t="n">
        <v>2.77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inlineStr">
        <is>
          <t>永和股份</t>
        </is>
      </c>
      <c r="P107" t="n">
        <v>13</v>
      </c>
      <c r="Q107" t="inlineStr">
        <is>
          <t>1.永和股份(605020)-13分 | 2.金石资源(603505)-0分</t>
        </is>
      </c>
    </row>
    <row r="108">
      <c r="A108" t="n">
        <v>107</v>
      </c>
      <c r="B108" t="inlineStr">
        <is>
          <t>4-暂时回避</t>
        </is>
      </c>
      <c r="C108" t="inlineStr">
        <is>
          <t>PCB</t>
        </is>
      </c>
      <c r="D108" t="inlineStr">
        <is>
          <t>湿法隔膜</t>
        </is>
      </c>
      <c r="E108" t="n">
        <v>8</v>
      </c>
      <c r="F108" t="n">
        <v>6.12</v>
      </c>
      <c r="G108" t="n">
        <v>30</v>
      </c>
      <c r="H108" t="n">
        <v>1.14</v>
      </c>
      <c r="I108" t="n">
        <v>1</v>
      </c>
      <c r="J108" t="n">
        <v>0.03</v>
      </c>
      <c r="K108" t="n">
        <v>3</v>
      </c>
      <c r="L108" t="n">
        <v>0</v>
      </c>
      <c r="M108" t="n">
        <v>0</v>
      </c>
      <c r="N108" t="n">
        <v>5</v>
      </c>
      <c r="O108" t="inlineStr">
        <is>
          <t>中材科技</t>
        </is>
      </c>
      <c r="P108" t="n">
        <v>30</v>
      </c>
      <c r="Q108" t="inlineStr">
        <is>
          <t>1.中材科技(002080)-30分 | 2.星源材质(300568)-8分 | 3.美联新材(300586)-8分</t>
        </is>
      </c>
    </row>
    <row r="109">
      <c r="A109" t="n">
        <v>108</v>
      </c>
      <c r="B109" t="inlineStr">
        <is>
          <t>4-暂时回避</t>
        </is>
      </c>
      <c r="C109" t="inlineStr">
        <is>
          <t>电池</t>
        </is>
      </c>
      <c r="D109" t="inlineStr">
        <is>
          <t>隔膜总出货量</t>
        </is>
      </c>
      <c r="E109" t="n">
        <v>7</v>
      </c>
      <c r="F109" t="n">
        <v>5.86</v>
      </c>
      <c r="G109" t="n">
        <v>30</v>
      </c>
      <c r="H109" t="n">
        <v>2.11</v>
      </c>
      <c r="I109" t="n">
        <v>1</v>
      </c>
      <c r="J109" t="n">
        <v>0.02</v>
      </c>
      <c r="K109" t="n">
        <v>2</v>
      </c>
      <c r="L109" t="n">
        <v>0</v>
      </c>
      <c r="M109" t="n">
        <v>0</v>
      </c>
      <c r="N109" t="n">
        <v>5</v>
      </c>
      <c r="O109" t="inlineStr">
        <is>
          <t>中材科技</t>
        </is>
      </c>
      <c r="P109" t="n">
        <v>30</v>
      </c>
      <c r="Q109" t="inlineStr">
        <is>
          <t>1.中材科技(002080)-30分 | 2.星源材质(300568)-8分 | 3.恩捷股份(002812)-3分</t>
        </is>
      </c>
    </row>
    <row r="110">
      <c r="A110" t="n">
        <v>109</v>
      </c>
      <c r="B110" t="inlineStr">
        <is>
          <t>4-暂时回避</t>
        </is>
      </c>
      <c r="C110" t="inlineStr">
        <is>
          <t>电池</t>
        </is>
      </c>
      <c r="D110" t="inlineStr">
        <is>
          <t>双三氟甲基磺酰亚胺锂LiTFSI</t>
        </is>
      </c>
      <c r="E110" t="n">
        <v>6</v>
      </c>
      <c r="F110" t="n">
        <v>5.83</v>
      </c>
      <c r="G110" t="n">
        <v>22</v>
      </c>
      <c r="H110" t="n">
        <v>2.07</v>
      </c>
      <c r="I110" t="n">
        <v>0</v>
      </c>
      <c r="J110" t="n">
        <v>0.05</v>
      </c>
      <c r="K110" t="n">
        <v>2</v>
      </c>
      <c r="L110" t="n">
        <v>0</v>
      </c>
      <c r="M110" t="n">
        <v>1</v>
      </c>
      <c r="N110" t="n">
        <v>3</v>
      </c>
      <c r="O110" t="inlineStr">
        <is>
          <t>华盛锂电</t>
        </is>
      </c>
      <c r="P110" t="n">
        <v>22</v>
      </c>
      <c r="Q110" t="inlineStr">
        <is>
          <t>1.华盛锂电(688353)-22分 | 2.中船特气(688146)-8分 | 3.瑞泰新材(301238)-5分</t>
        </is>
      </c>
    </row>
    <row r="111">
      <c r="A111" t="n">
        <v>110</v>
      </c>
      <c r="B111" t="inlineStr">
        <is>
          <t>4-暂时回避</t>
        </is>
      </c>
      <c r="C111" t="inlineStr">
        <is>
          <t>PCB</t>
        </is>
      </c>
      <c r="D111" t="inlineStr">
        <is>
          <t>负极铜箔</t>
        </is>
      </c>
      <c r="E111" t="n">
        <v>4</v>
      </c>
      <c r="F111" t="n">
        <v>5.75</v>
      </c>
      <c r="G111" t="n">
        <v>9</v>
      </c>
      <c r="H111" t="n">
        <v>1.56</v>
      </c>
      <c r="I111" t="n">
        <v>1</v>
      </c>
      <c r="J111" t="n">
        <v>0</v>
      </c>
      <c r="K111" t="n">
        <v>1</v>
      </c>
      <c r="L111" t="n">
        <v>0</v>
      </c>
      <c r="M111" t="n">
        <v>1</v>
      </c>
      <c r="N111" t="n">
        <v>2</v>
      </c>
      <c r="O111" t="inlineStr">
        <is>
          <t>逸豪新材</t>
        </is>
      </c>
      <c r="P111" t="n">
        <v>9</v>
      </c>
      <c r="Q111" t="inlineStr">
        <is>
          <t>1.逸豪新材(301176)-9分 | 2.中一科技(301150)-8分 | 3.铜冠铜箔(301217)-3分</t>
        </is>
      </c>
    </row>
    <row r="112">
      <c r="A112" t="n">
        <v>111</v>
      </c>
      <c r="B112" t="inlineStr">
        <is>
          <t>4-暂时回避</t>
        </is>
      </c>
      <c r="C112" t="inlineStr">
        <is>
          <t>电池</t>
        </is>
      </c>
      <c r="D112" t="inlineStr">
        <is>
          <t>酰亚胺类锂盐</t>
        </is>
      </c>
      <c r="E112" t="n">
        <v>3</v>
      </c>
      <c r="F112" t="n">
        <v>5.67</v>
      </c>
      <c r="G112" t="n">
        <v>14</v>
      </c>
      <c r="H112" t="n">
        <v>0.92</v>
      </c>
      <c r="I112" t="n">
        <v>0</v>
      </c>
      <c r="J112" t="n">
        <v>0.01</v>
      </c>
      <c r="K112" t="n">
        <v>1</v>
      </c>
      <c r="L112" t="n">
        <v>0</v>
      </c>
      <c r="M112" t="n">
        <v>0</v>
      </c>
      <c r="N112" t="n">
        <v>2</v>
      </c>
      <c r="O112" t="inlineStr">
        <is>
          <t>海科新源</t>
        </is>
      </c>
      <c r="P112" t="n">
        <v>14</v>
      </c>
      <c r="Q112" t="inlineStr">
        <is>
          <t>1.海科新源(301292)-14分 | 2.多氟多(002407)-3分 | 3.永太科技(002326)-0分</t>
        </is>
      </c>
    </row>
    <row r="113">
      <c r="A113" t="n">
        <v>112</v>
      </c>
      <c r="B113" t="inlineStr">
        <is>
          <t>4-暂时回避</t>
        </is>
      </c>
      <c r="C113" t="inlineStr">
        <is>
          <t>电池</t>
        </is>
      </c>
      <c r="D113" t="inlineStr">
        <is>
          <t>钴酸锂</t>
        </is>
      </c>
      <c r="E113" t="n">
        <v>3</v>
      </c>
      <c r="F113" t="n">
        <v>5.67</v>
      </c>
      <c r="G113" t="n">
        <v>17</v>
      </c>
      <c r="H113" t="n">
        <v>-0.66</v>
      </c>
      <c r="I113" t="n">
        <v>0</v>
      </c>
      <c r="J113" t="n">
        <v>0.01</v>
      </c>
      <c r="K113" t="n">
        <v>1</v>
      </c>
      <c r="L113" t="n">
        <v>0</v>
      </c>
      <c r="M113" t="n">
        <v>0</v>
      </c>
      <c r="N113" t="n">
        <v>2</v>
      </c>
      <c r="O113" t="inlineStr">
        <is>
          <t>厦门钨业</t>
        </is>
      </c>
      <c r="P113" t="n">
        <v>17</v>
      </c>
      <c r="Q113" t="inlineStr">
        <is>
          <t>1.厦门钨业(600549)-17分 | 2.盟固利(301487)-0分 | 3.科恒股份(300340)-0分</t>
        </is>
      </c>
    </row>
    <row r="114">
      <c r="A114" t="n">
        <v>113</v>
      </c>
      <c r="B114" t="inlineStr">
        <is>
          <t>4-暂时回避</t>
        </is>
      </c>
      <c r="C114" t="inlineStr">
        <is>
          <t>电池</t>
        </is>
      </c>
      <c r="D114" t="inlineStr">
        <is>
          <t>整线设备</t>
        </is>
      </c>
      <c r="E114" t="n">
        <v>2</v>
      </c>
      <c r="F114" t="n">
        <v>5.5</v>
      </c>
      <c r="G114" t="n">
        <v>11</v>
      </c>
      <c r="H114" t="n">
        <v>0</v>
      </c>
      <c r="I114" t="n">
        <v>0</v>
      </c>
      <c r="J114" t="n">
        <v>0.09</v>
      </c>
      <c r="K114" t="n">
        <v>1</v>
      </c>
      <c r="L114" t="n">
        <v>0</v>
      </c>
      <c r="M114" t="n">
        <v>0</v>
      </c>
      <c r="N114" t="n">
        <v>1</v>
      </c>
      <c r="O114" t="inlineStr">
        <is>
          <t>海目星</t>
        </is>
      </c>
      <c r="P114" t="n">
        <v>11</v>
      </c>
      <c r="Q114" t="inlineStr">
        <is>
          <t>1.海目星(688559)-11分 | 2.赢合科技(300457)-0分</t>
        </is>
      </c>
    </row>
    <row r="115">
      <c r="A115" t="n">
        <v>114</v>
      </c>
      <c r="B115" t="inlineStr">
        <is>
          <t>4-暂时回避</t>
        </is>
      </c>
      <c r="C115" t="inlineStr">
        <is>
          <t>电池</t>
        </is>
      </c>
      <c r="D115" t="inlineStr">
        <is>
          <t>涂覆隔膜</t>
        </is>
      </c>
      <c r="E115" t="n">
        <v>2</v>
      </c>
      <c r="F115" t="n">
        <v>5.5</v>
      </c>
      <c r="G115" t="n">
        <v>11</v>
      </c>
      <c r="H115" t="n">
        <v>4.72</v>
      </c>
      <c r="I115" t="n">
        <v>1</v>
      </c>
      <c r="J115" t="n">
        <v>0.01</v>
      </c>
      <c r="K115" t="n">
        <v>1</v>
      </c>
      <c r="L115" t="n">
        <v>0</v>
      </c>
      <c r="M115" t="n">
        <v>0</v>
      </c>
      <c r="N115" t="n">
        <v>1</v>
      </c>
      <c r="O115" t="inlineStr">
        <is>
          <t>泰和新材</t>
        </is>
      </c>
      <c r="P115" t="n">
        <v>11</v>
      </c>
      <c r="Q115" t="inlineStr">
        <is>
          <t>1.泰和新材(002254)-11分 | 2.璞泰来(603659)-0分</t>
        </is>
      </c>
    </row>
    <row r="116">
      <c r="A116" t="n">
        <v>115</v>
      </c>
      <c r="B116" t="inlineStr">
        <is>
          <t>4-暂时回避</t>
        </is>
      </c>
      <c r="C116" t="inlineStr">
        <is>
          <t>半导体</t>
        </is>
      </c>
      <c r="D116" t="inlineStr">
        <is>
          <t>电镀</t>
        </is>
      </c>
      <c r="E116" t="n">
        <v>2</v>
      </c>
      <c r="F116" t="n">
        <v>5.5</v>
      </c>
      <c r="G116" t="n">
        <v>11</v>
      </c>
      <c r="H116" t="n">
        <v>1.22</v>
      </c>
      <c r="I116" t="n">
        <v>0</v>
      </c>
      <c r="J116" t="n">
        <v>0.08</v>
      </c>
      <c r="K116" t="n">
        <v>1</v>
      </c>
      <c r="L116" t="n">
        <v>0</v>
      </c>
      <c r="M116" t="n">
        <v>0</v>
      </c>
      <c r="N116" t="n">
        <v>1</v>
      </c>
      <c r="O116" t="inlineStr">
        <is>
          <t>东威科技</t>
        </is>
      </c>
      <c r="P116" t="n">
        <v>11</v>
      </c>
      <c r="Q116" t="inlineStr">
        <is>
          <t>1.东威科技(688700)-11分 | 2.捷佳伟创(300724)-0分</t>
        </is>
      </c>
    </row>
    <row r="117">
      <c r="A117" t="n">
        <v>116</v>
      </c>
      <c r="B117" t="inlineStr">
        <is>
          <t>4-暂时回避</t>
        </is>
      </c>
      <c r="C117" t="inlineStr">
        <is>
          <t>半导体</t>
        </is>
      </c>
      <c r="D117" t="inlineStr">
        <is>
          <t>塑封</t>
        </is>
      </c>
      <c r="E117" t="n">
        <v>2</v>
      </c>
      <c r="F117" t="n">
        <v>5.5</v>
      </c>
      <c r="G117" t="n">
        <v>8</v>
      </c>
      <c r="H117" t="n">
        <v>2.35</v>
      </c>
      <c r="I117" t="n">
        <v>0</v>
      </c>
      <c r="J117" t="n">
        <v>0.03</v>
      </c>
      <c r="K117" t="n">
        <v>1</v>
      </c>
      <c r="L117" t="n">
        <v>0</v>
      </c>
      <c r="M117" t="n">
        <v>0</v>
      </c>
      <c r="N117" t="n">
        <v>1</v>
      </c>
      <c r="O117" t="inlineStr">
        <is>
          <t>耐科装备</t>
        </is>
      </c>
      <c r="P117" t="n">
        <v>8</v>
      </c>
      <c r="Q117" t="inlineStr">
        <is>
          <t>1.耐科装备(688419)-8分 | 2.三佳科技(600520)-3分</t>
        </is>
      </c>
    </row>
    <row r="118">
      <c r="A118" t="n">
        <v>117</v>
      </c>
      <c r="B118" t="inlineStr">
        <is>
          <t>4-暂时回避</t>
        </is>
      </c>
      <c r="C118" t="inlineStr">
        <is>
          <t>电池</t>
        </is>
      </c>
      <c r="D118" t="inlineStr">
        <is>
          <t>COFs材料</t>
        </is>
      </c>
      <c r="E118" t="n">
        <v>4</v>
      </c>
      <c r="F118" t="n">
        <v>5.5</v>
      </c>
      <c r="G118" t="n">
        <v>22</v>
      </c>
      <c r="H118" t="n">
        <v>0.36</v>
      </c>
      <c r="I118" t="n">
        <v>0</v>
      </c>
      <c r="J118" t="n">
        <v>0.03</v>
      </c>
      <c r="K118" t="n">
        <v>1</v>
      </c>
      <c r="L118" t="n">
        <v>0</v>
      </c>
      <c r="M118" t="n">
        <v>0</v>
      </c>
      <c r="N118" t="n">
        <v>3</v>
      </c>
      <c r="O118" t="inlineStr">
        <is>
          <t>百合花</t>
        </is>
      </c>
      <c r="P118" t="n">
        <v>22</v>
      </c>
      <c r="Q118" t="inlineStr">
        <is>
          <t>1.百合花(603823)-22分 | 2.宝丽迪(300905)-0分 | 3.渤海化学(600800)-0分</t>
        </is>
      </c>
    </row>
    <row r="119">
      <c r="A119" t="n">
        <v>118</v>
      </c>
      <c r="B119" t="inlineStr">
        <is>
          <t>4-暂时回避</t>
        </is>
      </c>
      <c r="C119" t="inlineStr">
        <is>
          <t>半导体</t>
        </is>
      </c>
      <c r="D119" t="inlineStr">
        <is>
          <t>无水氢氟酸</t>
        </is>
      </c>
      <c r="E119" t="n">
        <v>2</v>
      </c>
      <c r="F119" t="n">
        <v>5.5</v>
      </c>
      <c r="G119" t="n">
        <v>11</v>
      </c>
      <c r="H119" t="n">
        <v>5.54</v>
      </c>
      <c r="I119" t="n">
        <v>1</v>
      </c>
      <c r="J119" t="n">
        <v>0.01</v>
      </c>
      <c r="K119" t="n">
        <v>1</v>
      </c>
      <c r="L119" t="n">
        <v>0</v>
      </c>
      <c r="M119" t="n">
        <v>0</v>
      </c>
      <c r="N119" t="n">
        <v>1</v>
      </c>
      <c r="O119" t="inlineStr">
        <is>
          <t>昊华科技</t>
        </is>
      </c>
      <c r="P119" t="n">
        <v>11</v>
      </c>
      <c r="Q119" t="inlineStr">
        <is>
          <t>1.昊华科技(600378)-11分 | 2.深圳新星(603978)-0分</t>
        </is>
      </c>
    </row>
    <row r="120">
      <c r="A120" t="n">
        <v>119</v>
      </c>
      <c r="B120" t="inlineStr">
        <is>
          <t>4-暂时回避</t>
        </is>
      </c>
      <c r="C120" t="inlineStr">
        <is>
          <t>PCB</t>
        </is>
      </c>
      <c r="D120" t="inlineStr">
        <is>
          <t>曝光</t>
        </is>
      </c>
      <c r="E120" t="n">
        <v>3</v>
      </c>
      <c r="F120" t="n">
        <v>5.33</v>
      </c>
      <c r="G120" t="n">
        <v>8</v>
      </c>
      <c r="H120" t="n">
        <v>4.93</v>
      </c>
      <c r="I120" t="n">
        <v>0</v>
      </c>
      <c r="J120" t="n">
        <v>0.04</v>
      </c>
      <c r="K120" t="n">
        <v>1</v>
      </c>
      <c r="L120" t="n">
        <v>0</v>
      </c>
      <c r="M120" t="n">
        <v>1</v>
      </c>
      <c r="N120" t="n">
        <v>1</v>
      </c>
      <c r="O120" t="inlineStr">
        <is>
          <t>天准科技</t>
        </is>
      </c>
      <c r="P120" t="n">
        <v>8</v>
      </c>
      <c r="Q120" t="inlineStr">
        <is>
          <t>1.天准科技(688003)-8分 | 2.新恒汇(301678)-5分 | 3.洪田股份(603800)-3分</t>
        </is>
      </c>
    </row>
    <row r="121">
      <c r="A121" t="n">
        <v>120</v>
      </c>
      <c r="B121" t="inlineStr">
        <is>
          <t>4-暂时回避</t>
        </is>
      </c>
      <c r="C121" t="inlineStr">
        <is>
          <t>半导体</t>
        </is>
      </c>
      <c r="D121" t="inlineStr">
        <is>
          <t>清洗设备</t>
        </is>
      </c>
      <c r="E121" t="n">
        <v>9</v>
      </c>
      <c r="F121" t="n">
        <v>5.33</v>
      </c>
      <c r="G121" t="n">
        <v>22</v>
      </c>
      <c r="H121" t="n">
        <v>5.39</v>
      </c>
      <c r="I121" t="n">
        <v>2</v>
      </c>
      <c r="J121" t="n">
        <v>0.07000000000000001</v>
      </c>
      <c r="K121" t="n">
        <v>3</v>
      </c>
      <c r="L121" t="n">
        <v>0</v>
      </c>
      <c r="M121" t="n">
        <v>2</v>
      </c>
      <c r="N121" t="n">
        <v>4</v>
      </c>
      <c r="O121" t="inlineStr">
        <is>
          <t>盛美上海</t>
        </is>
      </c>
      <c r="P121" t="n">
        <v>22</v>
      </c>
      <c r="Q121" t="inlineStr">
        <is>
          <t>1.盛美上海(688082)-22分 | 2.新莱应材(300260)-8分 | 3.华海清科(688120)-8分</t>
        </is>
      </c>
    </row>
    <row r="122">
      <c r="A122" t="n">
        <v>121</v>
      </c>
      <c r="B122" t="inlineStr">
        <is>
          <t>4-暂时回避</t>
        </is>
      </c>
      <c r="C122" t="inlineStr">
        <is>
          <t>半导体</t>
        </is>
      </c>
      <c r="D122" t="inlineStr">
        <is>
          <t>储备针对TGV的配套封装技术</t>
        </is>
      </c>
      <c r="E122" t="n">
        <v>1</v>
      </c>
      <c r="F122" t="n">
        <v>5</v>
      </c>
      <c r="G122" t="n">
        <v>5</v>
      </c>
      <c r="H122" t="n">
        <v>6.28</v>
      </c>
      <c r="I122" t="n">
        <v>0</v>
      </c>
      <c r="J122" t="n">
        <v>0.02</v>
      </c>
      <c r="K122" t="n">
        <v>0</v>
      </c>
      <c r="L122" t="n">
        <v>1</v>
      </c>
      <c r="M122" t="n">
        <v>0</v>
      </c>
      <c r="N122" t="n">
        <v>0</v>
      </c>
      <c r="O122" t="inlineStr">
        <is>
          <t>长电科技</t>
        </is>
      </c>
      <c r="P122" t="n">
        <v>5</v>
      </c>
      <c r="Q122" t="inlineStr">
        <is>
          <t>1.长电科技(600584)-5分</t>
        </is>
      </c>
    </row>
    <row r="123">
      <c r="A123" t="n">
        <v>122</v>
      </c>
      <c r="B123" t="inlineStr">
        <is>
          <t>4-暂时回避</t>
        </is>
      </c>
      <c r="C123" t="inlineStr">
        <is>
          <t>半导体</t>
        </is>
      </c>
      <c r="D123" t="inlineStr">
        <is>
          <t>玻璃通孔TGV</t>
        </is>
      </c>
      <c r="E123" t="n">
        <v>1</v>
      </c>
      <c r="F123" t="n">
        <v>5</v>
      </c>
      <c r="G123" t="n">
        <v>5</v>
      </c>
      <c r="H123" t="n">
        <v>4.1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inlineStr">
        <is>
          <t>赛微电子</t>
        </is>
      </c>
      <c r="P123" t="n">
        <v>5</v>
      </c>
      <c r="Q123" t="inlineStr">
        <is>
          <t>1.赛微电子(300456)-5分</t>
        </is>
      </c>
    </row>
    <row r="124">
      <c r="A124" t="n">
        <v>123</v>
      </c>
      <c r="B124" t="inlineStr">
        <is>
          <t>4-暂时回避</t>
        </is>
      </c>
      <c r="C124" t="inlineStr">
        <is>
          <t>半导体</t>
        </is>
      </c>
      <c r="D124" t="inlineStr">
        <is>
          <t>LPO</t>
        </is>
      </c>
      <c r="E124" t="n">
        <v>1</v>
      </c>
      <c r="F124" t="n">
        <v>5</v>
      </c>
      <c r="G124" t="n">
        <v>5</v>
      </c>
      <c r="H124" t="n">
        <v>3.97</v>
      </c>
      <c r="I124" t="n">
        <v>0</v>
      </c>
      <c r="J124" t="n">
        <v>0.01</v>
      </c>
      <c r="K124" t="n">
        <v>0</v>
      </c>
      <c r="L124" t="n">
        <v>1</v>
      </c>
      <c r="M124" t="n">
        <v>0</v>
      </c>
      <c r="N124" t="n">
        <v>0</v>
      </c>
      <c r="O124" t="inlineStr">
        <is>
          <t>华工科技</t>
        </is>
      </c>
      <c r="P124" t="n">
        <v>5</v>
      </c>
      <c r="Q124" t="inlineStr">
        <is>
          <t>1.华工科技(000988)-5分</t>
        </is>
      </c>
    </row>
    <row r="125">
      <c r="A125" t="n">
        <v>124</v>
      </c>
      <c r="B125" t="inlineStr">
        <is>
          <t>4-暂时回避</t>
        </is>
      </c>
      <c r="C125" t="inlineStr">
        <is>
          <t>半导体</t>
        </is>
      </c>
      <c r="D125" t="inlineStr">
        <is>
          <t>封测</t>
        </is>
      </c>
      <c r="E125" t="n">
        <v>12</v>
      </c>
      <c r="F125" t="n">
        <v>5</v>
      </c>
      <c r="G125" t="n">
        <v>16</v>
      </c>
      <c r="H125" t="n">
        <v>4.79</v>
      </c>
      <c r="I125" t="n">
        <v>0</v>
      </c>
      <c r="J125" t="n">
        <v>0.17</v>
      </c>
      <c r="K125" t="n">
        <v>3</v>
      </c>
      <c r="L125" t="n">
        <v>5</v>
      </c>
      <c r="M125" t="n">
        <v>1</v>
      </c>
      <c r="N125" t="n">
        <v>3</v>
      </c>
      <c r="O125" t="inlineStr">
        <is>
          <t>汇成股份</t>
        </is>
      </c>
      <c r="P125" t="n">
        <v>16</v>
      </c>
      <c r="Q125" t="inlineStr">
        <is>
          <t>1.汇成股份(688403)-16分 | 2.甬矽电子(688362)-8分 | 3.晶方科技(603005)-8分</t>
        </is>
      </c>
    </row>
    <row r="126">
      <c r="A126" t="n">
        <v>125</v>
      </c>
      <c r="B126" t="inlineStr">
        <is>
          <t>4-暂时回避</t>
        </is>
      </c>
      <c r="C126" t="inlineStr">
        <is>
          <t>半导体</t>
        </is>
      </c>
      <c r="D126" t="inlineStr">
        <is>
          <t>涂胶显影机</t>
        </is>
      </c>
      <c r="E126" t="n">
        <v>1</v>
      </c>
      <c r="F126" t="n">
        <v>5</v>
      </c>
      <c r="G126" t="n">
        <v>5</v>
      </c>
      <c r="H126" t="n">
        <v>5.63</v>
      </c>
      <c r="I126" t="n">
        <v>0</v>
      </c>
      <c r="J126" t="n">
        <v>0.09</v>
      </c>
      <c r="K126" t="n">
        <v>0</v>
      </c>
      <c r="L126" t="n">
        <v>1</v>
      </c>
      <c r="M126" t="n">
        <v>0</v>
      </c>
      <c r="N126" t="n">
        <v>0</v>
      </c>
      <c r="O126" t="inlineStr">
        <is>
          <t>芯源微</t>
        </is>
      </c>
      <c r="P126" t="n">
        <v>5</v>
      </c>
      <c r="Q126" t="inlineStr">
        <is>
          <t>1.芯源微(688037)-5分</t>
        </is>
      </c>
    </row>
    <row r="127">
      <c r="A127" t="n">
        <v>126</v>
      </c>
      <c r="B127" t="inlineStr">
        <is>
          <t>4-暂时回避</t>
        </is>
      </c>
      <c r="C127" t="inlineStr">
        <is>
          <t>半导体</t>
        </is>
      </c>
      <c r="D127" t="inlineStr">
        <is>
          <t>划片机</t>
        </is>
      </c>
      <c r="E127" t="n">
        <v>1</v>
      </c>
      <c r="F127" t="n">
        <v>5</v>
      </c>
      <c r="G127" t="n">
        <v>5</v>
      </c>
      <c r="H127" t="n">
        <v>3.33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inlineStr">
        <is>
          <t>光力科技</t>
        </is>
      </c>
      <c r="P127" t="n">
        <v>5</v>
      </c>
      <c r="Q127" t="inlineStr">
        <is>
          <t>1.光力科技(300480)-5分</t>
        </is>
      </c>
    </row>
    <row r="128">
      <c r="A128" t="n">
        <v>127</v>
      </c>
      <c r="B128" t="inlineStr">
        <is>
          <t>4-暂时回避</t>
        </is>
      </c>
      <c r="C128" t="inlineStr">
        <is>
          <t>半导体</t>
        </is>
      </c>
      <c r="D128" t="inlineStr">
        <is>
          <t>GPU</t>
        </is>
      </c>
      <c r="E128" t="n">
        <v>1</v>
      </c>
      <c r="F128" t="n">
        <v>5</v>
      </c>
      <c r="G128" t="n">
        <v>5</v>
      </c>
      <c r="H128" t="n">
        <v>4.73</v>
      </c>
      <c r="I128" t="n">
        <v>0</v>
      </c>
      <c r="J128" t="n">
        <v>0.43</v>
      </c>
      <c r="K128" t="n">
        <v>0</v>
      </c>
      <c r="L128" t="n">
        <v>1</v>
      </c>
      <c r="M128" t="n">
        <v>0</v>
      </c>
      <c r="N128" t="n">
        <v>0</v>
      </c>
      <c r="O128" t="inlineStr">
        <is>
          <t>海光信息</t>
        </is>
      </c>
      <c r="P128" t="n">
        <v>5</v>
      </c>
      <c r="Q128" t="inlineStr">
        <is>
          <t>1.海光信息(688041)-5分</t>
        </is>
      </c>
    </row>
    <row r="129">
      <c r="A129" t="n">
        <v>128</v>
      </c>
      <c r="B129" t="inlineStr">
        <is>
          <t>4-暂时回避</t>
        </is>
      </c>
      <c r="C129" t="inlineStr">
        <is>
          <t>电池</t>
        </is>
      </c>
      <c r="D129" t="inlineStr">
        <is>
          <t>LiTFSI</t>
        </is>
      </c>
      <c r="E129" t="n">
        <v>1</v>
      </c>
      <c r="F129" t="n">
        <v>5</v>
      </c>
      <c r="G129" t="n">
        <v>5</v>
      </c>
      <c r="H129" t="n">
        <v>5.13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inlineStr">
        <is>
          <t>瑞泰新材</t>
        </is>
      </c>
      <c r="P129" t="n">
        <v>5</v>
      </c>
      <c r="Q129" t="inlineStr">
        <is>
          <t>1.瑞泰新材(301238)-5分</t>
        </is>
      </c>
    </row>
    <row r="130">
      <c r="A130" t="n">
        <v>129</v>
      </c>
      <c r="B130" t="inlineStr">
        <is>
          <t>4-暂时回避</t>
        </is>
      </c>
      <c r="C130" t="inlineStr">
        <is>
          <t>半导体</t>
        </is>
      </c>
      <c r="D130" t="inlineStr">
        <is>
          <t>TGV AOI量检测设备</t>
        </is>
      </c>
      <c r="E130" t="n">
        <v>1</v>
      </c>
      <c r="F130" t="n">
        <v>5</v>
      </c>
      <c r="G130" t="n">
        <v>5</v>
      </c>
      <c r="H130" t="n">
        <v>5.34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inlineStr">
        <is>
          <t>精测电子</t>
        </is>
      </c>
      <c r="P130" t="n">
        <v>5</v>
      </c>
      <c r="Q130" t="inlineStr">
        <is>
          <t>1.精测电子(300567)-5分</t>
        </is>
      </c>
    </row>
    <row r="131">
      <c r="A131" t="n">
        <v>130</v>
      </c>
      <c r="B131" t="inlineStr">
        <is>
          <t>4-暂时回避</t>
        </is>
      </c>
      <c r="C131" t="inlineStr">
        <is>
          <t>半导体</t>
        </is>
      </c>
      <c r="D131" t="inlineStr">
        <is>
          <t>使用TGV玻璃基板封装</t>
        </is>
      </c>
      <c r="E131" t="n">
        <v>1</v>
      </c>
      <c r="F131" t="n">
        <v>5</v>
      </c>
      <c r="G131" t="n">
        <v>5</v>
      </c>
      <c r="H131" t="n">
        <v>6.82</v>
      </c>
      <c r="I131" t="n">
        <v>0</v>
      </c>
      <c r="J131" t="n">
        <v>0.02</v>
      </c>
      <c r="K131" t="n">
        <v>0</v>
      </c>
      <c r="L131" t="n">
        <v>1</v>
      </c>
      <c r="M131" t="n">
        <v>0</v>
      </c>
      <c r="N131" t="n">
        <v>0</v>
      </c>
      <c r="O131" t="inlineStr">
        <is>
          <t>通富微电</t>
        </is>
      </c>
      <c r="P131" t="n">
        <v>5</v>
      </c>
      <c r="Q131" t="inlineStr">
        <is>
          <t>1.通富微电(002156)-5分</t>
        </is>
      </c>
    </row>
    <row r="132">
      <c r="A132" t="n">
        <v>131</v>
      </c>
      <c r="B132" t="inlineStr">
        <is>
          <t>4-暂时回避</t>
        </is>
      </c>
      <c r="C132" t="inlineStr">
        <is>
          <t>半导体</t>
        </is>
      </c>
      <c r="D132" t="inlineStr">
        <is>
          <t>TGV芯片玻璃载板激光装备</t>
        </is>
      </c>
      <c r="E132" t="n">
        <v>1</v>
      </c>
      <c r="F132" t="n">
        <v>5</v>
      </c>
      <c r="G132" t="n">
        <v>5</v>
      </c>
      <c r="H132" t="n">
        <v>3.97</v>
      </c>
      <c r="I132" t="n">
        <v>0</v>
      </c>
      <c r="J132" t="n">
        <v>0.01</v>
      </c>
      <c r="K132" t="n">
        <v>0</v>
      </c>
      <c r="L132" t="n">
        <v>1</v>
      </c>
      <c r="M132" t="n">
        <v>0</v>
      </c>
      <c r="N132" t="n">
        <v>0</v>
      </c>
      <c r="O132" t="inlineStr">
        <is>
          <t>华工科技</t>
        </is>
      </c>
      <c r="P132" t="n">
        <v>5</v>
      </c>
      <c r="Q132" t="inlineStr">
        <is>
          <t>1.华工科技(000988)-5分</t>
        </is>
      </c>
    </row>
    <row r="133">
      <c r="A133" t="n">
        <v>132</v>
      </c>
      <c r="B133" t="inlineStr">
        <is>
          <t>4-暂时回避</t>
        </is>
      </c>
      <c r="C133" t="inlineStr">
        <is>
          <t>电池</t>
        </is>
      </c>
      <c r="D133" t="inlineStr">
        <is>
          <t>镧原料</t>
        </is>
      </c>
      <c r="E133" t="n">
        <v>2</v>
      </c>
      <c r="F133" t="n">
        <v>4.5</v>
      </c>
      <c r="G133" t="n">
        <v>9</v>
      </c>
      <c r="H133" t="n">
        <v>-2.03</v>
      </c>
      <c r="I133" t="n">
        <v>0</v>
      </c>
      <c r="J133" t="n">
        <v>0.02</v>
      </c>
      <c r="K133" t="n">
        <v>0</v>
      </c>
      <c r="L133" t="n">
        <v>0</v>
      </c>
      <c r="M133" t="n">
        <v>1</v>
      </c>
      <c r="N133" t="n">
        <v>1</v>
      </c>
      <c r="O133" t="inlineStr">
        <is>
          <t>盛和资源</t>
        </is>
      </c>
      <c r="P133" t="n">
        <v>9</v>
      </c>
      <c r="Q133" t="inlineStr">
        <is>
          <t>1.盛和资源(600392)-9分 | 2.北方稀土(600111)-0分</t>
        </is>
      </c>
    </row>
    <row r="134">
      <c r="A134" t="n">
        <v>133</v>
      </c>
      <c r="B134" t="inlineStr">
        <is>
          <t>4-暂时回避</t>
        </is>
      </c>
      <c r="C134" t="inlineStr">
        <is>
          <t>人形机器人</t>
        </is>
      </c>
      <c r="D134" t="inlineStr">
        <is>
          <t>结构件</t>
        </is>
      </c>
      <c r="E134" t="n">
        <v>2</v>
      </c>
      <c r="F134" t="n">
        <v>4.5</v>
      </c>
      <c r="G134" t="n">
        <v>9</v>
      </c>
      <c r="H134" t="n">
        <v>-1.65</v>
      </c>
      <c r="I134" t="n">
        <v>0</v>
      </c>
      <c r="J134" t="n">
        <v>0</v>
      </c>
      <c r="K134" t="n">
        <v>0</v>
      </c>
      <c r="L134" t="n">
        <v>0</v>
      </c>
      <c r="M134" t="n">
        <v>1</v>
      </c>
      <c r="N134" t="n">
        <v>1</v>
      </c>
      <c r="O134" t="inlineStr">
        <is>
          <t>祥鑫科技</t>
        </is>
      </c>
      <c r="P134" t="n">
        <v>9</v>
      </c>
      <c r="Q134" t="inlineStr">
        <is>
          <t>1.祥鑫科技(002965)-9分 | 2.浙江荣泰(603119)-0分</t>
        </is>
      </c>
    </row>
    <row r="135">
      <c r="A135" t="n">
        <v>134</v>
      </c>
      <c r="B135" t="inlineStr">
        <is>
          <t>4-暂时回避</t>
        </is>
      </c>
      <c r="C135" t="inlineStr">
        <is>
          <t>电池</t>
        </is>
      </c>
      <c r="D135" t="inlineStr">
        <is>
          <t>碳酸亚乙烯酯VC</t>
        </is>
      </c>
      <c r="E135" t="n">
        <v>9</v>
      </c>
      <c r="F135" t="n">
        <v>4.33</v>
      </c>
      <c r="G135" t="n">
        <v>16</v>
      </c>
      <c r="H135" t="n">
        <v>2.7</v>
      </c>
      <c r="I135" t="n">
        <v>0</v>
      </c>
      <c r="J135" t="n">
        <v>0.02</v>
      </c>
      <c r="K135" t="n">
        <v>2</v>
      </c>
      <c r="L135" t="n">
        <v>2</v>
      </c>
      <c r="M135" t="n">
        <v>0</v>
      </c>
      <c r="N135" t="n">
        <v>5</v>
      </c>
      <c r="O135" t="inlineStr">
        <is>
          <t>新宙邦</t>
        </is>
      </c>
      <c r="P135" t="n">
        <v>16</v>
      </c>
      <c r="Q135" t="inlineStr">
        <is>
          <t>1.新宙邦(300037)-16分 | 2.石大胜华(603026)-13分 | 3.阳谷华泰(300121)-5分</t>
        </is>
      </c>
    </row>
    <row r="136">
      <c r="A136" t="n">
        <v>135</v>
      </c>
      <c r="B136" t="inlineStr">
        <is>
          <t>4-暂时回避</t>
        </is>
      </c>
      <c r="C136" t="inlineStr">
        <is>
          <t>电池</t>
        </is>
      </c>
      <c r="D136" t="inlineStr">
        <is>
          <t>三元材料</t>
        </is>
      </c>
      <c r="E136" t="n">
        <v>4</v>
      </c>
      <c r="F136" t="n">
        <v>4.25</v>
      </c>
      <c r="G136" t="n">
        <v>17</v>
      </c>
      <c r="H136" t="n">
        <v>-0.66</v>
      </c>
      <c r="I136" t="n">
        <v>0</v>
      </c>
      <c r="J136" t="n">
        <v>0.13</v>
      </c>
      <c r="K136" t="n">
        <v>1</v>
      </c>
      <c r="L136" t="n">
        <v>0</v>
      </c>
      <c r="M136" t="n">
        <v>0</v>
      </c>
      <c r="N136" t="n">
        <v>3</v>
      </c>
      <c r="O136" t="inlineStr">
        <is>
          <t>丰元股份</t>
        </is>
      </c>
      <c r="P136" t="n">
        <v>17</v>
      </c>
      <c r="Q136" t="inlineStr">
        <is>
          <t>1.丰元股份(002805)-17分 | 2.容百科技(688005)-0分 | 3.当升科技(300073)-0分</t>
        </is>
      </c>
    </row>
    <row r="137">
      <c r="A137" t="n">
        <v>136</v>
      </c>
      <c r="B137" t="inlineStr">
        <is>
          <t>4-暂时回避</t>
        </is>
      </c>
      <c r="C137" t="inlineStr">
        <is>
          <t>算力金属</t>
        </is>
      </c>
      <c r="D137" t="inlineStr">
        <is>
          <t>铟</t>
        </is>
      </c>
      <c r="E137" t="n">
        <v>4</v>
      </c>
      <c r="F137" t="n">
        <v>4.25</v>
      </c>
      <c r="G137" t="n">
        <v>8</v>
      </c>
      <c r="H137" t="n">
        <v>-0.31</v>
      </c>
      <c r="I137" t="n">
        <v>0</v>
      </c>
      <c r="J137" t="n">
        <v>0.01</v>
      </c>
      <c r="K137" t="n">
        <v>1</v>
      </c>
      <c r="L137" t="n">
        <v>0</v>
      </c>
      <c r="M137" t="n">
        <v>3</v>
      </c>
      <c r="N137" t="n">
        <v>0</v>
      </c>
      <c r="O137" t="inlineStr">
        <is>
          <t>高能环境</t>
        </is>
      </c>
      <c r="P137" t="n">
        <v>8</v>
      </c>
      <c r="Q137" t="inlineStr">
        <is>
          <t>1.高能环境(603588)-8分 | 2.株冶集团(600961)-3分 | 3.锌业股份(000751)-3分</t>
        </is>
      </c>
    </row>
    <row r="138">
      <c r="A138" t="n">
        <v>137</v>
      </c>
      <c r="B138" t="inlineStr">
        <is>
          <t>4-暂时回避</t>
        </is>
      </c>
      <c r="C138" t="inlineStr">
        <is>
          <t>电池</t>
        </is>
      </c>
      <c r="D138" t="inlineStr">
        <is>
          <t>设备</t>
        </is>
      </c>
      <c r="E138" t="n">
        <v>12</v>
      </c>
      <c r="F138" t="n">
        <v>4.25</v>
      </c>
      <c r="G138" t="n">
        <v>13</v>
      </c>
      <c r="H138" t="n">
        <v>0.91</v>
      </c>
      <c r="I138" t="n">
        <v>0</v>
      </c>
      <c r="J138" t="n">
        <v>0.06</v>
      </c>
      <c r="K138" t="n">
        <v>3</v>
      </c>
      <c r="L138" t="n">
        <v>2</v>
      </c>
      <c r="M138" t="n">
        <v>2</v>
      </c>
      <c r="N138" t="n">
        <v>5</v>
      </c>
      <c r="O138" t="inlineStr">
        <is>
          <t>骄成超声</t>
        </is>
      </c>
      <c r="P138" t="n">
        <v>13</v>
      </c>
      <c r="Q138" t="inlineStr">
        <is>
          <t>1.骄成超声(688392)-13分 | 2.海目星(688559)-11分 | 3.东威科技(688700)-11分</t>
        </is>
      </c>
    </row>
    <row r="139">
      <c r="A139" t="n">
        <v>138</v>
      </c>
      <c r="B139" t="inlineStr">
        <is>
          <t>4-暂时回避</t>
        </is>
      </c>
      <c r="C139" t="inlineStr">
        <is>
          <t>电池</t>
        </is>
      </c>
      <c r="D139" t="inlineStr">
        <is>
          <t>结构件</t>
        </is>
      </c>
      <c r="E139" t="n">
        <v>2</v>
      </c>
      <c r="F139" t="n">
        <v>4</v>
      </c>
      <c r="G139" t="n">
        <v>8</v>
      </c>
      <c r="H139" t="n">
        <v>0.66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inlineStr">
        <is>
          <t>科达利</t>
        </is>
      </c>
      <c r="P139" t="n">
        <v>8</v>
      </c>
      <c r="Q139" t="inlineStr">
        <is>
          <t>1.科达利(002850)-8分 | 2.震裕科技(300953)-0分</t>
        </is>
      </c>
    </row>
    <row r="140">
      <c r="A140" t="n">
        <v>139</v>
      </c>
      <c r="B140" t="inlineStr">
        <is>
          <t>4-暂时回避</t>
        </is>
      </c>
      <c r="C140" t="inlineStr">
        <is>
          <t>电池</t>
        </is>
      </c>
      <c r="D140" t="inlineStr">
        <is>
          <t>隔膜设备</t>
        </is>
      </c>
      <c r="E140" t="n">
        <v>2</v>
      </c>
      <c r="F140" t="n">
        <v>4</v>
      </c>
      <c r="G140" t="n">
        <v>8</v>
      </c>
      <c r="H140" t="n">
        <v>1.73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inlineStr">
        <is>
          <t>欧克科技</t>
        </is>
      </c>
      <c r="P140" t="n">
        <v>8</v>
      </c>
      <c r="Q140" t="inlineStr">
        <is>
          <t>1.欧克科技(001223)-8分 | 2.金明精机(300281)-0分</t>
        </is>
      </c>
    </row>
    <row r="141">
      <c r="A141" t="n">
        <v>140</v>
      </c>
      <c r="B141" t="inlineStr">
        <is>
          <t>4-暂时回避</t>
        </is>
      </c>
      <c r="C141" t="inlineStr">
        <is>
          <t>商业航天</t>
        </is>
      </c>
      <c r="D141" t="inlineStr">
        <is>
          <t>通信载荷</t>
        </is>
      </c>
      <c r="E141" t="n">
        <v>2</v>
      </c>
      <c r="F141" t="n">
        <v>4</v>
      </c>
      <c r="G141" t="n">
        <v>8</v>
      </c>
      <c r="H141" t="n">
        <v>5.81</v>
      </c>
      <c r="I141" t="n">
        <v>1</v>
      </c>
      <c r="J141" t="n">
        <v>0.63</v>
      </c>
      <c r="K141" t="n">
        <v>1</v>
      </c>
      <c r="L141" t="n">
        <v>0</v>
      </c>
      <c r="M141" t="n">
        <v>0</v>
      </c>
      <c r="N141" t="n">
        <v>1</v>
      </c>
      <c r="O141" t="inlineStr">
        <is>
          <t>信科移动-U</t>
        </is>
      </c>
      <c r="P141" t="n">
        <v>8</v>
      </c>
      <c r="Q141" t="inlineStr">
        <is>
          <t>1.信科移动-U(688387)-8分 | 2.创意信息(300366)-0分</t>
        </is>
      </c>
    </row>
    <row r="142">
      <c r="A142" t="n">
        <v>141</v>
      </c>
      <c r="B142" t="inlineStr">
        <is>
          <t>4-暂时回避</t>
        </is>
      </c>
      <c r="C142" t="inlineStr">
        <is>
          <t>PCB</t>
        </is>
      </c>
      <c r="D142" t="inlineStr">
        <is>
          <t>贴片</t>
        </is>
      </c>
      <c r="E142" t="n">
        <v>2</v>
      </c>
      <c r="F142" t="n">
        <v>4</v>
      </c>
      <c r="G142" t="n">
        <v>8</v>
      </c>
      <c r="H142" t="n">
        <v>3.48</v>
      </c>
      <c r="I142" t="n">
        <v>0</v>
      </c>
      <c r="J142" t="n">
        <v>0.06</v>
      </c>
      <c r="K142" t="n">
        <v>1</v>
      </c>
      <c r="L142" t="n">
        <v>0</v>
      </c>
      <c r="M142" t="n">
        <v>0</v>
      </c>
      <c r="N142" t="n">
        <v>1</v>
      </c>
      <c r="O142" t="inlineStr">
        <is>
          <t>天准科技</t>
        </is>
      </c>
      <c r="P142" t="n">
        <v>8</v>
      </c>
      <c r="Q142" t="inlineStr">
        <is>
          <t>1.天准科技(688003)-8分 | 2.凯格精机(301338)-0分</t>
        </is>
      </c>
    </row>
    <row r="143">
      <c r="A143" t="n">
        <v>142</v>
      </c>
      <c r="B143" t="inlineStr">
        <is>
          <t>4-暂时回避</t>
        </is>
      </c>
      <c r="C143" t="inlineStr">
        <is>
          <t>电池</t>
        </is>
      </c>
      <c r="D143" t="inlineStr">
        <is>
          <t>氟代碳酸乙烯酯FEC</t>
        </is>
      </c>
      <c r="E143" t="n">
        <v>6</v>
      </c>
      <c r="F143" t="n">
        <v>4</v>
      </c>
      <c r="G143" t="n">
        <v>19</v>
      </c>
      <c r="H143" t="n">
        <v>2.49</v>
      </c>
      <c r="I143" t="n">
        <v>0</v>
      </c>
      <c r="J143" t="n">
        <v>0.02</v>
      </c>
      <c r="K143" t="n">
        <v>2</v>
      </c>
      <c r="L143" t="n">
        <v>0</v>
      </c>
      <c r="M143" t="n">
        <v>0</v>
      </c>
      <c r="N143" t="n">
        <v>4</v>
      </c>
      <c r="O143" t="inlineStr">
        <is>
          <t>孚日股份</t>
        </is>
      </c>
      <c r="P143" t="n">
        <v>19</v>
      </c>
      <c r="Q143" t="inlineStr">
        <is>
          <t>1.孚日股份(002083)-19分 | 2.瑞联新材(688550)-5分 | 3.华软科技(002453)-0分</t>
        </is>
      </c>
    </row>
    <row r="144">
      <c r="A144" t="n">
        <v>143</v>
      </c>
      <c r="B144" t="inlineStr">
        <is>
          <t>4-暂时回避</t>
        </is>
      </c>
      <c r="C144" t="inlineStr">
        <is>
          <t>半导体</t>
        </is>
      </c>
      <c r="D144" t="inlineStr">
        <is>
          <t>中段设备</t>
        </is>
      </c>
      <c r="E144" t="n">
        <v>2</v>
      </c>
      <c r="F144" t="n">
        <v>4</v>
      </c>
      <c r="G144" t="n">
        <v>8</v>
      </c>
      <c r="H144" t="n">
        <v>2.38</v>
      </c>
      <c r="I144" t="n">
        <v>0</v>
      </c>
      <c r="J144" t="n">
        <v>0.16</v>
      </c>
      <c r="K144" t="n">
        <v>1</v>
      </c>
      <c r="L144" t="n">
        <v>0</v>
      </c>
      <c r="M144" t="n">
        <v>0</v>
      </c>
      <c r="N144" t="n">
        <v>1</v>
      </c>
      <c r="O144" t="inlineStr">
        <is>
          <t>德龙激光</t>
        </is>
      </c>
      <c r="P144" t="n">
        <v>8</v>
      </c>
      <c r="Q144" t="inlineStr">
        <is>
          <t>1.德龙激光(688170)-8分 | 2.联赢激光(688518)-0分</t>
        </is>
      </c>
    </row>
    <row r="145">
      <c r="A145" t="n">
        <v>144</v>
      </c>
      <c r="B145" t="inlineStr">
        <is>
          <t>4-暂时回避</t>
        </is>
      </c>
      <c r="C145" t="inlineStr">
        <is>
          <t>电池</t>
        </is>
      </c>
      <c r="D145" t="inlineStr">
        <is>
          <t>双氟磺酰亚胺锂LiFSI</t>
        </is>
      </c>
      <c r="E145" t="n">
        <v>7</v>
      </c>
      <c r="F145" t="n">
        <v>4</v>
      </c>
      <c r="G145" t="n">
        <v>22</v>
      </c>
      <c r="H145" t="n">
        <v>0.32</v>
      </c>
      <c r="I145" t="n">
        <v>0</v>
      </c>
      <c r="J145" t="n">
        <v>0.03</v>
      </c>
      <c r="K145" t="n">
        <v>1</v>
      </c>
      <c r="L145" t="n">
        <v>0</v>
      </c>
      <c r="M145" t="n">
        <v>2</v>
      </c>
      <c r="N145" t="n">
        <v>4</v>
      </c>
      <c r="O145" t="inlineStr">
        <is>
          <t>华盛锂电</t>
        </is>
      </c>
      <c r="P145" t="n">
        <v>22</v>
      </c>
      <c r="Q145" t="inlineStr">
        <is>
          <t>1.华盛锂电(688353)-22分 | 2.利民股份(002734)-3分 | 3.金禾实业(002597)-3分</t>
        </is>
      </c>
    </row>
    <row r="146">
      <c r="A146" t="n">
        <v>145</v>
      </c>
      <c r="B146" t="inlineStr">
        <is>
          <t>4-暂时回避</t>
        </is>
      </c>
      <c r="C146" t="inlineStr">
        <is>
          <t>电池</t>
        </is>
      </c>
      <c r="D146" t="inlineStr">
        <is>
          <t>硅碳负极</t>
        </is>
      </c>
      <c r="E146" t="n">
        <v>8</v>
      </c>
      <c r="F146" t="n">
        <v>4</v>
      </c>
      <c r="G146" t="n">
        <v>13</v>
      </c>
      <c r="H146" t="n">
        <v>1.15</v>
      </c>
      <c r="I146" t="n">
        <v>1</v>
      </c>
      <c r="J146" t="n">
        <v>0</v>
      </c>
      <c r="K146" t="n">
        <v>3</v>
      </c>
      <c r="L146" t="n">
        <v>0</v>
      </c>
      <c r="M146" t="n">
        <v>0</v>
      </c>
      <c r="N146" t="n">
        <v>5</v>
      </c>
      <c r="O146" t="inlineStr">
        <is>
          <t>石大胜华</t>
        </is>
      </c>
      <c r="P146" t="n">
        <v>13</v>
      </c>
      <c r="Q146" t="inlineStr">
        <is>
          <t>1.石大胜华(603026)-13分 | 2.新安股份(600596)-11分 | 3.滨海能源(000695)-8分</t>
        </is>
      </c>
    </row>
    <row r="147">
      <c r="A147" t="n">
        <v>146</v>
      </c>
      <c r="B147" t="inlineStr">
        <is>
          <t>4-暂时回避</t>
        </is>
      </c>
      <c r="C147" t="inlineStr">
        <is>
          <t>半导体</t>
        </is>
      </c>
      <c r="D147" t="inlineStr">
        <is>
          <t>AMHS</t>
        </is>
      </c>
      <c r="E147" t="n">
        <v>2</v>
      </c>
      <c r="F147" t="n">
        <v>4</v>
      </c>
      <c r="G147" t="n">
        <v>8</v>
      </c>
      <c r="H147" t="n">
        <v>0.2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inlineStr">
        <is>
          <t>海晨股份</t>
        </is>
      </c>
      <c r="P147" t="n">
        <v>8</v>
      </c>
      <c r="Q147" t="inlineStr">
        <is>
          <t>1.海晨股份(300873)-8分 | 2.美的集团(000333)-0分</t>
        </is>
      </c>
    </row>
    <row r="148">
      <c r="A148" t="n">
        <v>147</v>
      </c>
      <c r="B148" t="inlineStr">
        <is>
          <t>4-暂时回避</t>
        </is>
      </c>
      <c r="C148" t="inlineStr">
        <is>
          <t>电池</t>
        </is>
      </c>
      <c r="D148" t="inlineStr">
        <is>
          <t>等静压设备</t>
        </is>
      </c>
      <c r="E148" t="n">
        <v>2</v>
      </c>
      <c r="F148" t="n">
        <v>4</v>
      </c>
      <c r="G148" t="n">
        <v>5</v>
      </c>
      <c r="H148" t="n">
        <v>1.01</v>
      </c>
      <c r="I148" t="n">
        <v>0</v>
      </c>
      <c r="J148" t="n">
        <v>0.05</v>
      </c>
      <c r="K148" t="n">
        <v>1</v>
      </c>
      <c r="L148" t="n">
        <v>0</v>
      </c>
      <c r="M148" t="n">
        <v>1</v>
      </c>
      <c r="N148" t="n">
        <v>0</v>
      </c>
      <c r="O148" t="inlineStr">
        <is>
          <t>利元亨</t>
        </is>
      </c>
      <c r="P148" t="n">
        <v>5</v>
      </c>
      <c r="Q148" t="inlineStr">
        <is>
          <t>1.利元亨(688499)-5分 | 2.先导智能(300450)-3分</t>
        </is>
      </c>
    </row>
    <row r="149">
      <c r="A149" t="n">
        <v>148</v>
      </c>
      <c r="B149" t="inlineStr">
        <is>
          <t>4-暂时回避</t>
        </is>
      </c>
      <c r="C149" t="inlineStr">
        <is>
          <t>半导体</t>
        </is>
      </c>
      <c r="D149" t="inlineStr">
        <is>
          <t>光刻胶</t>
        </is>
      </c>
      <c r="E149" t="n">
        <v>7</v>
      </c>
      <c r="F149" t="n">
        <v>3.71</v>
      </c>
      <c r="G149" t="n">
        <v>13</v>
      </c>
      <c r="H149" t="n">
        <v>2.79</v>
      </c>
      <c r="I149" t="n">
        <v>0</v>
      </c>
      <c r="J149" t="n">
        <v>0</v>
      </c>
      <c r="K149" t="n">
        <v>3</v>
      </c>
      <c r="L149" t="n">
        <v>0</v>
      </c>
      <c r="M149" t="n">
        <v>1</v>
      </c>
      <c r="N149" t="n">
        <v>3</v>
      </c>
      <c r="O149" t="inlineStr">
        <is>
          <t>彤程新材</t>
        </is>
      </c>
      <c r="P149" t="n">
        <v>13</v>
      </c>
      <c r="Q149" t="inlineStr">
        <is>
          <t>1.彤程新材(603650)-13分 | 2.晶瑞电材(300655)-5分 | 3.上海新阳(300236)-5分</t>
        </is>
      </c>
    </row>
    <row r="150">
      <c r="A150" t="n">
        <v>149</v>
      </c>
      <c r="B150" t="inlineStr">
        <is>
          <t>4-暂时回避</t>
        </is>
      </c>
      <c r="C150" t="inlineStr">
        <is>
          <t>电池</t>
        </is>
      </c>
      <c r="D150" t="inlineStr">
        <is>
          <t>锰矿</t>
        </is>
      </c>
      <c r="E150" t="n">
        <v>3</v>
      </c>
      <c r="F150" t="n">
        <v>3.67</v>
      </c>
      <c r="G150" t="n">
        <v>11</v>
      </c>
      <c r="H150" t="n">
        <v>0.27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2</v>
      </c>
      <c r="O150" t="inlineStr">
        <is>
          <t>红星发展</t>
        </is>
      </c>
      <c r="P150" t="n">
        <v>11</v>
      </c>
      <c r="Q150" t="inlineStr">
        <is>
          <t>1.红星发展(600367)-11分 | 2.三峡水利(600116)-0分 | 3.西部黄金(601069)-0分</t>
        </is>
      </c>
    </row>
    <row r="151">
      <c r="A151" t="n">
        <v>150</v>
      </c>
      <c r="B151" t="inlineStr">
        <is>
          <t>4-暂时回避</t>
        </is>
      </c>
      <c r="C151" t="inlineStr">
        <is>
          <t>半导体</t>
        </is>
      </c>
      <c r="D151" t="inlineStr">
        <is>
          <t>其他电子级</t>
        </is>
      </c>
      <c r="E151" t="n">
        <v>3</v>
      </c>
      <c r="F151" t="n">
        <v>3.67</v>
      </c>
      <c r="G151" t="n">
        <v>11</v>
      </c>
      <c r="H151" t="n">
        <v>-1.08</v>
      </c>
      <c r="I151" t="n">
        <v>0</v>
      </c>
      <c r="J151" t="n">
        <v>0.01</v>
      </c>
      <c r="K151" t="n">
        <v>1</v>
      </c>
      <c r="L151" t="n">
        <v>0</v>
      </c>
      <c r="M151" t="n">
        <v>0</v>
      </c>
      <c r="N151" t="n">
        <v>2</v>
      </c>
      <c r="O151" t="inlineStr">
        <is>
          <t>江化微</t>
        </is>
      </c>
      <c r="P151" t="n">
        <v>11</v>
      </c>
      <c r="Q151" t="inlineStr">
        <is>
          <t>1.江化微(603078)-11分 | 2.天赐材料(002709)-0分 | 3.中欣氟材(002915)-0分</t>
        </is>
      </c>
    </row>
    <row r="152">
      <c r="A152" t="n">
        <v>151</v>
      </c>
      <c r="B152" t="inlineStr">
        <is>
          <t>4-暂时回避</t>
        </is>
      </c>
      <c r="C152" t="inlineStr">
        <is>
          <t>PCB</t>
        </is>
      </c>
      <c r="D152" t="inlineStr">
        <is>
          <t>千帆星座</t>
        </is>
      </c>
      <c r="E152" t="n">
        <v>3</v>
      </c>
      <c r="F152" t="n">
        <v>3.67</v>
      </c>
      <c r="G152" t="n">
        <v>8</v>
      </c>
      <c r="H152" t="n">
        <v>3.15</v>
      </c>
      <c r="I152" t="n">
        <v>0</v>
      </c>
      <c r="J152" t="n">
        <v>0.01</v>
      </c>
      <c r="K152" t="n">
        <v>1</v>
      </c>
      <c r="L152" t="n">
        <v>0</v>
      </c>
      <c r="M152" t="n">
        <v>1</v>
      </c>
      <c r="N152" t="n">
        <v>1</v>
      </c>
      <c r="O152" t="inlineStr">
        <is>
          <t>鸿远电子</t>
        </is>
      </c>
      <c r="P152" t="n">
        <v>8</v>
      </c>
      <c r="Q152" t="inlineStr">
        <is>
          <t>1.鸿远电子(603267)-8分 | 2.立昂微(605358)-3分 | 3.乾照光电(300102)-0分</t>
        </is>
      </c>
    </row>
    <row r="153">
      <c r="A153" t="n">
        <v>152</v>
      </c>
      <c r="B153" t="inlineStr">
        <is>
          <t>4-暂时回避</t>
        </is>
      </c>
      <c r="C153" t="inlineStr">
        <is>
          <t>人形机器人</t>
        </is>
      </c>
      <c r="D153" t="inlineStr">
        <is>
          <t>传感器</t>
        </is>
      </c>
      <c r="E153" t="n">
        <v>20</v>
      </c>
      <c r="F153" t="n">
        <v>3.4</v>
      </c>
      <c r="G153" t="n">
        <v>22</v>
      </c>
      <c r="H153" t="n">
        <v>0.89</v>
      </c>
      <c r="I153" t="n">
        <v>1</v>
      </c>
      <c r="J153" t="n">
        <v>0.06</v>
      </c>
      <c r="K153" t="n">
        <v>5</v>
      </c>
      <c r="L153" t="n">
        <v>0</v>
      </c>
      <c r="M153" t="n">
        <v>4</v>
      </c>
      <c r="N153" t="n">
        <v>11</v>
      </c>
      <c r="O153" t="inlineStr">
        <is>
          <t>敏芯股份</t>
        </is>
      </c>
      <c r="P153" t="n">
        <v>22</v>
      </c>
      <c r="Q153" t="inlineStr">
        <is>
          <t>1.敏芯股份(688286)-22分 | 2.芯动联科(688582)-19分 | 3.东华测试(300354)-5分</t>
        </is>
      </c>
    </row>
    <row r="154">
      <c r="A154" t="n">
        <v>153</v>
      </c>
      <c r="B154" t="inlineStr">
        <is>
          <t>4-暂时回避</t>
        </is>
      </c>
      <c r="C154" t="inlineStr">
        <is>
          <t>半导体</t>
        </is>
      </c>
      <c r="D154" t="inlineStr">
        <is>
          <t>双氟磺酰亚胺锂</t>
        </is>
      </c>
      <c r="E154" t="n">
        <v>6</v>
      </c>
      <c r="F154" t="n">
        <v>3.17</v>
      </c>
      <c r="G154" t="n">
        <v>16</v>
      </c>
      <c r="H154" t="n">
        <v>-0.2</v>
      </c>
      <c r="I154" t="n">
        <v>0</v>
      </c>
      <c r="J154" t="n">
        <v>0.02</v>
      </c>
      <c r="K154" t="n">
        <v>1</v>
      </c>
      <c r="L154" t="n">
        <v>0</v>
      </c>
      <c r="M154" t="n">
        <v>1</v>
      </c>
      <c r="N154" t="n">
        <v>4</v>
      </c>
      <c r="O154" t="inlineStr">
        <is>
          <t>新宙邦</t>
        </is>
      </c>
      <c r="P154" t="n">
        <v>16</v>
      </c>
      <c r="Q154" t="inlineStr">
        <is>
          <t>1.新宙邦(300037)-16分 | 2.多氟多(002407)-3分 | 3.永太科技(002326)-0分</t>
        </is>
      </c>
    </row>
    <row r="155">
      <c r="A155" t="n">
        <v>154</v>
      </c>
      <c r="B155" t="inlineStr">
        <is>
          <t>4-暂时回避</t>
        </is>
      </c>
      <c r="C155" t="inlineStr">
        <is>
          <t>半导体</t>
        </is>
      </c>
      <c r="D155" t="inlineStr">
        <is>
          <t>GPU股权</t>
        </is>
      </c>
      <c r="E155" t="n">
        <v>9</v>
      </c>
      <c r="F155" t="n">
        <v>3.11</v>
      </c>
      <c r="G155" t="n">
        <v>9</v>
      </c>
      <c r="H155" t="n">
        <v>2.18</v>
      </c>
      <c r="I155" t="n">
        <v>1</v>
      </c>
      <c r="J155" t="n">
        <v>0.03</v>
      </c>
      <c r="K155" t="n">
        <v>2</v>
      </c>
      <c r="L155" t="n">
        <v>0</v>
      </c>
      <c r="M155" t="n">
        <v>3</v>
      </c>
      <c r="N155" t="n">
        <v>4</v>
      </c>
      <c r="O155" t="inlineStr">
        <is>
          <t>星宸科技</t>
        </is>
      </c>
      <c r="P155" t="n">
        <v>9</v>
      </c>
      <c r="Q155" t="inlineStr">
        <is>
          <t>1.星宸科技(301536)-9分 | 2.智微智能(001339)-8分 | 3.东芯股份(688110)-5分</t>
        </is>
      </c>
    </row>
    <row r="156">
      <c r="A156" t="n">
        <v>155</v>
      </c>
      <c r="B156" t="inlineStr">
        <is>
          <t>4-暂时回避</t>
        </is>
      </c>
      <c r="C156" t="inlineStr">
        <is>
          <t>算力金属</t>
        </is>
      </c>
      <c r="D156" t="inlineStr">
        <is>
          <t>锑</t>
        </is>
      </c>
      <c r="E156" t="n">
        <v>2</v>
      </c>
      <c r="F156" t="n">
        <v>3</v>
      </c>
      <c r="G156" t="n">
        <v>3</v>
      </c>
      <c r="H156" t="n">
        <v>-2.08</v>
      </c>
      <c r="I156" t="n">
        <v>0</v>
      </c>
      <c r="J156" t="n">
        <v>0.01</v>
      </c>
      <c r="K156" t="n">
        <v>0</v>
      </c>
      <c r="L156" t="n">
        <v>0</v>
      </c>
      <c r="M156" t="n">
        <v>2</v>
      </c>
      <c r="N156" t="n">
        <v>0</v>
      </c>
      <c r="O156" t="inlineStr">
        <is>
          <t>华钰矿业</t>
        </is>
      </c>
      <c r="P156" t="n">
        <v>3</v>
      </c>
      <c r="Q156" t="inlineStr">
        <is>
          <t>1.华钰矿业(601020)-3分 | 2.梅雁吉祥(600868)-3分</t>
        </is>
      </c>
    </row>
    <row r="157">
      <c r="A157" t="n">
        <v>156</v>
      </c>
      <c r="B157" t="inlineStr">
        <is>
          <t>4-暂时回避</t>
        </is>
      </c>
      <c r="C157" t="inlineStr">
        <is>
          <t>电池</t>
        </is>
      </c>
      <c r="D157" t="inlineStr">
        <is>
          <t>锗</t>
        </is>
      </c>
      <c r="E157" t="n">
        <v>1</v>
      </c>
      <c r="F157" t="n">
        <v>3</v>
      </c>
      <c r="G157" t="n">
        <v>3</v>
      </c>
      <c r="H157" t="n">
        <v>-1.92</v>
      </c>
      <c r="I157" t="n">
        <v>0</v>
      </c>
      <c r="J157" t="n">
        <v>0.01</v>
      </c>
      <c r="K157" t="n">
        <v>0</v>
      </c>
      <c r="L157" t="n">
        <v>0</v>
      </c>
      <c r="M157" t="n">
        <v>1</v>
      </c>
      <c r="N157" t="n">
        <v>0</v>
      </c>
      <c r="O157" t="inlineStr">
        <is>
          <t>云南锗业</t>
        </is>
      </c>
      <c r="P157" t="n">
        <v>3</v>
      </c>
      <c r="Q157" t="inlineStr">
        <is>
          <t>1.云南锗业(002428)-3分</t>
        </is>
      </c>
    </row>
    <row r="158">
      <c r="A158" t="n">
        <v>157</v>
      </c>
      <c r="B158" t="inlineStr">
        <is>
          <t>4-暂时回避</t>
        </is>
      </c>
      <c r="C158" t="inlineStr">
        <is>
          <t>半导体</t>
        </is>
      </c>
      <c r="D158" t="inlineStr">
        <is>
          <t>微纳激光直写光刻设备</t>
        </is>
      </c>
      <c r="E158" t="n">
        <v>1</v>
      </c>
      <c r="F158" t="n">
        <v>3</v>
      </c>
      <c r="G158" t="n">
        <v>3</v>
      </c>
      <c r="H158" t="n">
        <v>0.91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inlineStr">
        <is>
          <t>洪田股份</t>
        </is>
      </c>
      <c r="P158" t="n">
        <v>3</v>
      </c>
      <c r="Q158" t="inlineStr">
        <is>
          <t>1.洪田股份(603800)-3分</t>
        </is>
      </c>
    </row>
    <row r="159">
      <c r="A159" t="n">
        <v>158</v>
      </c>
      <c r="B159" t="inlineStr">
        <is>
          <t>4-暂时回避</t>
        </is>
      </c>
      <c r="C159" t="inlineStr">
        <is>
          <t>半导体</t>
        </is>
      </c>
      <c r="D159" t="inlineStr">
        <is>
          <t>玻璃基成套解决方案</t>
        </is>
      </c>
      <c r="E159" t="n">
        <v>1</v>
      </c>
      <c r="F159" t="n">
        <v>3</v>
      </c>
      <c r="G159" t="n">
        <v>3</v>
      </c>
      <c r="H159" t="n">
        <v>0.64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inlineStr">
        <is>
          <t>大族数控</t>
        </is>
      </c>
      <c r="P159" t="n">
        <v>3</v>
      </c>
      <c r="Q159" t="inlineStr">
        <is>
          <t>1.大族数控(301200)-3分</t>
        </is>
      </c>
    </row>
    <row r="160">
      <c r="A160" t="n">
        <v>159</v>
      </c>
      <c r="B160" t="inlineStr">
        <is>
          <t>4-暂时回避</t>
        </is>
      </c>
      <c r="C160" t="inlineStr">
        <is>
          <t>PCB</t>
        </is>
      </c>
      <c r="D160" t="inlineStr">
        <is>
          <t>PPO注塑改性塑料</t>
        </is>
      </c>
      <c r="E160" t="n">
        <v>1</v>
      </c>
      <c r="F160" t="n">
        <v>3</v>
      </c>
      <c r="G160" t="n">
        <v>3</v>
      </c>
      <c r="H160" t="n">
        <v>0.63</v>
      </c>
      <c r="I160" t="n">
        <v>0</v>
      </c>
      <c r="J160" t="n">
        <v>0.01</v>
      </c>
      <c r="K160" t="n">
        <v>0</v>
      </c>
      <c r="L160" t="n">
        <v>1</v>
      </c>
      <c r="M160" t="n">
        <v>0</v>
      </c>
      <c r="N160" t="n">
        <v>0</v>
      </c>
      <c r="O160" t="inlineStr">
        <is>
          <t>银禧科技</t>
        </is>
      </c>
      <c r="P160" t="n">
        <v>3</v>
      </c>
      <c r="Q160" t="inlineStr">
        <is>
          <t>1.银禧科技(300221)-3分</t>
        </is>
      </c>
    </row>
    <row r="161">
      <c r="A161" t="n">
        <v>160</v>
      </c>
      <c r="B161" t="inlineStr">
        <is>
          <t>4-暂时回避</t>
        </is>
      </c>
      <c r="C161" t="inlineStr">
        <is>
          <t>半导体</t>
        </is>
      </c>
      <c r="D161" t="inlineStr">
        <is>
          <t>G5级</t>
        </is>
      </c>
      <c r="E161" t="n">
        <v>1</v>
      </c>
      <c r="F161" t="n">
        <v>3</v>
      </c>
      <c r="G161" t="n">
        <v>3</v>
      </c>
      <c r="H161" t="n">
        <v>2.14</v>
      </c>
      <c r="I161" t="n">
        <v>0</v>
      </c>
      <c r="J161" t="n">
        <v>0.01</v>
      </c>
      <c r="K161" t="n">
        <v>0</v>
      </c>
      <c r="L161" t="n">
        <v>1</v>
      </c>
      <c r="M161" t="n">
        <v>0</v>
      </c>
      <c r="N161" t="n">
        <v>0</v>
      </c>
      <c r="O161" t="inlineStr">
        <is>
          <t>巨化股份</t>
        </is>
      </c>
      <c r="P161" t="n">
        <v>3</v>
      </c>
      <c r="Q161" t="inlineStr">
        <is>
          <t>1.巨化股份(600160)-3分</t>
        </is>
      </c>
    </row>
    <row r="162">
      <c r="A162" t="n">
        <v>161</v>
      </c>
      <c r="B162" t="inlineStr">
        <is>
          <t>4-暂时回避</t>
        </is>
      </c>
      <c r="C162" t="inlineStr">
        <is>
          <t>PCB</t>
        </is>
      </c>
      <c r="D162" t="inlineStr">
        <is>
          <t>钨</t>
        </is>
      </c>
      <c r="E162" t="n">
        <v>1</v>
      </c>
      <c r="F162" t="n">
        <v>3</v>
      </c>
      <c r="G162" t="n">
        <v>3</v>
      </c>
      <c r="H162" t="n">
        <v>-3.21</v>
      </c>
      <c r="I162" t="n">
        <v>0</v>
      </c>
      <c r="J162" t="n">
        <v>0.01</v>
      </c>
      <c r="K162" t="n">
        <v>0</v>
      </c>
      <c r="L162" t="n">
        <v>0</v>
      </c>
      <c r="M162" t="n">
        <v>1</v>
      </c>
      <c r="N162" t="n">
        <v>0</v>
      </c>
      <c r="O162" t="inlineStr">
        <is>
          <t>中钨高新</t>
        </is>
      </c>
      <c r="P162" t="n">
        <v>3</v>
      </c>
      <c r="Q162" t="inlineStr">
        <is>
          <t>1.中钨高新(000657)-3分</t>
        </is>
      </c>
    </row>
    <row r="163">
      <c r="A163" t="n">
        <v>162</v>
      </c>
      <c r="B163" t="inlineStr">
        <is>
          <t>4-暂时回避</t>
        </is>
      </c>
      <c r="C163" t="inlineStr">
        <is>
          <t>PCB</t>
        </is>
      </c>
      <c r="D163" t="inlineStr">
        <is>
          <t>离型膜</t>
        </is>
      </c>
      <c r="E163" t="n">
        <v>1</v>
      </c>
      <c r="F163" t="n">
        <v>3</v>
      </c>
      <c r="G163" t="n">
        <v>3</v>
      </c>
      <c r="H163" t="n">
        <v>1.87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inlineStr">
        <is>
          <t>洁美科技</t>
        </is>
      </c>
      <c r="P163" t="n">
        <v>3</v>
      </c>
      <c r="Q163" t="inlineStr">
        <is>
          <t>1.洁美科技(002859)-3分</t>
        </is>
      </c>
    </row>
    <row r="164">
      <c r="A164" t="n">
        <v>163</v>
      </c>
      <c r="B164" t="inlineStr">
        <is>
          <t>4-暂时回避</t>
        </is>
      </c>
      <c r="C164" t="inlineStr">
        <is>
          <t>光通信/CPO</t>
        </is>
      </c>
      <c r="D164" t="inlineStr">
        <is>
          <t>光模块</t>
        </is>
      </c>
      <c r="E164" t="n">
        <v>1</v>
      </c>
      <c r="F164" t="n">
        <v>3</v>
      </c>
      <c r="G164" t="n">
        <v>3</v>
      </c>
      <c r="H164" t="n">
        <v>-0.24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inlineStr">
        <is>
          <t>联特科技</t>
        </is>
      </c>
      <c r="P164" t="n">
        <v>3</v>
      </c>
      <c r="Q164" t="inlineStr">
        <is>
          <t>1.联特科技(301205)-3分</t>
        </is>
      </c>
    </row>
    <row r="165">
      <c r="A165" t="n">
        <v>164</v>
      </c>
      <c r="B165" t="inlineStr">
        <is>
          <t>4-暂时回避</t>
        </is>
      </c>
      <c r="C165" t="inlineStr">
        <is>
          <t>PCB</t>
        </is>
      </c>
      <c r="D165" t="inlineStr">
        <is>
          <t>镍粉</t>
        </is>
      </c>
      <c r="E165" t="n">
        <v>1</v>
      </c>
      <c r="F165" t="n">
        <v>3</v>
      </c>
      <c r="G165" t="n">
        <v>3</v>
      </c>
      <c r="H165" t="n">
        <v>-1.28</v>
      </c>
      <c r="I165" t="n">
        <v>0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inlineStr">
        <is>
          <t>博迁新材</t>
        </is>
      </c>
      <c r="P165" t="n">
        <v>3</v>
      </c>
      <c r="Q165" t="inlineStr">
        <is>
          <t>1.博迁新材(605376)-3分</t>
        </is>
      </c>
    </row>
    <row r="166">
      <c r="A166" t="n">
        <v>165</v>
      </c>
      <c r="B166" t="inlineStr">
        <is>
          <t>4-暂时回避</t>
        </is>
      </c>
      <c r="C166" t="inlineStr">
        <is>
          <t>电池</t>
        </is>
      </c>
      <c r="D166" t="inlineStr">
        <is>
          <t>磷化铟</t>
        </is>
      </c>
      <c r="E166" t="n">
        <v>1</v>
      </c>
      <c r="F166" t="n">
        <v>3</v>
      </c>
      <c r="G166" t="n">
        <v>3</v>
      </c>
      <c r="H166" t="n">
        <v>-1.92</v>
      </c>
      <c r="I166" t="n">
        <v>0</v>
      </c>
      <c r="J166" t="n">
        <v>0.01</v>
      </c>
      <c r="K166" t="n">
        <v>0</v>
      </c>
      <c r="L166" t="n">
        <v>0</v>
      </c>
      <c r="M166" t="n">
        <v>1</v>
      </c>
      <c r="N166" t="n">
        <v>0</v>
      </c>
      <c r="O166" t="inlineStr">
        <is>
          <t>云南锗业</t>
        </is>
      </c>
      <c r="P166" t="n">
        <v>3</v>
      </c>
      <c r="Q166" t="inlineStr">
        <is>
          <t>1.云南锗业(002428)-3分</t>
        </is>
      </c>
    </row>
    <row r="167">
      <c r="A167" t="n">
        <v>166</v>
      </c>
      <c r="B167" t="inlineStr">
        <is>
          <t>4-暂时回避</t>
        </is>
      </c>
      <c r="C167" t="inlineStr">
        <is>
          <t>算力金属</t>
        </is>
      </c>
      <c r="D167" t="inlineStr">
        <is>
          <t>钼</t>
        </is>
      </c>
      <c r="E167" t="n">
        <v>5</v>
      </c>
      <c r="F167" t="n">
        <v>3</v>
      </c>
      <c r="G167" t="n">
        <v>9</v>
      </c>
      <c r="H167" t="n">
        <v>-1.51</v>
      </c>
      <c r="I167" t="n">
        <v>0</v>
      </c>
      <c r="J167" t="n">
        <v>0.01</v>
      </c>
      <c r="K167" t="n">
        <v>0</v>
      </c>
      <c r="L167" t="n">
        <v>0</v>
      </c>
      <c r="M167" t="n">
        <v>3</v>
      </c>
      <c r="N167" t="n">
        <v>2</v>
      </c>
      <c r="O167" t="inlineStr">
        <is>
          <t>盛龙股份</t>
        </is>
      </c>
      <c r="P167" t="n">
        <v>9</v>
      </c>
      <c r="Q167" t="inlineStr">
        <is>
          <t>1.盛龙股份(001257)-9分 | 2.金钼股份(601958)-3分 | 3.国城矿业(000688)-3分</t>
        </is>
      </c>
    </row>
    <row r="168">
      <c r="A168" t="n">
        <v>167</v>
      </c>
      <c r="B168" t="inlineStr">
        <is>
          <t>4-暂时回避</t>
        </is>
      </c>
      <c r="C168" t="inlineStr">
        <is>
          <t>光通信/CPO</t>
        </is>
      </c>
      <c r="D168" t="inlineStr">
        <is>
          <t>插芯</t>
        </is>
      </c>
      <c r="E168" t="n">
        <v>1</v>
      </c>
      <c r="F168" t="n">
        <v>3</v>
      </c>
      <c r="G168" t="n">
        <v>3</v>
      </c>
      <c r="H168" t="n">
        <v>-1.96</v>
      </c>
      <c r="I168" t="n">
        <v>0</v>
      </c>
      <c r="J168" t="n">
        <v>0.32</v>
      </c>
      <c r="K168" t="n">
        <v>0</v>
      </c>
      <c r="L168" t="n">
        <v>0</v>
      </c>
      <c r="M168" t="n">
        <v>1</v>
      </c>
      <c r="N168" t="n">
        <v>0</v>
      </c>
      <c r="O168" t="inlineStr">
        <is>
          <t>仕佳光子</t>
        </is>
      </c>
      <c r="P168" t="n">
        <v>3</v>
      </c>
      <c r="Q168" t="inlineStr">
        <is>
          <t>1.仕佳光子(688313)-3分</t>
        </is>
      </c>
    </row>
    <row r="169">
      <c r="A169" t="n">
        <v>168</v>
      </c>
      <c r="B169" t="inlineStr">
        <is>
          <t>4-暂时回避</t>
        </is>
      </c>
      <c r="C169" t="inlineStr">
        <is>
          <t>半导体</t>
        </is>
      </c>
      <c r="D169" t="inlineStr">
        <is>
          <t>基于玻璃基板进行镀膜</t>
        </is>
      </c>
      <c r="E169" t="n">
        <v>1</v>
      </c>
      <c r="F169" t="n">
        <v>3</v>
      </c>
      <c r="G169" t="n">
        <v>3</v>
      </c>
      <c r="H169" t="n">
        <v>-4.75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inlineStr">
        <is>
          <t>阿石创</t>
        </is>
      </c>
      <c r="P169" t="n">
        <v>3</v>
      </c>
      <c r="Q169" t="inlineStr">
        <is>
          <t>1.阿石创(300706)-3分</t>
        </is>
      </c>
    </row>
    <row r="170">
      <c r="A170" t="n">
        <v>169</v>
      </c>
      <c r="B170" t="inlineStr">
        <is>
          <t>4-暂时回避</t>
        </is>
      </c>
      <c r="C170" t="inlineStr">
        <is>
          <t>商业航天</t>
        </is>
      </c>
      <c r="D170" t="inlineStr">
        <is>
          <t>固体火箭</t>
        </is>
      </c>
      <c r="E170" t="n">
        <v>1</v>
      </c>
      <c r="F170" t="n">
        <v>3</v>
      </c>
      <c r="G170" t="n">
        <v>3</v>
      </c>
      <c r="H170" t="n">
        <v>2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inlineStr">
        <is>
          <t>中天火箭</t>
        </is>
      </c>
      <c r="P170" t="n">
        <v>3</v>
      </c>
      <c r="Q170" t="inlineStr">
        <is>
          <t>1.中天火箭(003009)-3分</t>
        </is>
      </c>
    </row>
    <row r="171">
      <c r="A171" t="n">
        <v>170</v>
      </c>
      <c r="B171" t="inlineStr">
        <is>
          <t>4-暂时回避</t>
        </is>
      </c>
      <c r="C171" t="inlineStr">
        <is>
          <t>半导体</t>
        </is>
      </c>
      <c r="D171" t="inlineStr">
        <is>
          <t>PCIe交换芯片</t>
        </is>
      </c>
      <c r="E171" t="n">
        <v>1</v>
      </c>
      <c r="F171" t="n">
        <v>3</v>
      </c>
      <c r="G171" t="n">
        <v>3</v>
      </c>
      <c r="H171" t="n">
        <v>4.95</v>
      </c>
      <c r="I171" t="n">
        <v>0</v>
      </c>
      <c r="J171" t="n">
        <v>0.01</v>
      </c>
      <c r="K171" t="n">
        <v>0</v>
      </c>
      <c r="L171" t="n">
        <v>1</v>
      </c>
      <c r="M171" t="n">
        <v>0</v>
      </c>
      <c r="N171" t="n">
        <v>0</v>
      </c>
      <c r="O171" t="inlineStr">
        <is>
          <t>万通发展</t>
        </is>
      </c>
      <c r="P171" t="n">
        <v>3</v>
      </c>
      <c r="Q171" t="inlineStr">
        <is>
          <t>1.万通发展(600246)-3分</t>
        </is>
      </c>
    </row>
    <row r="172">
      <c r="A172" t="n">
        <v>171</v>
      </c>
      <c r="B172" t="inlineStr">
        <is>
          <t>4-暂时回避</t>
        </is>
      </c>
      <c r="C172" t="inlineStr">
        <is>
          <t>半导体</t>
        </is>
      </c>
      <c r="D172" t="inlineStr">
        <is>
          <t>G5级</t>
        </is>
      </c>
      <c r="E172" t="n">
        <v>1</v>
      </c>
      <c r="F172" t="n">
        <v>3</v>
      </c>
      <c r="G172" t="n">
        <v>3</v>
      </c>
      <c r="H172" t="n">
        <v>-2.19</v>
      </c>
      <c r="I172" t="n">
        <v>0</v>
      </c>
      <c r="J172" t="n">
        <v>0.02</v>
      </c>
      <c r="K172" t="n">
        <v>0</v>
      </c>
      <c r="L172" t="n">
        <v>0</v>
      </c>
      <c r="M172" t="n">
        <v>1</v>
      </c>
      <c r="N172" t="n">
        <v>0</v>
      </c>
      <c r="O172" t="inlineStr">
        <is>
          <t>多氟多</t>
        </is>
      </c>
      <c r="P172" t="n">
        <v>3</v>
      </c>
      <c r="Q172" t="inlineStr">
        <is>
          <t>1.多氟多(002407)-3分</t>
        </is>
      </c>
    </row>
    <row r="173">
      <c r="A173" t="n">
        <v>172</v>
      </c>
      <c r="B173" t="inlineStr">
        <is>
          <t>4-暂时回避</t>
        </is>
      </c>
      <c r="C173" t="inlineStr">
        <is>
          <t>电池</t>
        </is>
      </c>
      <c r="D173" t="inlineStr">
        <is>
          <t>富锂锰基正极</t>
        </is>
      </c>
      <c r="E173" t="n">
        <v>1</v>
      </c>
      <c r="F173" t="n">
        <v>3</v>
      </c>
      <c r="G173" t="n">
        <v>3</v>
      </c>
      <c r="H173" t="n">
        <v>-3.97</v>
      </c>
      <c r="I173" t="n">
        <v>0</v>
      </c>
      <c r="J173" t="n">
        <v>0.01</v>
      </c>
      <c r="K173" t="n">
        <v>0</v>
      </c>
      <c r="L173" t="n">
        <v>0</v>
      </c>
      <c r="M173" t="n">
        <v>1</v>
      </c>
      <c r="N173" t="n">
        <v>0</v>
      </c>
      <c r="O173" t="inlineStr">
        <is>
          <t>湘潭电化</t>
        </is>
      </c>
      <c r="P173" t="n">
        <v>3</v>
      </c>
      <c r="Q173" t="inlineStr">
        <is>
          <t>1.湘潭电化(002125)-3分</t>
        </is>
      </c>
    </row>
    <row r="174">
      <c r="A174" t="n">
        <v>173</v>
      </c>
      <c r="B174" t="inlineStr">
        <is>
          <t>4-暂时回避</t>
        </is>
      </c>
      <c r="C174" t="inlineStr">
        <is>
          <t>商业航天</t>
        </is>
      </c>
      <c r="D174" t="inlineStr">
        <is>
          <t>时频载荷</t>
        </is>
      </c>
      <c r="E174" t="n">
        <v>1</v>
      </c>
      <c r="F174" t="n">
        <v>3</v>
      </c>
      <c r="G174" t="n">
        <v>3</v>
      </c>
      <c r="H174" t="n">
        <v>1.23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0</v>
      </c>
      <c r="O174" t="inlineStr">
        <is>
          <t>天奥电子</t>
        </is>
      </c>
      <c r="P174" t="n">
        <v>3</v>
      </c>
      <c r="Q174" t="inlineStr">
        <is>
          <t>1.天奥电子(002935)-3分</t>
        </is>
      </c>
    </row>
    <row r="175">
      <c r="A175" t="n">
        <v>174</v>
      </c>
      <c r="B175" t="inlineStr">
        <is>
          <t>4-暂时回避</t>
        </is>
      </c>
      <c r="C175" t="inlineStr">
        <is>
          <t>商业航天</t>
        </is>
      </c>
      <c r="D175" t="inlineStr">
        <is>
          <t>垣信卫星</t>
        </is>
      </c>
      <c r="E175" t="n">
        <v>1</v>
      </c>
      <c r="F175" t="n">
        <v>3</v>
      </c>
      <c r="G175" t="n">
        <v>3</v>
      </c>
      <c r="H175" t="n">
        <v>-4.98</v>
      </c>
      <c r="I175" t="n">
        <v>0</v>
      </c>
      <c r="J175" t="n">
        <v>0</v>
      </c>
      <c r="K175" t="n">
        <v>0</v>
      </c>
      <c r="L175" t="n">
        <v>0</v>
      </c>
      <c r="M175" t="n">
        <v>1</v>
      </c>
      <c r="N175" t="n">
        <v>0</v>
      </c>
      <c r="O175" t="inlineStr">
        <is>
          <t>长江通信</t>
        </is>
      </c>
      <c r="P175" t="n">
        <v>3</v>
      </c>
      <c r="Q175" t="inlineStr">
        <is>
          <t>1.长江通信(600345)-3分</t>
        </is>
      </c>
    </row>
    <row r="176">
      <c r="A176" t="n">
        <v>175</v>
      </c>
      <c r="B176" t="inlineStr">
        <is>
          <t>4-暂时回避</t>
        </is>
      </c>
      <c r="C176" t="inlineStr">
        <is>
          <t>商业航天</t>
        </is>
      </c>
      <c r="D176" t="inlineStr">
        <is>
          <t>蓝箭火箭</t>
        </is>
      </c>
      <c r="E176" t="n">
        <v>1</v>
      </c>
      <c r="F176" t="n">
        <v>3</v>
      </c>
      <c r="G176" t="n">
        <v>3</v>
      </c>
      <c r="H176" t="n">
        <v>5.21</v>
      </c>
      <c r="I176" t="n">
        <v>0</v>
      </c>
      <c r="J176" t="n">
        <v>0.34</v>
      </c>
      <c r="K176" t="n">
        <v>0</v>
      </c>
      <c r="L176" t="n">
        <v>1</v>
      </c>
      <c r="M176" t="n">
        <v>0</v>
      </c>
      <c r="N176" t="n">
        <v>0</v>
      </c>
      <c r="O176" t="inlineStr">
        <is>
          <t>斯瑞新材</t>
        </is>
      </c>
      <c r="P176" t="n">
        <v>3</v>
      </c>
      <c r="Q176" t="inlineStr">
        <is>
          <t>1.斯瑞新材(688102)-3分</t>
        </is>
      </c>
    </row>
    <row r="177">
      <c r="A177" t="n">
        <v>176</v>
      </c>
      <c r="B177" t="inlineStr">
        <is>
          <t>4-暂时回避</t>
        </is>
      </c>
      <c r="C177" t="inlineStr">
        <is>
          <t>商业航天</t>
        </is>
      </c>
      <c r="D177" t="inlineStr">
        <is>
          <t>千帆星座</t>
        </is>
      </c>
      <c r="E177" t="n">
        <v>1</v>
      </c>
      <c r="F177" t="n">
        <v>3</v>
      </c>
      <c r="G177" t="n">
        <v>3</v>
      </c>
      <c r="H177" t="n">
        <v>-0.91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inlineStr">
        <is>
          <t>北摩高科</t>
        </is>
      </c>
      <c r="P177" t="n">
        <v>3</v>
      </c>
      <c r="Q177" t="inlineStr">
        <is>
          <t>1.北摩高科(002985)-3分</t>
        </is>
      </c>
    </row>
    <row r="178">
      <c r="A178" t="n">
        <v>177</v>
      </c>
      <c r="B178" t="inlineStr">
        <is>
          <t>4-暂时回避</t>
        </is>
      </c>
      <c r="C178" t="inlineStr">
        <is>
          <t>半导体</t>
        </is>
      </c>
      <c r="D178" t="inlineStr">
        <is>
          <t>其他硫化物</t>
        </is>
      </c>
      <c r="E178" t="n">
        <v>1</v>
      </c>
      <c r="F178" t="n">
        <v>3</v>
      </c>
      <c r="G178" t="n">
        <v>3</v>
      </c>
      <c r="H178" t="n">
        <v>-3.91</v>
      </c>
      <c r="I178" t="n">
        <v>0</v>
      </c>
      <c r="J178" t="n">
        <v>0.01</v>
      </c>
      <c r="K178" t="n">
        <v>0</v>
      </c>
      <c r="L178" t="n">
        <v>0</v>
      </c>
      <c r="M178" t="n">
        <v>1</v>
      </c>
      <c r="N178" t="n">
        <v>0</v>
      </c>
      <c r="O178" t="inlineStr">
        <is>
          <t>兴发集团</t>
        </is>
      </c>
      <c r="P178" t="n">
        <v>3</v>
      </c>
      <c r="Q178" t="inlineStr">
        <is>
          <t>1.兴发集团(600141)-3分</t>
        </is>
      </c>
    </row>
    <row r="179">
      <c r="A179" t="n">
        <v>178</v>
      </c>
      <c r="B179" t="inlineStr">
        <is>
          <t>4-暂时回避</t>
        </is>
      </c>
      <c r="C179" t="inlineStr">
        <is>
          <t>电池</t>
        </is>
      </c>
      <c r="D179" t="inlineStr">
        <is>
          <t>锗原料</t>
        </is>
      </c>
      <c r="E179" t="n">
        <v>1</v>
      </c>
      <c r="F179" t="n">
        <v>3</v>
      </c>
      <c r="G179" t="n">
        <v>3</v>
      </c>
      <c r="H179" t="n">
        <v>-1.92</v>
      </c>
      <c r="I179" t="n">
        <v>0</v>
      </c>
      <c r="J179" t="n">
        <v>0.01</v>
      </c>
      <c r="K179" t="n">
        <v>0</v>
      </c>
      <c r="L179" t="n">
        <v>0</v>
      </c>
      <c r="M179" t="n">
        <v>1</v>
      </c>
      <c r="N179" t="n">
        <v>0</v>
      </c>
      <c r="O179" t="inlineStr">
        <is>
          <t>云南锗业</t>
        </is>
      </c>
      <c r="P179" t="n">
        <v>3</v>
      </c>
      <c r="Q179" t="inlineStr">
        <is>
          <t>1.云南锗业(002428)-3分</t>
        </is>
      </c>
    </row>
    <row r="180">
      <c r="A180" t="n">
        <v>179</v>
      </c>
      <c r="B180" t="inlineStr">
        <is>
          <t>4-暂时回避</t>
        </is>
      </c>
      <c r="C180" t="inlineStr">
        <is>
          <t>电池</t>
        </is>
      </c>
      <c r="D180" t="inlineStr">
        <is>
          <t>LiFSI</t>
        </is>
      </c>
      <c r="E180" t="n">
        <v>1</v>
      </c>
      <c r="F180" t="n">
        <v>3</v>
      </c>
      <c r="G180" t="n">
        <v>3</v>
      </c>
      <c r="H180" t="n">
        <v>0.49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inlineStr">
        <is>
          <t>利民股份</t>
        </is>
      </c>
      <c r="P180" t="n">
        <v>3</v>
      </c>
      <c r="Q180" t="inlineStr">
        <is>
          <t>1.利民股份(002734)-3分</t>
        </is>
      </c>
    </row>
    <row r="181">
      <c r="A181" t="n">
        <v>180</v>
      </c>
      <c r="B181" t="inlineStr">
        <is>
          <t>4-暂时回避</t>
        </is>
      </c>
      <c r="C181" t="inlineStr">
        <is>
          <t>电池</t>
        </is>
      </c>
      <c r="D181" t="inlineStr">
        <is>
          <t>其他隔膜</t>
        </is>
      </c>
      <c r="E181" t="n">
        <v>1</v>
      </c>
      <c r="F181" t="n">
        <v>3</v>
      </c>
      <c r="G181" t="n">
        <v>3</v>
      </c>
      <c r="H181" t="n">
        <v>0.87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0</v>
      </c>
      <c r="O181" t="inlineStr">
        <is>
          <t>恩捷股份</t>
        </is>
      </c>
      <c r="P181" t="n">
        <v>3</v>
      </c>
      <c r="Q181" t="inlineStr">
        <is>
          <t>1.恩捷股份(002812)-3分</t>
        </is>
      </c>
    </row>
    <row r="182">
      <c r="A182" t="n">
        <v>181</v>
      </c>
      <c r="B182" t="inlineStr">
        <is>
          <t>4-暂时回避</t>
        </is>
      </c>
      <c r="C182" t="inlineStr">
        <is>
          <t>电池</t>
        </is>
      </c>
      <c r="D182" t="inlineStr">
        <is>
          <t>硅碳负极</t>
        </is>
      </c>
      <c r="E182" t="n">
        <v>1</v>
      </c>
      <c r="F182" t="n">
        <v>3</v>
      </c>
      <c r="G182" t="n">
        <v>3</v>
      </c>
      <c r="H182" t="n">
        <v>-1.63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inlineStr">
        <is>
          <t>金龙羽</t>
        </is>
      </c>
      <c r="P182" t="n">
        <v>3</v>
      </c>
      <c r="Q182" t="inlineStr">
        <is>
          <t>1.金龙羽(002882)-3分</t>
        </is>
      </c>
    </row>
    <row r="183">
      <c r="A183" t="n">
        <v>182</v>
      </c>
      <c r="B183" t="inlineStr">
        <is>
          <t>4-暂时回避</t>
        </is>
      </c>
      <c r="C183" t="inlineStr">
        <is>
          <t>PCB</t>
        </is>
      </c>
      <c r="D183" t="inlineStr">
        <is>
          <t>硅粉</t>
        </is>
      </c>
      <c r="E183" t="n">
        <v>1</v>
      </c>
      <c r="F183" t="n">
        <v>3</v>
      </c>
      <c r="G183" t="n">
        <v>3</v>
      </c>
      <c r="H183" t="n">
        <v>-1.28</v>
      </c>
      <c r="I183" t="n">
        <v>0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inlineStr">
        <is>
          <t>博迁新材</t>
        </is>
      </c>
      <c r="P183" t="n">
        <v>3</v>
      </c>
      <c r="Q183" t="inlineStr">
        <is>
          <t>1.博迁新材(605376)-3分</t>
        </is>
      </c>
    </row>
    <row r="184">
      <c r="A184" t="n">
        <v>183</v>
      </c>
      <c r="B184" t="inlineStr">
        <is>
          <t>4-暂时回避</t>
        </is>
      </c>
      <c r="C184" t="inlineStr">
        <is>
          <t>算力金属</t>
        </is>
      </c>
      <c r="D184" t="inlineStr">
        <is>
          <t>钽</t>
        </is>
      </c>
      <c r="E184" t="n">
        <v>1</v>
      </c>
      <c r="F184" t="n">
        <v>3</v>
      </c>
      <c r="G184" t="n">
        <v>3</v>
      </c>
      <c r="H184" t="n">
        <v>-4.05</v>
      </c>
      <c r="I184" t="n">
        <v>0</v>
      </c>
      <c r="J184" t="n">
        <v>0.01</v>
      </c>
      <c r="K184" t="n">
        <v>0</v>
      </c>
      <c r="L184" t="n">
        <v>0</v>
      </c>
      <c r="M184" t="n">
        <v>1</v>
      </c>
      <c r="N184" t="n">
        <v>0</v>
      </c>
      <c r="O184" t="inlineStr">
        <is>
          <t>新金路</t>
        </is>
      </c>
      <c r="P184" t="n">
        <v>3</v>
      </c>
      <c r="Q184" t="inlineStr">
        <is>
          <t>1.新金路(000510)-3分</t>
        </is>
      </c>
    </row>
    <row r="185">
      <c r="A185" t="n">
        <v>184</v>
      </c>
      <c r="B185" t="inlineStr">
        <is>
          <t>4-暂时回避</t>
        </is>
      </c>
      <c r="C185" t="inlineStr">
        <is>
          <t>算力金属</t>
        </is>
      </c>
      <c r="D185" t="inlineStr">
        <is>
          <t>铟</t>
        </is>
      </c>
      <c r="E185" t="n">
        <v>1</v>
      </c>
      <c r="F185" t="n">
        <v>3</v>
      </c>
      <c r="G185" t="n">
        <v>3</v>
      </c>
      <c r="H185" t="n">
        <v>-0.5</v>
      </c>
      <c r="I185" t="n">
        <v>0</v>
      </c>
      <c r="J185" t="n">
        <v>0.01</v>
      </c>
      <c r="K185" t="n">
        <v>0</v>
      </c>
      <c r="L185" t="n">
        <v>0</v>
      </c>
      <c r="M185" t="n">
        <v>1</v>
      </c>
      <c r="N185" t="n">
        <v>0</v>
      </c>
      <c r="O185" t="inlineStr">
        <is>
          <t>锡业股份</t>
        </is>
      </c>
      <c r="P185" t="n">
        <v>3</v>
      </c>
      <c r="Q185" t="inlineStr">
        <is>
          <t>1.锡业股份(000960)-3分</t>
        </is>
      </c>
    </row>
    <row r="186">
      <c r="A186" t="n">
        <v>185</v>
      </c>
      <c r="B186" t="inlineStr">
        <is>
          <t>4-暂时回避</t>
        </is>
      </c>
      <c r="C186" t="inlineStr">
        <is>
          <t>算力租赁</t>
        </is>
      </c>
      <c r="D186" t="inlineStr">
        <is>
          <t>算力租赁</t>
        </is>
      </c>
      <c r="E186" t="n">
        <v>50</v>
      </c>
      <c r="F186" t="n">
        <v>2.86</v>
      </c>
      <c r="G186" t="n">
        <v>30</v>
      </c>
      <c r="H186" t="n">
        <v>1.18</v>
      </c>
      <c r="I186" t="n">
        <v>5</v>
      </c>
      <c r="J186" t="n">
        <v>0.01</v>
      </c>
      <c r="K186" t="n">
        <v>9</v>
      </c>
      <c r="L186" t="n">
        <v>4</v>
      </c>
      <c r="M186" t="n">
        <v>3</v>
      </c>
      <c r="N186" t="n">
        <v>34</v>
      </c>
      <c r="O186" t="inlineStr">
        <is>
          <t>莲花控股</t>
        </is>
      </c>
      <c r="P186" t="n">
        <v>30</v>
      </c>
      <c r="Q186" t="inlineStr">
        <is>
          <t>1.莲花控股(600186)-30分 | 2.长信科技(300088)-30分 | 3.贵广网络(600996)-11分</t>
        </is>
      </c>
    </row>
    <row r="187">
      <c r="A187" t="n">
        <v>186</v>
      </c>
      <c r="B187" t="inlineStr">
        <is>
          <t>4-暂时回避</t>
        </is>
      </c>
      <c r="C187" t="inlineStr">
        <is>
          <t>半导体</t>
        </is>
      </c>
      <c r="D187" t="inlineStr">
        <is>
          <t>其他电子级</t>
        </is>
      </c>
      <c r="E187" t="n">
        <v>4</v>
      </c>
      <c r="F187" t="n">
        <v>2.75</v>
      </c>
      <c r="G187" t="n">
        <v>8</v>
      </c>
      <c r="H187" t="n">
        <v>-1.16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2</v>
      </c>
      <c r="O187" t="inlineStr">
        <is>
          <t>三美股份</t>
        </is>
      </c>
      <c r="P187" t="n">
        <v>8</v>
      </c>
      <c r="Q187" t="inlineStr">
        <is>
          <t>1.三美股份(603379)-8分 | 2.兴发集团(600141)-3分 | 3.云天化(600096)-0分</t>
        </is>
      </c>
    </row>
    <row r="188">
      <c r="A188" t="n">
        <v>187</v>
      </c>
      <c r="B188" t="inlineStr">
        <is>
          <t>4-暂时回避</t>
        </is>
      </c>
      <c r="C188" t="inlineStr">
        <is>
          <t>电池</t>
        </is>
      </c>
      <c r="D188" t="inlineStr">
        <is>
          <t>干法隔膜</t>
        </is>
      </c>
      <c r="E188" t="n">
        <v>4</v>
      </c>
      <c r="F188" t="n">
        <v>2.75</v>
      </c>
      <c r="G188" t="n">
        <v>8</v>
      </c>
      <c r="H188" t="n">
        <v>0.59</v>
      </c>
      <c r="I188" t="n">
        <v>0</v>
      </c>
      <c r="J188" t="n">
        <v>0.01</v>
      </c>
      <c r="K188" t="n">
        <v>1</v>
      </c>
      <c r="L188" t="n">
        <v>1</v>
      </c>
      <c r="M188" t="n">
        <v>0</v>
      </c>
      <c r="N188" t="n">
        <v>2</v>
      </c>
      <c r="O188" t="inlineStr">
        <is>
          <t>星源材质</t>
        </is>
      </c>
      <c r="P188" t="n">
        <v>8</v>
      </c>
      <c r="Q188" t="inlineStr">
        <is>
          <t>1.星源材质(300568)-8分 | 2.恩捷股份(002812)-3分 | 3.衢州东峰(601515)-0分</t>
        </is>
      </c>
    </row>
    <row r="189">
      <c r="A189" t="n">
        <v>188</v>
      </c>
      <c r="B189" t="inlineStr">
        <is>
          <t>4-暂时回避</t>
        </is>
      </c>
      <c r="C189" t="inlineStr">
        <is>
          <t>PCB</t>
        </is>
      </c>
      <c r="D189" t="inlineStr">
        <is>
          <t>陶瓷隔膜</t>
        </is>
      </c>
      <c r="E189" t="n">
        <v>3</v>
      </c>
      <c r="F189" t="n">
        <v>2.67</v>
      </c>
      <c r="G189" t="n">
        <v>8</v>
      </c>
      <c r="H189" t="n">
        <v>-0.5600000000000001</v>
      </c>
      <c r="I189" t="n">
        <v>0</v>
      </c>
      <c r="J189" t="n">
        <v>0.01</v>
      </c>
      <c r="K189" t="n">
        <v>1</v>
      </c>
      <c r="L189" t="n">
        <v>0</v>
      </c>
      <c r="M189" t="n">
        <v>0</v>
      </c>
      <c r="N189" t="n">
        <v>2</v>
      </c>
      <c r="O189" t="inlineStr">
        <is>
          <t>美联新材</t>
        </is>
      </c>
      <c r="P189" t="n">
        <v>8</v>
      </c>
      <c r="Q189" t="inlineStr">
        <is>
          <t>1.美联新材(300586)-8分 | 2.沧州明珠(002108)-0分 | 3.佛塑科技(000973)-0分</t>
        </is>
      </c>
    </row>
    <row r="190">
      <c r="A190" t="n">
        <v>189</v>
      </c>
      <c r="B190" t="inlineStr">
        <is>
          <t>4-暂时回避</t>
        </is>
      </c>
      <c r="C190" t="inlineStr">
        <is>
          <t>半导体</t>
        </is>
      </c>
      <c r="D190" t="inlineStr">
        <is>
          <t>ASIC</t>
        </is>
      </c>
      <c r="E190" t="n">
        <v>2</v>
      </c>
      <c r="F190" t="n">
        <v>2.5</v>
      </c>
      <c r="G190" t="n">
        <v>5</v>
      </c>
      <c r="H190" t="n">
        <v>3.17</v>
      </c>
      <c r="I190" t="n">
        <v>0</v>
      </c>
      <c r="J190" t="n">
        <v>0.14</v>
      </c>
      <c r="K190" t="n">
        <v>1</v>
      </c>
      <c r="L190" t="n">
        <v>0</v>
      </c>
      <c r="M190" t="n">
        <v>0</v>
      </c>
      <c r="N190" t="n">
        <v>1</v>
      </c>
      <c r="O190" t="inlineStr">
        <is>
          <t>灿芯股份</t>
        </is>
      </c>
      <c r="P190" t="n">
        <v>5</v>
      </c>
      <c r="Q190" t="inlineStr">
        <is>
          <t>1.灿芯股份(688691)-5分 | 2.芯原股份(688521)-0分</t>
        </is>
      </c>
    </row>
    <row r="191">
      <c r="A191" t="n">
        <v>190</v>
      </c>
      <c r="B191" t="inlineStr">
        <is>
          <t>4-暂时回避</t>
        </is>
      </c>
      <c r="C191" t="inlineStr">
        <is>
          <t>半导体</t>
        </is>
      </c>
      <c r="D191" t="inlineStr">
        <is>
          <t>CPU</t>
        </is>
      </c>
      <c r="E191" t="n">
        <v>2</v>
      </c>
      <c r="F191" t="n">
        <v>2.5</v>
      </c>
      <c r="G191" t="n">
        <v>5</v>
      </c>
      <c r="H191" t="n">
        <v>4.1</v>
      </c>
      <c r="I191" t="n">
        <v>0</v>
      </c>
      <c r="J191" t="n">
        <v>0.06</v>
      </c>
      <c r="K191" t="n">
        <v>1</v>
      </c>
      <c r="L191" t="n">
        <v>0</v>
      </c>
      <c r="M191" t="n">
        <v>0</v>
      </c>
      <c r="N191" t="n">
        <v>1</v>
      </c>
      <c r="O191" t="inlineStr">
        <is>
          <t>中国长城</t>
        </is>
      </c>
      <c r="P191" t="n">
        <v>5</v>
      </c>
      <c r="Q191" t="inlineStr">
        <is>
          <t>1.中国长城(000066)-5分 | 2.龙芯中科(688047)-0分</t>
        </is>
      </c>
    </row>
    <row r="192">
      <c r="A192" t="n">
        <v>191</v>
      </c>
      <c r="B192" t="inlineStr">
        <is>
          <t>4-暂时回避</t>
        </is>
      </c>
      <c r="C192" t="inlineStr">
        <is>
          <t>半导体</t>
        </is>
      </c>
      <c r="D192" t="inlineStr">
        <is>
          <t>GPU</t>
        </is>
      </c>
      <c r="E192" t="n">
        <v>2</v>
      </c>
      <c r="F192" t="n">
        <v>2.5</v>
      </c>
      <c r="G192" t="n">
        <v>5</v>
      </c>
      <c r="H192" t="n">
        <v>2.14</v>
      </c>
      <c r="I192" t="n">
        <v>0</v>
      </c>
      <c r="J192" t="n">
        <v>0.06</v>
      </c>
      <c r="K192" t="n">
        <v>1</v>
      </c>
      <c r="L192" t="n">
        <v>0</v>
      </c>
      <c r="M192" t="n">
        <v>0</v>
      </c>
      <c r="N192" t="n">
        <v>1</v>
      </c>
      <c r="O192" t="inlineStr">
        <is>
          <t>国芯科技</t>
        </is>
      </c>
      <c r="P192" t="n">
        <v>5</v>
      </c>
      <c r="Q192" t="inlineStr">
        <is>
          <t>1.国芯科技(688262)-5分 | 2.景嘉微(300474)-0分</t>
        </is>
      </c>
    </row>
    <row r="193">
      <c r="A193" t="n">
        <v>192</v>
      </c>
      <c r="B193" t="inlineStr">
        <is>
          <t>4-暂时回避</t>
        </is>
      </c>
      <c r="C193" t="inlineStr">
        <is>
          <t>电池</t>
        </is>
      </c>
      <c r="D193" t="inlineStr">
        <is>
          <t>磷酸铁锂</t>
        </is>
      </c>
      <c r="E193" t="n">
        <v>7</v>
      </c>
      <c r="F193" t="n">
        <v>2.43</v>
      </c>
      <c r="G193" t="n">
        <v>17</v>
      </c>
      <c r="H193" t="n">
        <v>-0.09</v>
      </c>
      <c r="I193" t="n">
        <v>0</v>
      </c>
      <c r="J193" t="n">
        <v>0.01</v>
      </c>
      <c r="K193" t="n">
        <v>1</v>
      </c>
      <c r="L193" t="n">
        <v>0</v>
      </c>
      <c r="M193" t="n">
        <v>0</v>
      </c>
      <c r="N193" t="n">
        <v>6</v>
      </c>
      <c r="O193" t="inlineStr">
        <is>
          <t>丰元股份</t>
        </is>
      </c>
      <c r="P193" t="n">
        <v>17</v>
      </c>
      <c r="Q193" t="inlineStr">
        <is>
          <t>1.丰元股份(002805)-17分 | 2.湖南裕能(301358)-0分 | 3.德方纳米(300769)-0分</t>
        </is>
      </c>
    </row>
    <row r="194">
      <c r="A194" t="n">
        <v>193</v>
      </c>
      <c r="B194" t="inlineStr">
        <is>
          <t>4-暂时回避</t>
        </is>
      </c>
      <c r="C194" t="inlineStr">
        <is>
          <t>电池</t>
        </is>
      </c>
      <c r="D194" t="inlineStr">
        <is>
          <t>硫铁矿</t>
        </is>
      </c>
      <c r="E194" t="n">
        <v>4</v>
      </c>
      <c r="F194" t="n">
        <v>2.25</v>
      </c>
      <c r="G194" t="n">
        <v>3</v>
      </c>
      <c r="H194" t="n">
        <v>-2.91</v>
      </c>
      <c r="I194" t="n">
        <v>0</v>
      </c>
      <c r="J194" t="n">
        <v>0</v>
      </c>
      <c r="K194" t="n">
        <v>0</v>
      </c>
      <c r="L194" t="n">
        <v>0</v>
      </c>
      <c r="M194" t="n">
        <v>3</v>
      </c>
      <c r="N194" t="n">
        <v>1</v>
      </c>
      <c r="O194" t="inlineStr">
        <is>
          <t>粤桂股份</t>
        </is>
      </c>
      <c r="P194" t="n">
        <v>3</v>
      </c>
      <c r="Q194" t="inlineStr">
        <is>
          <t>1.粤桂股份(000833)-3分 | 2.六国化工(600470)-3分 | 3.国城矿业(000688)-3分</t>
        </is>
      </c>
    </row>
    <row r="195">
      <c r="A195" t="n">
        <v>194</v>
      </c>
      <c r="B195" t="inlineStr">
        <is>
          <t>4-暂时回避</t>
        </is>
      </c>
      <c r="C195" t="inlineStr">
        <is>
          <t>电池</t>
        </is>
      </c>
      <c r="D195" t="inlineStr">
        <is>
          <t>铝塑膜</t>
        </is>
      </c>
      <c r="E195" t="n">
        <v>5</v>
      </c>
      <c r="F195" t="n">
        <v>2.2</v>
      </c>
      <c r="G195" t="n">
        <v>11</v>
      </c>
      <c r="H195" t="n">
        <v>-0.13</v>
      </c>
      <c r="I195" t="n">
        <v>0</v>
      </c>
      <c r="J195" t="n">
        <v>0.01</v>
      </c>
      <c r="K195" t="n">
        <v>1</v>
      </c>
      <c r="L195" t="n">
        <v>0</v>
      </c>
      <c r="M195" t="n">
        <v>0</v>
      </c>
      <c r="N195" t="n">
        <v>4</v>
      </c>
      <c r="O195" t="inlineStr">
        <is>
          <t>大东南</t>
        </is>
      </c>
      <c r="P195" t="n">
        <v>11</v>
      </c>
      <c r="Q195" t="inlineStr">
        <is>
          <t>1.大东南(002263)-11分 | 2.明冠新材(688560)-0分 | 3.紫江企业(600210)-0分</t>
        </is>
      </c>
    </row>
    <row r="196">
      <c r="A196" t="n">
        <v>195</v>
      </c>
      <c r="B196" t="inlineStr">
        <is>
          <t>4-暂时回避</t>
        </is>
      </c>
      <c r="C196" t="inlineStr">
        <is>
          <t>商业航天</t>
        </is>
      </c>
      <c r="D196" t="inlineStr">
        <is>
          <t>回收</t>
        </is>
      </c>
      <c r="E196" t="n">
        <v>6</v>
      </c>
      <c r="F196" t="n">
        <v>2.17</v>
      </c>
      <c r="G196" t="n">
        <v>8</v>
      </c>
      <c r="H196" t="n">
        <v>4.8</v>
      </c>
      <c r="I196" t="n">
        <v>1</v>
      </c>
      <c r="J196" t="n">
        <v>0.03</v>
      </c>
      <c r="K196" t="n">
        <v>2</v>
      </c>
      <c r="L196" t="n">
        <v>0</v>
      </c>
      <c r="M196" t="n">
        <v>0</v>
      </c>
      <c r="N196" t="n">
        <v>4</v>
      </c>
      <c r="O196" t="inlineStr">
        <is>
          <t>铂力特</t>
        </is>
      </c>
      <c r="P196" t="n">
        <v>8</v>
      </c>
      <c r="Q196" t="inlineStr">
        <is>
          <t>1.铂力特(688333)-8分 | 2.上大股份(301522)-5分 | 3.超捷股份(301005)-0分</t>
        </is>
      </c>
    </row>
    <row r="197">
      <c r="A197" t="n">
        <v>196</v>
      </c>
      <c r="B197" t="inlineStr">
        <is>
          <t>4-暂时回避</t>
        </is>
      </c>
      <c r="C197" t="inlineStr">
        <is>
          <t>半导体</t>
        </is>
      </c>
      <c r="D197" t="inlineStr">
        <is>
          <t>GPU股东</t>
        </is>
      </c>
      <c r="E197" t="n">
        <v>41</v>
      </c>
      <c r="F197" t="n">
        <v>2.15</v>
      </c>
      <c r="G197" t="n">
        <v>22</v>
      </c>
      <c r="H197" t="n">
        <v>-0.44</v>
      </c>
      <c r="I197" t="n">
        <v>1</v>
      </c>
      <c r="J197" t="n">
        <v>0.01</v>
      </c>
      <c r="K197" t="n">
        <v>6</v>
      </c>
      <c r="L197" t="n">
        <v>0</v>
      </c>
      <c r="M197" t="n">
        <v>4</v>
      </c>
      <c r="N197" t="n">
        <v>31</v>
      </c>
      <c r="O197" t="inlineStr">
        <is>
          <t>香农芯创</t>
        </is>
      </c>
      <c r="P197" t="n">
        <v>22</v>
      </c>
      <c r="Q197" t="inlineStr">
        <is>
          <t>1.香农芯创(300475)-22分 | 2.中科蓝讯(688332)-22分 | 3.淳中科技(603516)-11分</t>
        </is>
      </c>
    </row>
    <row r="198">
      <c r="A198" t="n">
        <v>197</v>
      </c>
      <c r="B198" t="inlineStr">
        <is>
          <t>4-暂时回避</t>
        </is>
      </c>
      <c r="C198" t="inlineStr">
        <is>
          <t>商业航天</t>
        </is>
      </c>
      <c r="D198" t="inlineStr">
        <is>
          <t>零部件</t>
        </is>
      </c>
      <c r="E198" t="n">
        <v>4</v>
      </c>
      <c r="F198" t="n">
        <v>2</v>
      </c>
      <c r="G198" t="n">
        <v>5</v>
      </c>
      <c r="H198" t="n">
        <v>-0.53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2</v>
      </c>
      <c r="O198" t="inlineStr">
        <is>
          <t>派克新材</t>
        </is>
      </c>
      <c r="P198" t="n">
        <v>5</v>
      </c>
      <c r="Q198" t="inlineStr">
        <is>
          <t>1.派克新材(605123)-5分 | 2.国机精工(002046)-3分 | 3.龙溪股份(600592)-0分</t>
        </is>
      </c>
    </row>
    <row r="199">
      <c r="A199" t="n">
        <v>198</v>
      </c>
      <c r="B199" t="inlineStr">
        <is>
          <t>4-暂时回避</t>
        </is>
      </c>
      <c r="C199" t="inlineStr">
        <is>
          <t>AI电力出海</t>
        </is>
      </c>
      <c r="D199" t="inlineStr">
        <is>
          <t>SOFC</t>
        </is>
      </c>
      <c r="E199" t="n">
        <v>3</v>
      </c>
      <c r="F199" t="n">
        <v>2</v>
      </c>
      <c r="G199" t="n">
        <v>3</v>
      </c>
      <c r="H199" t="n">
        <v>1.22</v>
      </c>
      <c r="I199" t="n">
        <v>0</v>
      </c>
      <c r="J199" t="n">
        <v>0.01</v>
      </c>
      <c r="K199" t="n">
        <v>1</v>
      </c>
      <c r="L199" t="n">
        <v>0</v>
      </c>
      <c r="M199" t="n">
        <v>1</v>
      </c>
      <c r="N199" t="n">
        <v>1</v>
      </c>
      <c r="O199" t="inlineStr">
        <is>
          <t>振华股份</t>
        </is>
      </c>
      <c r="P199" t="n">
        <v>3</v>
      </c>
      <c r="Q199" t="inlineStr">
        <is>
          <t>1.振华股份(603067)-3分 | 2.雄韬股份(002733)-3分 | 3.潍柴动力(000338)-0分</t>
        </is>
      </c>
    </row>
    <row r="200">
      <c r="A200" t="n">
        <v>199</v>
      </c>
      <c r="B200" t="inlineStr">
        <is>
          <t>4-暂时回避</t>
        </is>
      </c>
      <c r="C200" t="inlineStr">
        <is>
          <t>半导体</t>
        </is>
      </c>
      <c r="D200" t="inlineStr">
        <is>
          <t>XPU</t>
        </is>
      </c>
      <c r="E200" t="n">
        <v>4</v>
      </c>
      <c r="F200" t="n">
        <v>2</v>
      </c>
      <c r="G200" t="n">
        <v>8</v>
      </c>
      <c r="H200" t="n">
        <v>0.28</v>
      </c>
      <c r="I200" t="n">
        <v>0</v>
      </c>
      <c r="J200" t="n">
        <v>0</v>
      </c>
      <c r="K200" t="n">
        <v>1</v>
      </c>
      <c r="L200" t="n">
        <v>0</v>
      </c>
      <c r="M200" t="n">
        <v>0</v>
      </c>
      <c r="N200" t="n">
        <v>3</v>
      </c>
      <c r="O200" t="inlineStr">
        <is>
          <t>北京君正</t>
        </is>
      </c>
      <c r="P200" t="n">
        <v>8</v>
      </c>
      <c r="Q200" t="inlineStr">
        <is>
          <t>1.北京君正(300223)-8分 | 2.比亚迪(002594)-0分 | 3.中新集团(601512)-0分</t>
        </is>
      </c>
    </row>
    <row r="201">
      <c r="A201" t="n">
        <v>200</v>
      </c>
      <c r="B201" t="inlineStr">
        <is>
          <t>4-暂时回避</t>
        </is>
      </c>
      <c r="C201" t="inlineStr">
        <is>
          <t>电池</t>
        </is>
      </c>
      <c r="D201" t="inlineStr">
        <is>
          <t>铝箔</t>
        </is>
      </c>
      <c r="E201" t="n">
        <v>6</v>
      </c>
      <c r="F201" t="n">
        <v>1.83</v>
      </c>
      <c r="G201" t="n">
        <v>11</v>
      </c>
      <c r="H201" t="n">
        <v>0.41</v>
      </c>
      <c r="I201" t="n">
        <v>1</v>
      </c>
      <c r="J201" t="n">
        <v>0.01</v>
      </c>
      <c r="K201" t="n">
        <v>1</v>
      </c>
      <c r="L201" t="n">
        <v>0</v>
      </c>
      <c r="M201" t="n">
        <v>0</v>
      </c>
      <c r="N201" t="n">
        <v>5</v>
      </c>
      <c r="O201" t="inlineStr">
        <is>
          <t>东阳光</t>
        </is>
      </c>
      <c r="P201" t="n">
        <v>11</v>
      </c>
      <c r="Q201" t="inlineStr">
        <is>
          <t>1.东阳光(600673)-11分 | 2.南山铝业(600219)-0分 | 3.鼎胜新材(603876)-0分</t>
        </is>
      </c>
    </row>
    <row r="202">
      <c r="A202" t="n">
        <v>201</v>
      </c>
      <c r="B202" t="inlineStr">
        <is>
          <t>4-暂时回避</t>
        </is>
      </c>
      <c r="C202" t="inlineStr">
        <is>
          <t>电池</t>
        </is>
      </c>
      <c r="D202" t="inlineStr">
        <is>
          <t>锂辉石提锂</t>
        </is>
      </c>
      <c r="E202" t="n">
        <v>8</v>
      </c>
      <c r="F202" t="n">
        <v>1.75</v>
      </c>
      <c r="G202" t="n">
        <v>8</v>
      </c>
      <c r="H202" t="n">
        <v>-0.22</v>
      </c>
      <c r="I202" t="n">
        <v>0</v>
      </c>
      <c r="J202" t="n">
        <v>0</v>
      </c>
      <c r="K202" t="n">
        <v>1</v>
      </c>
      <c r="L202" t="n">
        <v>0</v>
      </c>
      <c r="M202" t="n">
        <v>2</v>
      </c>
      <c r="N202" t="n">
        <v>5</v>
      </c>
      <c r="O202" t="inlineStr">
        <is>
          <t>融捷股份</t>
        </is>
      </c>
      <c r="P202" t="n">
        <v>8</v>
      </c>
      <c r="Q202" t="inlineStr">
        <is>
          <t>1.融捷股份(002192)-8分 | 2.天华新能(300390)-3分 | 3.盛新锂能(002240)-3分</t>
        </is>
      </c>
    </row>
    <row r="203">
      <c r="A203" t="n">
        <v>202</v>
      </c>
      <c r="B203" t="inlineStr">
        <is>
          <t>4-暂时回避</t>
        </is>
      </c>
      <c r="C203" t="inlineStr">
        <is>
          <t>光通信/CPO</t>
        </is>
      </c>
      <c r="D203" t="inlineStr">
        <is>
          <t>LPO</t>
        </is>
      </c>
      <c r="E203" t="n">
        <v>2</v>
      </c>
      <c r="F203" t="n">
        <v>1.5</v>
      </c>
      <c r="G203" t="n">
        <v>3</v>
      </c>
      <c r="H203" t="n">
        <v>2.44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1</v>
      </c>
      <c r="O203" t="inlineStr">
        <is>
          <t>剑桥科技</t>
        </is>
      </c>
      <c r="P203" t="n">
        <v>3</v>
      </c>
      <c r="Q203" t="inlineStr">
        <is>
          <t>1.剑桥科技(603083)-3分 | 2.中际旭创(300308)-0分</t>
        </is>
      </c>
    </row>
    <row r="204">
      <c r="A204" t="n">
        <v>203</v>
      </c>
      <c r="B204" t="inlineStr">
        <is>
          <t>4-暂时回避</t>
        </is>
      </c>
      <c r="C204" t="inlineStr">
        <is>
          <t>光通信/CPO</t>
        </is>
      </c>
      <c r="D204" t="inlineStr">
        <is>
          <t>光芯片</t>
        </is>
      </c>
      <c r="E204" t="n">
        <v>4</v>
      </c>
      <c r="F204" t="n">
        <v>1.5</v>
      </c>
      <c r="G204" t="n">
        <v>3</v>
      </c>
      <c r="H204" t="n">
        <v>-2.1</v>
      </c>
      <c r="I204" t="n">
        <v>0</v>
      </c>
      <c r="J204" t="n">
        <v>0.05</v>
      </c>
      <c r="K204" t="n">
        <v>1</v>
      </c>
      <c r="L204" t="n">
        <v>0</v>
      </c>
      <c r="M204" t="n">
        <v>1</v>
      </c>
      <c r="N204" t="n">
        <v>2</v>
      </c>
      <c r="O204" t="inlineStr">
        <is>
          <t>长芯博创</t>
        </is>
      </c>
      <c r="P204" t="n">
        <v>3</v>
      </c>
      <c r="Q204" t="inlineStr">
        <is>
          <t>1.长芯博创(300548)-3分 | 2.源杰科技(688498)-3分 | 3.长光华芯(688048)-0分</t>
        </is>
      </c>
    </row>
    <row r="205">
      <c r="A205" t="n">
        <v>204</v>
      </c>
      <c r="B205" t="inlineStr">
        <is>
          <t>4-暂时回避</t>
        </is>
      </c>
      <c r="C205" t="inlineStr">
        <is>
          <t>人形机器人</t>
        </is>
      </c>
      <c r="D205" t="inlineStr">
        <is>
          <t>谐波减速器</t>
        </is>
      </c>
      <c r="E205" t="n">
        <v>8</v>
      </c>
      <c r="F205" t="n">
        <v>1.5</v>
      </c>
      <c r="G205" t="n">
        <v>3</v>
      </c>
      <c r="H205" t="n">
        <v>-1.95</v>
      </c>
      <c r="I205" t="n">
        <v>0</v>
      </c>
      <c r="J205" t="n">
        <v>0.02</v>
      </c>
      <c r="K205" t="n">
        <v>1</v>
      </c>
      <c r="L205" t="n">
        <v>0</v>
      </c>
      <c r="M205" t="n">
        <v>3</v>
      </c>
      <c r="N205" t="n">
        <v>4</v>
      </c>
      <c r="O205" t="inlineStr">
        <is>
          <t>丰立智能</t>
        </is>
      </c>
      <c r="P205" t="n">
        <v>3</v>
      </c>
      <c r="Q205" t="inlineStr">
        <is>
          <t>1.丰立智能(301368)-3分 | 2.绿的谐波(688017)-3分 | 3.中鼎股份(000887)-3分</t>
        </is>
      </c>
    </row>
    <row r="206">
      <c r="A206" t="n">
        <v>205</v>
      </c>
      <c r="B206" t="inlineStr">
        <is>
          <t>4-暂时回避</t>
        </is>
      </c>
      <c r="C206" t="inlineStr">
        <is>
          <t>人形机器人</t>
        </is>
      </c>
      <c r="D206" t="inlineStr">
        <is>
          <t>电机</t>
        </is>
      </c>
      <c r="E206" t="n">
        <v>4</v>
      </c>
      <c r="F206" t="n">
        <v>1.5</v>
      </c>
      <c r="G206" t="n">
        <v>3</v>
      </c>
      <c r="H206" t="n">
        <v>-2.17</v>
      </c>
      <c r="I206" t="n">
        <v>0</v>
      </c>
      <c r="J206" t="n">
        <v>0.01</v>
      </c>
      <c r="K206" t="n">
        <v>0</v>
      </c>
      <c r="L206" t="n">
        <v>0</v>
      </c>
      <c r="M206" t="n">
        <v>2</v>
      </c>
      <c r="N206" t="n">
        <v>2</v>
      </c>
      <c r="O206" t="inlineStr">
        <is>
          <t>步科股份</t>
        </is>
      </c>
      <c r="P206" t="n">
        <v>3</v>
      </c>
      <c r="Q206" t="inlineStr">
        <is>
          <t>1.步科股份(688160)-3分 | 2.科力尔(002892)-3分 | 3.昊志机电(300503)-0分</t>
        </is>
      </c>
    </row>
    <row r="207">
      <c r="A207" t="n">
        <v>206</v>
      </c>
      <c r="B207" t="inlineStr">
        <is>
          <t>4-暂时回避</t>
        </is>
      </c>
      <c r="C207" t="inlineStr">
        <is>
          <t>人形机器人</t>
        </is>
      </c>
      <c r="D207" t="inlineStr">
        <is>
          <t>丝杠设备</t>
        </is>
      </c>
      <c r="E207" t="n">
        <v>4</v>
      </c>
      <c r="F207" t="n">
        <v>1.5</v>
      </c>
      <c r="G207" t="n">
        <v>3</v>
      </c>
      <c r="H207" t="n">
        <v>-1.81</v>
      </c>
      <c r="I207" t="n">
        <v>0</v>
      </c>
      <c r="J207" t="n">
        <v>0.01</v>
      </c>
      <c r="K207" t="n">
        <v>0</v>
      </c>
      <c r="L207" t="n">
        <v>0</v>
      </c>
      <c r="M207" t="n">
        <v>2</v>
      </c>
      <c r="N207" t="n">
        <v>2</v>
      </c>
      <c r="O207" t="inlineStr">
        <is>
          <t>国机精工</t>
        </is>
      </c>
      <c r="P207" t="n">
        <v>3</v>
      </c>
      <c r="Q207" t="inlineStr">
        <is>
          <t>1.国机精工(002046)-3分 | 2.日发精机(002520)-3分 | 3.浙海德曼(688577)-0分</t>
        </is>
      </c>
    </row>
    <row r="208">
      <c r="A208" t="n">
        <v>207</v>
      </c>
      <c r="B208" t="inlineStr">
        <is>
          <t>4-暂时回避</t>
        </is>
      </c>
      <c r="C208" t="inlineStr">
        <is>
          <t>电池</t>
        </is>
      </c>
      <c r="D208" t="inlineStr">
        <is>
          <t>后段设备</t>
        </is>
      </c>
      <c r="E208" t="n">
        <v>2</v>
      </c>
      <c r="F208" t="n">
        <v>1.5</v>
      </c>
      <c r="G208" t="n">
        <v>3</v>
      </c>
      <c r="H208" t="n">
        <v>-0.64</v>
      </c>
      <c r="I208" t="n">
        <v>0</v>
      </c>
      <c r="J208" t="n">
        <v>0.11</v>
      </c>
      <c r="K208" t="n">
        <v>0</v>
      </c>
      <c r="L208" t="n">
        <v>0</v>
      </c>
      <c r="M208" t="n">
        <v>1</v>
      </c>
      <c r="N208" t="n">
        <v>1</v>
      </c>
      <c r="O208" t="inlineStr">
        <is>
          <t>杭可科技</t>
        </is>
      </c>
      <c r="P208" t="n">
        <v>3</v>
      </c>
      <c r="Q208" t="inlineStr">
        <is>
          <t>1.杭可科技(688006)-3分 | 2.星云股份(300648)-0分</t>
        </is>
      </c>
    </row>
    <row r="209">
      <c r="A209" t="n">
        <v>208</v>
      </c>
      <c r="B209" t="inlineStr">
        <is>
          <t>4-暂时回避</t>
        </is>
      </c>
      <c r="C209" t="inlineStr">
        <is>
          <t>半导体</t>
        </is>
      </c>
      <c r="D209" t="inlineStr">
        <is>
          <t>PVDF</t>
        </is>
      </c>
      <c r="E209" t="n">
        <v>2</v>
      </c>
      <c r="F209" t="n">
        <v>1.5</v>
      </c>
      <c r="G209" t="n">
        <v>3</v>
      </c>
      <c r="H209" t="n">
        <v>0.78</v>
      </c>
      <c r="I209" t="n">
        <v>0</v>
      </c>
      <c r="J209" t="n">
        <v>0.01</v>
      </c>
      <c r="K209" t="n">
        <v>1</v>
      </c>
      <c r="L209" t="n">
        <v>0</v>
      </c>
      <c r="M209" t="n">
        <v>0</v>
      </c>
      <c r="N209" t="n">
        <v>1</v>
      </c>
      <c r="O209" t="inlineStr">
        <is>
          <t>巨化股份</t>
        </is>
      </c>
      <c r="P209" t="n">
        <v>3</v>
      </c>
      <c r="Q209" t="inlineStr">
        <is>
          <t>1.巨化股份(600160)-3分 | 2.璞泰来(603659)-0分</t>
        </is>
      </c>
    </row>
    <row r="210">
      <c r="A210" t="n">
        <v>209</v>
      </c>
      <c r="B210" t="inlineStr">
        <is>
          <t>4-暂时回避</t>
        </is>
      </c>
      <c r="C210" t="inlineStr">
        <is>
          <t>算力金属</t>
        </is>
      </c>
      <c r="D210" t="inlineStr">
        <is>
          <t>铜</t>
        </is>
      </c>
      <c r="E210" t="n">
        <v>6</v>
      </c>
      <c r="F210" t="n">
        <v>1.5</v>
      </c>
      <c r="G210" t="n">
        <v>3</v>
      </c>
      <c r="H210" t="n">
        <v>-1.38</v>
      </c>
      <c r="I210" t="n">
        <v>0</v>
      </c>
      <c r="J210" t="n">
        <v>0.01</v>
      </c>
      <c r="K210" t="n">
        <v>0</v>
      </c>
      <c r="L210" t="n">
        <v>0</v>
      </c>
      <c r="M210" t="n">
        <v>3</v>
      </c>
      <c r="N210" t="n">
        <v>3</v>
      </c>
      <c r="O210" t="inlineStr">
        <is>
          <t>铜陵有色</t>
        </is>
      </c>
      <c r="P210" t="n">
        <v>3</v>
      </c>
      <c r="Q210" t="inlineStr">
        <is>
          <t>1.铜陵有色(000630)-3分 | 2.辽宁能源(000758)-3分 | 3.北方铜业(000737)-3分</t>
        </is>
      </c>
    </row>
    <row r="211">
      <c r="A211" t="n">
        <v>210</v>
      </c>
      <c r="B211" t="inlineStr">
        <is>
          <t>4-暂时回避</t>
        </is>
      </c>
      <c r="C211" t="inlineStr">
        <is>
          <t>算力金属</t>
        </is>
      </c>
      <c r="D211" t="inlineStr">
        <is>
          <t>钨</t>
        </is>
      </c>
      <c r="E211" t="n">
        <v>2</v>
      </c>
      <c r="F211" t="n">
        <v>1.5</v>
      </c>
      <c r="G211" t="n">
        <v>3</v>
      </c>
      <c r="H211" t="n">
        <v>-6.99</v>
      </c>
      <c r="I211" t="n">
        <v>0</v>
      </c>
      <c r="J211" t="n">
        <v>0.01</v>
      </c>
      <c r="K211" t="n">
        <v>0</v>
      </c>
      <c r="L211" t="n">
        <v>0</v>
      </c>
      <c r="M211" t="n">
        <v>1</v>
      </c>
      <c r="N211" t="n">
        <v>1</v>
      </c>
      <c r="O211" t="inlineStr">
        <is>
          <t>亚盛集团</t>
        </is>
      </c>
      <c r="P211" t="n">
        <v>3</v>
      </c>
      <c r="Q211" t="inlineStr">
        <is>
          <t>1.亚盛集团(600108)-3分 | 2.大中矿业(001203)-0分</t>
        </is>
      </c>
    </row>
    <row r="212">
      <c r="A212" t="n">
        <v>211</v>
      </c>
      <c r="B212" t="inlineStr">
        <is>
          <t>4-暂时回避</t>
        </is>
      </c>
      <c r="C212" t="inlineStr">
        <is>
          <t>算力金属</t>
        </is>
      </c>
      <c r="D212" t="inlineStr">
        <is>
          <t>铜</t>
        </is>
      </c>
      <c r="E212" t="n">
        <v>4</v>
      </c>
      <c r="F212" t="n">
        <v>1.5</v>
      </c>
      <c r="G212" t="n">
        <v>3</v>
      </c>
      <c r="H212" t="n">
        <v>1.87</v>
      </c>
      <c r="I212" t="n">
        <v>0</v>
      </c>
      <c r="J212" t="n">
        <v>0.01</v>
      </c>
      <c r="K212" t="n">
        <v>2</v>
      </c>
      <c r="L212" t="n">
        <v>0</v>
      </c>
      <c r="M212" t="n">
        <v>0</v>
      </c>
      <c r="N212" t="n">
        <v>2</v>
      </c>
      <c r="O212" t="inlineStr">
        <is>
          <t>洛阳钼业</t>
        </is>
      </c>
      <c r="P212" t="n">
        <v>3</v>
      </c>
      <c r="Q212" t="inlineStr">
        <is>
          <t>1.洛阳钼业(603993)-3分 | 2.江西铜业(600362)-3分 | 3.中金黄金(600489)-0分</t>
        </is>
      </c>
    </row>
    <row r="213">
      <c r="A213" t="n">
        <v>212</v>
      </c>
      <c r="B213" t="inlineStr">
        <is>
          <t>4-暂时回避</t>
        </is>
      </c>
      <c r="C213" t="inlineStr">
        <is>
          <t>算力金属</t>
        </is>
      </c>
      <c r="D213" t="inlineStr">
        <is>
          <t>锡</t>
        </is>
      </c>
      <c r="E213" t="n">
        <v>2</v>
      </c>
      <c r="F213" t="n">
        <v>1.5</v>
      </c>
      <c r="G213" t="n">
        <v>3</v>
      </c>
      <c r="H213" t="n">
        <v>-0.11</v>
      </c>
      <c r="I213" t="n">
        <v>0</v>
      </c>
      <c r="J213" t="n">
        <v>0.01</v>
      </c>
      <c r="K213" t="n">
        <v>0</v>
      </c>
      <c r="L213" t="n">
        <v>0</v>
      </c>
      <c r="M213" t="n">
        <v>1</v>
      </c>
      <c r="N213" t="n">
        <v>1</v>
      </c>
      <c r="O213" t="inlineStr">
        <is>
          <t>盛屯矿业</t>
        </is>
      </c>
      <c r="P213" t="n">
        <v>3</v>
      </c>
      <c r="Q213" t="inlineStr">
        <is>
          <t>1.盛屯矿业(600711)-3分 | 2.山金国际(000975)-0分</t>
        </is>
      </c>
    </row>
    <row r="214">
      <c r="A214" t="n">
        <v>213</v>
      </c>
      <c r="B214" t="inlineStr">
        <is>
          <t>4-暂时回避</t>
        </is>
      </c>
      <c r="C214" t="inlineStr">
        <is>
          <t>商业航天</t>
        </is>
      </c>
      <c r="D214" t="inlineStr">
        <is>
          <t>射频载荷</t>
        </is>
      </c>
      <c r="E214" t="n">
        <v>4</v>
      </c>
      <c r="F214" t="n">
        <v>1.25</v>
      </c>
      <c r="G214" t="n">
        <v>5</v>
      </c>
      <c r="H214" t="n">
        <v>1.37</v>
      </c>
      <c r="I214" t="n">
        <v>0</v>
      </c>
      <c r="J214" t="n">
        <v>0.03</v>
      </c>
      <c r="K214" t="n">
        <v>1</v>
      </c>
      <c r="L214" t="n">
        <v>0</v>
      </c>
      <c r="M214" t="n">
        <v>0</v>
      </c>
      <c r="N214" t="n">
        <v>3</v>
      </c>
      <c r="O214" t="inlineStr">
        <is>
          <t>铖昌科技</t>
        </is>
      </c>
      <c r="P214" t="n">
        <v>5</v>
      </c>
      <c r="Q214" t="inlineStr">
        <is>
          <t>1.铖昌科技(001270)-5分 | 2.霍莱沃(688682)-0分 | 3.国博电子(688375)-0分</t>
        </is>
      </c>
    </row>
    <row r="215">
      <c r="A215" t="n">
        <v>214</v>
      </c>
      <c r="B215" t="inlineStr">
        <is>
          <t>4-暂时回避</t>
        </is>
      </c>
      <c r="C215" t="inlineStr">
        <is>
          <t>人形机器人</t>
        </is>
      </c>
      <c r="D215" t="inlineStr">
        <is>
          <t>灵巧手</t>
        </is>
      </c>
      <c r="E215" t="n">
        <v>4</v>
      </c>
      <c r="F215" t="n">
        <v>1.25</v>
      </c>
      <c r="G215" t="n">
        <v>5</v>
      </c>
      <c r="H215" t="n">
        <v>0.34</v>
      </c>
      <c r="I215" t="n">
        <v>0</v>
      </c>
      <c r="J215" t="n">
        <v>0.01</v>
      </c>
      <c r="K215" t="n">
        <v>1</v>
      </c>
      <c r="L215" t="n">
        <v>0</v>
      </c>
      <c r="M215" t="n">
        <v>0</v>
      </c>
      <c r="N215" t="n">
        <v>3</v>
      </c>
      <c r="O215" t="inlineStr">
        <is>
          <t>雷赛智能</t>
        </is>
      </c>
      <c r="P215" t="n">
        <v>5</v>
      </c>
      <c r="Q215" t="inlineStr">
        <is>
          <t>1.雷赛智能(002979)-5分 | 2.鸣志电器(603728)-0分 | 3.兆威机电(003021)-0分</t>
        </is>
      </c>
    </row>
    <row r="216">
      <c r="A216" t="n">
        <v>215</v>
      </c>
      <c r="B216" t="inlineStr">
        <is>
          <t>4-暂时回避</t>
        </is>
      </c>
      <c r="C216" t="inlineStr">
        <is>
          <t>电池</t>
        </is>
      </c>
      <c r="D216" t="inlineStr">
        <is>
          <t>行星减速器</t>
        </is>
      </c>
      <c r="E216" t="n">
        <v>9</v>
      </c>
      <c r="F216" t="n">
        <v>1.22</v>
      </c>
      <c r="G216" t="n">
        <v>8</v>
      </c>
      <c r="H216" t="n">
        <v>-1.24</v>
      </c>
      <c r="I216" t="n">
        <v>0</v>
      </c>
      <c r="J216" t="n">
        <v>0</v>
      </c>
      <c r="K216" t="n">
        <v>1</v>
      </c>
      <c r="L216" t="n">
        <v>0</v>
      </c>
      <c r="M216" t="n">
        <v>1</v>
      </c>
      <c r="N216" t="n">
        <v>7</v>
      </c>
      <c r="O216" t="inlineStr">
        <is>
          <t>科达利</t>
        </is>
      </c>
      <c r="P216" t="n">
        <v>8</v>
      </c>
      <c r="Q216" t="inlineStr">
        <is>
          <t>1.科达利(002850)-8分 | 2.中大力德(002896)-3分 | 3.豪能股份(603809)-0分</t>
        </is>
      </c>
    </row>
    <row r="217">
      <c r="A217" t="n">
        <v>216</v>
      </c>
      <c r="B217" t="inlineStr">
        <is>
          <t>4-暂时回避</t>
        </is>
      </c>
      <c r="C217" t="inlineStr">
        <is>
          <t>AI电力出海</t>
        </is>
      </c>
      <c r="D217" t="inlineStr">
        <is>
          <t>燃气轮机</t>
        </is>
      </c>
      <c r="E217" t="n">
        <v>14</v>
      </c>
      <c r="F217" t="n">
        <v>1.21</v>
      </c>
      <c r="G217" t="n">
        <v>5</v>
      </c>
      <c r="H217" t="n">
        <v>0.97</v>
      </c>
      <c r="I217" t="n">
        <v>0</v>
      </c>
      <c r="J217" t="n">
        <v>0.01</v>
      </c>
      <c r="K217" t="n">
        <v>2</v>
      </c>
      <c r="L217" t="n">
        <v>0</v>
      </c>
      <c r="M217" t="n">
        <v>3</v>
      </c>
      <c r="N217" t="n">
        <v>9</v>
      </c>
      <c r="O217" t="inlineStr">
        <is>
          <t>飞沃科技</t>
        </is>
      </c>
      <c r="P217" t="n">
        <v>5</v>
      </c>
      <c r="Q217" t="inlineStr">
        <is>
          <t>1.飞沃科技(301232)-5分 | 2.福鞍股份(603315)-3分 | 3.联德股份(605060)-3分</t>
        </is>
      </c>
    </row>
    <row r="218">
      <c r="A218" t="n">
        <v>217</v>
      </c>
      <c r="B218" t="inlineStr">
        <is>
          <t>4-暂时回避</t>
        </is>
      </c>
      <c r="C218" t="inlineStr">
        <is>
          <t>AI电力出海</t>
        </is>
      </c>
      <c r="D218" t="inlineStr">
        <is>
          <t>变压器</t>
        </is>
      </c>
      <c r="E218" t="n">
        <v>15</v>
      </c>
      <c r="F218" t="n">
        <v>1.2</v>
      </c>
      <c r="G218" t="n">
        <v>3</v>
      </c>
      <c r="H218" t="n">
        <v>-1.86</v>
      </c>
      <c r="I218" t="n">
        <v>0</v>
      </c>
      <c r="J218" t="n">
        <v>0.02</v>
      </c>
      <c r="K218" t="n">
        <v>1</v>
      </c>
      <c r="L218" t="n">
        <v>0</v>
      </c>
      <c r="M218" t="n">
        <v>5</v>
      </c>
      <c r="N218" t="n">
        <v>9</v>
      </c>
      <c r="O218" t="inlineStr">
        <is>
          <t>京泉华</t>
        </is>
      </c>
      <c r="P218" t="n">
        <v>3</v>
      </c>
      <c r="Q218" t="inlineStr">
        <is>
          <t>1.京泉华(002885)-3分 | 2.望变电气(603191)-3分 | 3.华明装备(002270)-3分</t>
        </is>
      </c>
    </row>
    <row r="219">
      <c r="A219" t="n">
        <v>218</v>
      </c>
      <c r="B219" t="inlineStr">
        <is>
          <t>4-暂时回避</t>
        </is>
      </c>
      <c r="C219" t="inlineStr">
        <is>
          <t>半导体</t>
        </is>
      </c>
      <c r="D219" t="inlineStr">
        <is>
          <t>TPU</t>
        </is>
      </c>
      <c r="E219" t="n">
        <v>5</v>
      </c>
      <c r="F219" t="n">
        <v>1.2</v>
      </c>
      <c r="G219" t="n">
        <v>3</v>
      </c>
      <c r="H219" t="n">
        <v>-3.33</v>
      </c>
      <c r="I219" t="n">
        <v>0</v>
      </c>
      <c r="J219" t="n">
        <v>0</v>
      </c>
      <c r="K219" t="n">
        <v>0</v>
      </c>
      <c r="L219" t="n">
        <v>0</v>
      </c>
      <c r="M219" t="n">
        <v>2</v>
      </c>
      <c r="N219" t="n">
        <v>3</v>
      </c>
      <c r="O219" t="inlineStr">
        <is>
          <t>艾布鲁</t>
        </is>
      </c>
      <c r="P219" t="n">
        <v>3</v>
      </c>
      <c r="Q219" t="inlineStr">
        <is>
          <t>1.艾布鲁(301259)-3分 | 2.天普股份(605255)-3分 | 3.浙数文化(600633)-0分</t>
        </is>
      </c>
    </row>
    <row r="220">
      <c r="A220" t="n">
        <v>219</v>
      </c>
      <c r="B220" t="inlineStr">
        <is>
          <t>4-暂时回避</t>
        </is>
      </c>
      <c r="C220" t="inlineStr">
        <is>
          <t>半导体</t>
        </is>
      </c>
      <c r="D220" t="inlineStr">
        <is>
          <t>其他算力芯片</t>
        </is>
      </c>
      <c r="E220" t="n">
        <v>6</v>
      </c>
      <c r="F220" t="n">
        <v>1</v>
      </c>
      <c r="G220" t="n">
        <v>3</v>
      </c>
      <c r="H220" t="n">
        <v>1.13</v>
      </c>
      <c r="I220" t="n">
        <v>0</v>
      </c>
      <c r="J220" t="n">
        <v>0.02</v>
      </c>
      <c r="K220" t="n">
        <v>0</v>
      </c>
      <c r="L220" t="n">
        <v>0</v>
      </c>
      <c r="M220" t="n">
        <v>2</v>
      </c>
      <c r="N220" t="n">
        <v>4</v>
      </c>
      <c r="O220" t="inlineStr">
        <is>
          <t>品高股份</t>
        </is>
      </c>
      <c r="P220" t="n">
        <v>3</v>
      </c>
      <c r="Q220" t="inlineStr">
        <is>
          <t>1.品高股份(688227)-3分 | 2.安博通(688168)-3分 | 3.浙江龙盛(600352)-0分</t>
        </is>
      </c>
    </row>
    <row r="221">
      <c r="A221" t="n">
        <v>220</v>
      </c>
      <c r="B221" t="inlineStr">
        <is>
          <t>4-暂时回避</t>
        </is>
      </c>
      <c r="C221" t="inlineStr">
        <is>
          <t>商业航天</t>
        </is>
      </c>
      <c r="D221" t="inlineStr">
        <is>
          <t>天线</t>
        </is>
      </c>
      <c r="E221" t="n">
        <v>6</v>
      </c>
      <c r="F221" t="n">
        <v>1</v>
      </c>
      <c r="G221" t="n">
        <v>3</v>
      </c>
      <c r="H221" t="n">
        <v>0.47</v>
      </c>
      <c r="I221" t="n">
        <v>0</v>
      </c>
      <c r="J221" t="n">
        <v>0.01</v>
      </c>
      <c r="K221" t="n">
        <v>0</v>
      </c>
      <c r="L221" t="n">
        <v>0</v>
      </c>
      <c r="M221" t="n">
        <v>2</v>
      </c>
      <c r="N221" t="n">
        <v>4</v>
      </c>
      <c r="O221" t="inlineStr">
        <is>
          <t>硕贝德</t>
        </is>
      </c>
      <c r="P221" t="n">
        <v>3</v>
      </c>
      <c r="Q221" t="inlineStr">
        <is>
          <t>1.硕贝德(300322)-3分 | 2.盛路通信(002446)-3分 | 3.信维通信(300136)-0分</t>
        </is>
      </c>
    </row>
    <row r="222">
      <c r="A222" t="n">
        <v>221</v>
      </c>
      <c r="B222" t="inlineStr">
        <is>
          <t>4-暂时回避</t>
        </is>
      </c>
      <c r="C222" t="inlineStr">
        <is>
          <t>人形机器人</t>
        </is>
      </c>
      <c r="D222" t="inlineStr">
        <is>
          <t>腱绳材料</t>
        </is>
      </c>
      <c r="E222" t="n">
        <v>3</v>
      </c>
      <c r="F222" t="n">
        <v>1</v>
      </c>
      <c r="G222" t="n">
        <v>3</v>
      </c>
      <c r="H222" t="n">
        <v>-2.14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2</v>
      </c>
      <c r="O222" t="inlineStr">
        <is>
          <t>大业股份</t>
        </is>
      </c>
      <c r="P222" t="n">
        <v>3</v>
      </c>
      <c r="Q222" t="inlineStr">
        <is>
          <t>1.大业股份(603278)-3分 | 2.南山智尚(300918)-0分 | 3.赛福天(603028)-0分</t>
        </is>
      </c>
    </row>
    <row r="223">
      <c r="A223" t="n">
        <v>222</v>
      </c>
      <c r="B223" t="inlineStr">
        <is>
          <t>4-暂时回避</t>
        </is>
      </c>
      <c r="C223" t="inlineStr">
        <is>
          <t>电池</t>
        </is>
      </c>
      <c r="D223" t="inlineStr">
        <is>
          <t>氯化亚砜</t>
        </is>
      </c>
      <c r="E223" t="n">
        <v>3</v>
      </c>
      <c r="F223" t="n">
        <v>1</v>
      </c>
      <c r="G223" t="n">
        <v>3</v>
      </c>
      <c r="H223" t="n">
        <v>-0.29</v>
      </c>
      <c r="I223" t="n">
        <v>0</v>
      </c>
      <c r="J223" t="n">
        <v>0</v>
      </c>
      <c r="K223" t="n">
        <v>0</v>
      </c>
      <c r="L223" t="n">
        <v>0</v>
      </c>
      <c r="M223" t="n">
        <v>1</v>
      </c>
      <c r="N223" t="n">
        <v>2</v>
      </c>
      <c r="O223" t="inlineStr">
        <is>
          <t>金禾实业</t>
        </is>
      </c>
      <c r="P223" t="n">
        <v>3</v>
      </c>
      <c r="Q223" t="inlineStr">
        <is>
          <t>1.金禾实业(002597)-3分 | 2.凯盛新材(301069)-0分 | 3.世龙实业(002748)-0分</t>
        </is>
      </c>
    </row>
    <row r="224">
      <c r="A224" t="n">
        <v>223</v>
      </c>
      <c r="B224" t="inlineStr">
        <is>
          <t>4-暂时回避</t>
        </is>
      </c>
      <c r="C224" t="inlineStr">
        <is>
          <t>电池</t>
        </is>
      </c>
      <c r="D224" t="inlineStr">
        <is>
          <t>盐湖提锂</t>
        </is>
      </c>
      <c r="E224" t="n">
        <v>10</v>
      </c>
      <c r="F224" t="n">
        <v>0.8</v>
      </c>
      <c r="G224" t="n">
        <v>8</v>
      </c>
      <c r="H224" t="n">
        <v>-0.03</v>
      </c>
      <c r="I224" t="n">
        <v>0</v>
      </c>
      <c r="J224" t="n">
        <v>0.01</v>
      </c>
      <c r="K224" t="n">
        <v>1</v>
      </c>
      <c r="L224" t="n">
        <v>0</v>
      </c>
      <c r="M224" t="n">
        <v>0</v>
      </c>
      <c r="N224" t="n">
        <v>9</v>
      </c>
      <c r="O224" t="inlineStr">
        <is>
          <t>争光股份</t>
        </is>
      </c>
      <c r="P224" t="n">
        <v>8</v>
      </c>
      <c r="Q224" t="inlineStr">
        <is>
          <t>1.争光股份(301092)-8分 | 2.科达制造(600499)-0分 | 3.西藏珠峰(600338)-0分</t>
        </is>
      </c>
    </row>
    <row r="225">
      <c r="A225" t="n">
        <v>224</v>
      </c>
      <c r="B225" t="inlineStr">
        <is>
          <t>4-暂时回避</t>
        </is>
      </c>
      <c r="C225" t="inlineStr">
        <is>
          <t>商业航天</t>
        </is>
      </c>
      <c r="D225" t="inlineStr">
        <is>
          <t>发动机</t>
        </is>
      </c>
      <c r="E225" t="n">
        <v>4</v>
      </c>
      <c r="F225" t="n">
        <v>0.75</v>
      </c>
      <c r="G225" t="n">
        <v>3</v>
      </c>
      <c r="H225" t="n">
        <v>-1.03</v>
      </c>
      <c r="I225" t="n">
        <v>0</v>
      </c>
      <c r="J225" t="n">
        <v>0.01</v>
      </c>
      <c r="K225" t="n">
        <v>0</v>
      </c>
      <c r="L225" t="n">
        <v>0</v>
      </c>
      <c r="M225" t="n">
        <v>1</v>
      </c>
      <c r="N225" t="n">
        <v>3</v>
      </c>
      <c r="O225" t="inlineStr">
        <is>
          <t>中超控股</t>
        </is>
      </c>
      <c r="P225" t="n">
        <v>3</v>
      </c>
      <c r="Q225" t="inlineStr">
        <is>
          <t>1.中超控股(002471)-3分 | 2.高华科技(688539)-0分 | 3.航天动力(600343)-0分</t>
        </is>
      </c>
    </row>
    <row r="226">
      <c r="A226" t="n">
        <v>225</v>
      </c>
      <c r="B226" t="inlineStr">
        <is>
          <t>4-暂时回避</t>
        </is>
      </c>
      <c r="C226" t="inlineStr">
        <is>
          <t>商业航天</t>
        </is>
      </c>
      <c r="D226" t="inlineStr">
        <is>
          <t>航天科工</t>
        </is>
      </c>
      <c r="E226" t="n">
        <v>4</v>
      </c>
      <c r="F226" t="n">
        <v>0.75</v>
      </c>
      <c r="G226" t="n">
        <v>3</v>
      </c>
      <c r="H226" t="n">
        <v>-0.22</v>
      </c>
      <c r="I226" t="n">
        <v>0</v>
      </c>
      <c r="J226" t="n">
        <v>0</v>
      </c>
      <c r="K226" t="n">
        <v>1</v>
      </c>
      <c r="L226" t="n">
        <v>0</v>
      </c>
      <c r="M226" t="n">
        <v>0</v>
      </c>
      <c r="N226" t="n">
        <v>3</v>
      </c>
      <c r="O226" t="inlineStr">
        <is>
          <t>航天发展</t>
        </is>
      </c>
      <c r="P226" t="n">
        <v>3</v>
      </c>
      <c r="Q226" t="inlineStr">
        <is>
          <t>1.航天发展(000547)-3分 | 2.航天长峰(600855)-0分 | 3.航天电器(002025)-0分</t>
        </is>
      </c>
    </row>
    <row r="227">
      <c r="A227" t="n">
        <v>226</v>
      </c>
      <c r="B227" t="inlineStr">
        <is>
          <t>4-暂时回避</t>
        </is>
      </c>
      <c r="C227" t="inlineStr">
        <is>
          <t>半导体</t>
        </is>
      </c>
      <c r="D227" t="inlineStr">
        <is>
          <t>六氟磷酸锂</t>
        </is>
      </c>
      <c r="E227" t="n">
        <v>4</v>
      </c>
      <c r="F227" t="n">
        <v>0.75</v>
      </c>
      <c r="G227" t="n">
        <v>3</v>
      </c>
      <c r="H227" t="n">
        <v>-1</v>
      </c>
      <c r="I227" t="n">
        <v>0</v>
      </c>
      <c r="J227" t="n">
        <v>0.01</v>
      </c>
      <c r="K227" t="n">
        <v>0</v>
      </c>
      <c r="L227" t="n">
        <v>0</v>
      </c>
      <c r="M227" t="n">
        <v>1</v>
      </c>
      <c r="N227" t="n">
        <v>3</v>
      </c>
      <c r="O227" t="inlineStr">
        <is>
          <t>多氟多</t>
        </is>
      </c>
      <c r="P227" t="n">
        <v>3</v>
      </c>
      <c r="Q227" t="inlineStr">
        <is>
          <t>1.多氟多(002407)-3分 | 2.永太科技(002326)-0分 | 3.天赐材料(002709)-0分</t>
        </is>
      </c>
    </row>
    <row r="228">
      <c r="A228" t="n">
        <v>227</v>
      </c>
      <c r="B228" t="inlineStr">
        <is>
          <t>4-暂时回避</t>
        </is>
      </c>
      <c r="C228" t="inlineStr">
        <is>
          <t>电池</t>
        </is>
      </c>
      <c r="D228" t="inlineStr">
        <is>
          <t>氯化亚砜</t>
        </is>
      </c>
      <c r="E228" t="n">
        <v>5</v>
      </c>
      <c r="F228" t="n">
        <v>0.6</v>
      </c>
      <c r="G228" t="n">
        <v>3</v>
      </c>
      <c r="H228" t="n">
        <v>-1.41</v>
      </c>
      <c r="I228" t="n">
        <v>0</v>
      </c>
      <c r="J228" t="n">
        <v>0</v>
      </c>
      <c r="K228" t="n">
        <v>0</v>
      </c>
      <c r="L228" t="n">
        <v>0</v>
      </c>
      <c r="M228" t="n">
        <v>1</v>
      </c>
      <c r="N228" t="n">
        <v>4</v>
      </c>
      <c r="O228" t="inlineStr">
        <is>
          <t>金禾实业</t>
        </is>
      </c>
      <c r="P228" t="n">
        <v>3</v>
      </c>
      <c r="Q228" t="inlineStr">
        <is>
          <t>1.金禾实业(002597)-3分 | 2.凯盛新材(301069)-0分 | 3.三友化工(600409)-0分</t>
        </is>
      </c>
    </row>
    <row r="229">
      <c r="A229" t="n">
        <v>228</v>
      </c>
      <c r="B229" t="inlineStr">
        <is>
          <t>4-暂时回避</t>
        </is>
      </c>
      <c r="C229" t="inlineStr">
        <is>
          <t>商业航天</t>
        </is>
      </c>
      <c r="D229" t="inlineStr">
        <is>
          <t>通信终端</t>
        </is>
      </c>
      <c r="E229" t="n">
        <v>5</v>
      </c>
      <c r="F229" t="n">
        <v>0.6</v>
      </c>
      <c r="G229" t="n">
        <v>3</v>
      </c>
      <c r="H229" t="n">
        <v>-0.03</v>
      </c>
      <c r="I229" t="n">
        <v>0</v>
      </c>
      <c r="J229" t="n">
        <v>0.02</v>
      </c>
      <c r="K229" t="n">
        <v>0</v>
      </c>
      <c r="L229" t="n">
        <v>0</v>
      </c>
      <c r="M229" t="n">
        <v>1</v>
      </c>
      <c r="N229" t="n">
        <v>4</v>
      </c>
      <c r="O229" t="inlineStr">
        <is>
          <t>海能达</t>
        </is>
      </c>
      <c r="P229" t="n">
        <v>3</v>
      </c>
      <c r="Q229" t="inlineStr">
        <is>
          <t>1.海能达(002583)-3分 | 2.南京熊猫(600775)-0分 | 3.唯捷创芯(688153)-0分</t>
        </is>
      </c>
    </row>
    <row r="230">
      <c r="A230" t="n">
        <v>229</v>
      </c>
      <c r="B230" t="inlineStr">
        <is>
          <t>4-暂时回避</t>
        </is>
      </c>
      <c r="C230" t="inlineStr">
        <is>
          <t>电池</t>
        </is>
      </c>
      <c r="D230" t="inlineStr">
        <is>
          <t>磷酸铁</t>
        </is>
      </c>
      <c r="E230" t="n">
        <v>5</v>
      </c>
      <c r="F230" t="n">
        <v>0.6</v>
      </c>
      <c r="G230" t="n">
        <v>3</v>
      </c>
      <c r="H230" t="n">
        <v>-1.04</v>
      </c>
      <c r="I230" t="n">
        <v>0</v>
      </c>
      <c r="J230" t="n">
        <v>0.01</v>
      </c>
      <c r="K230" t="n">
        <v>0</v>
      </c>
      <c r="L230" t="n">
        <v>0</v>
      </c>
      <c r="M230" t="n">
        <v>1</v>
      </c>
      <c r="N230" t="n">
        <v>4</v>
      </c>
      <c r="O230" t="inlineStr">
        <is>
          <t>湘潭电化</t>
        </is>
      </c>
      <c r="P230" t="n">
        <v>3</v>
      </c>
      <c r="Q230" t="inlineStr">
        <is>
          <t>1.湘潭电化(002125)-3分 | 2.云天化(600096)-0分 | 3.龙佰集团(002601)-0分</t>
        </is>
      </c>
    </row>
    <row r="231">
      <c r="A231" t="n">
        <v>230</v>
      </c>
      <c r="B231" t="inlineStr">
        <is>
          <t>4-暂时回避</t>
        </is>
      </c>
      <c r="C231" t="inlineStr">
        <is>
          <t>人形机器人</t>
        </is>
      </c>
      <c r="D231" t="inlineStr">
        <is>
          <t>其他</t>
        </is>
      </c>
      <c r="E231" t="n">
        <v>20</v>
      </c>
      <c r="F231" t="n">
        <v>0.55</v>
      </c>
      <c r="G231" t="n">
        <v>5</v>
      </c>
      <c r="H231" t="n">
        <v>-1.32</v>
      </c>
      <c r="I231" t="n">
        <v>0</v>
      </c>
      <c r="J231" t="n">
        <v>0</v>
      </c>
      <c r="K231" t="n">
        <v>1</v>
      </c>
      <c r="L231" t="n">
        <v>0</v>
      </c>
      <c r="M231" t="n">
        <v>2</v>
      </c>
      <c r="N231" t="n">
        <v>17</v>
      </c>
      <c r="O231" t="inlineStr">
        <is>
          <t>银轮股份</t>
        </is>
      </c>
      <c r="P231" t="n">
        <v>5</v>
      </c>
      <c r="Q231" t="inlineStr">
        <is>
          <t>1.银轮股份(002126)-5分 | 2.能科科技(603859)-3分 | 3.肇民科技(301000)-3分</t>
        </is>
      </c>
    </row>
    <row r="232">
      <c r="A232" t="n">
        <v>231</v>
      </c>
      <c r="B232" t="inlineStr">
        <is>
          <t>4-暂时回避</t>
        </is>
      </c>
      <c r="C232" t="inlineStr">
        <is>
          <t>电池</t>
        </is>
      </c>
      <c r="D232" t="inlineStr">
        <is>
          <t>前段设备</t>
        </is>
      </c>
      <c r="E232" t="n">
        <v>6</v>
      </c>
      <c r="F232" t="n">
        <v>0.5</v>
      </c>
      <c r="G232" t="n">
        <v>3</v>
      </c>
      <c r="H232" t="n">
        <v>-0.15</v>
      </c>
      <c r="I232" t="n">
        <v>0</v>
      </c>
      <c r="J232" t="n">
        <v>0.01</v>
      </c>
      <c r="K232" t="n">
        <v>0</v>
      </c>
      <c r="L232" t="n">
        <v>0</v>
      </c>
      <c r="M232" t="n">
        <v>1</v>
      </c>
      <c r="N232" t="n">
        <v>5</v>
      </c>
      <c r="O232" t="inlineStr">
        <is>
          <t>华亚智能</t>
        </is>
      </c>
      <c r="P232" t="n">
        <v>3</v>
      </c>
      <c r="Q232" t="inlineStr">
        <is>
          <t>1.华亚智能(003043)-3分 | 2.信宇人(688573)-0分 | 3.宏工科技(301662)-0分</t>
        </is>
      </c>
    </row>
    <row r="233">
      <c r="A233" t="n">
        <v>232</v>
      </c>
      <c r="B233" t="inlineStr">
        <is>
          <t>4-暂时回避</t>
        </is>
      </c>
      <c r="C233" t="inlineStr">
        <is>
          <t>人形机器人</t>
        </is>
      </c>
      <c r="D233" t="inlineStr">
        <is>
          <t>本体及应用</t>
        </is>
      </c>
      <c r="E233" t="n">
        <v>10</v>
      </c>
      <c r="F233" t="n">
        <v>0.3</v>
      </c>
      <c r="G233" t="n">
        <v>3</v>
      </c>
      <c r="H233" t="n">
        <v>-1.3</v>
      </c>
      <c r="I233" t="n">
        <v>0</v>
      </c>
      <c r="J233" t="n">
        <v>0.02</v>
      </c>
      <c r="K233" t="n">
        <v>0</v>
      </c>
      <c r="L233" t="n">
        <v>0</v>
      </c>
      <c r="M233" t="n">
        <v>1</v>
      </c>
      <c r="N233" t="n">
        <v>9</v>
      </c>
      <c r="O233" t="inlineStr">
        <is>
          <t>埃斯顿</t>
        </is>
      </c>
      <c r="P233" t="n">
        <v>3</v>
      </c>
      <c r="Q233" t="inlineStr">
        <is>
          <t>1.埃斯顿(002747)-3分 | 2.新时达(002527)-0分 | 3.拓斯达(300607)-0分</t>
        </is>
      </c>
    </row>
    <row r="234">
      <c r="A234" t="n">
        <v>233</v>
      </c>
      <c r="B234" t="inlineStr">
        <is>
          <t>4-暂时回避</t>
        </is>
      </c>
      <c r="C234" t="inlineStr">
        <is>
          <t>电池</t>
        </is>
      </c>
      <c r="D234" t="inlineStr">
        <is>
          <t>云母提锂</t>
        </is>
      </c>
      <c r="E234" t="n">
        <v>3</v>
      </c>
      <c r="F234" t="n">
        <v>0</v>
      </c>
      <c r="G234" t="n">
        <v>0</v>
      </c>
      <c r="H234" t="n">
        <v>-1.45</v>
      </c>
      <c r="I234" t="n">
        <v>0</v>
      </c>
      <c r="J234" t="n">
        <v>0.01</v>
      </c>
      <c r="K234" t="n">
        <v>0</v>
      </c>
      <c r="L234" t="n">
        <v>0</v>
      </c>
      <c r="M234" t="n">
        <v>3</v>
      </c>
      <c r="N234" t="n">
        <v>0</v>
      </c>
      <c r="O234" t="inlineStr">
        <is>
          <t>江特电机</t>
        </is>
      </c>
      <c r="P234" t="n">
        <v>0</v>
      </c>
      <c r="Q234" t="inlineStr">
        <is>
          <t>1.江特电机(002176)-0分 | 2.国轩高科(002074)-0分 | 3.永兴材料(002756)-0分</t>
        </is>
      </c>
    </row>
    <row r="235">
      <c r="A235" t="n">
        <v>234</v>
      </c>
      <c r="B235" t="inlineStr">
        <is>
          <t>4-暂时回避</t>
        </is>
      </c>
      <c r="C235" t="inlineStr">
        <is>
          <t>电池</t>
        </is>
      </c>
      <c r="D235" t="inlineStr">
        <is>
          <t>富锂锰基正极</t>
        </is>
      </c>
      <c r="E235" t="n">
        <v>8</v>
      </c>
      <c r="F235" t="n">
        <v>0</v>
      </c>
      <c r="G235" t="n">
        <v>0</v>
      </c>
      <c r="H235" t="n">
        <v>-2.37</v>
      </c>
      <c r="I235" t="n">
        <v>0</v>
      </c>
      <c r="J235" t="n">
        <v>0.07000000000000001</v>
      </c>
      <c r="K235" t="n">
        <v>1</v>
      </c>
      <c r="L235" t="n">
        <v>0</v>
      </c>
      <c r="M235" t="n">
        <v>7</v>
      </c>
      <c r="N235" t="n">
        <v>0</v>
      </c>
      <c r="O235" t="inlineStr">
        <is>
          <t>格林美</t>
        </is>
      </c>
      <c r="P235" t="n">
        <v>0</v>
      </c>
      <c r="Q235" t="inlineStr">
        <is>
          <t>1.格林美(002340)-0分 | 2.江特电机(002176)-0分 | 3.超频三(300647)-0分</t>
        </is>
      </c>
    </row>
    <row r="236">
      <c r="A236" t="n">
        <v>235</v>
      </c>
      <c r="B236" t="inlineStr">
        <is>
          <t>4-暂时回避</t>
        </is>
      </c>
      <c r="C236" t="inlineStr">
        <is>
          <t>电池</t>
        </is>
      </c>
      <c r="D236" t="inlineStr">
        <is>
          <t>聚合物路线电池</t>
        </is>
      </c>
      <c r="E236" t="n">
        <v>1</v>
      </c>
      <c r="F236" t="n">
        <v>0</v>
      </c>
      <c r="G236" t="n">
        <v>0</v>
      </c>
      <c r="H236" t="n">
        <v>-1</v>
      </c>
      <c r="I236" t="n">
        <v>0</v>
      </c>
      <c r="J236" t="n">
        <v>0</v>
      </c>
      <c r="K236" t="n">
        <v>0</v>
      </c>
      <c r="L236" t="n">
        <v>0</v>
      </c>
      <c r="M236" t="n">
        <v>1</v>
      </c>
      <c r="N236" t="n">
        <v>0</v>
      </c>
      <c r="O236" t="inlineStr">
        <is>
          <t>当升科技</t>
        </is>
      </c>
      <c r="P236" t="n">
        <v>0</v>
      </c>
      <c r="Q236" t="inlineStr">
        <is>
          <t>1.当升科技(300073)-0分</t>
        </is>
      </c>
    </row>
    <row r="237">
      <c r="A237" t="n">
        <v>236</v>
      </c>
      <c r="B237" t="inlineStr">
        <is>
          <t>4-暂时回避</t>
        </is>
      </c>
      <c r="C237" t="inlineStr">
        <is>
          <t>算力金属</t>
        </is>
      </c>
      <c r="D237" t="inlineStr">
        <is>
          <t>锑</t>
        </is>
      </c>
      <c r="E237" t="n">
        <v>1</v>
      </c>
      <c r="F237" t="n">
        <v>0</v>
      </c>
      <c r="G237" t="n">
        <v>0</v>
      </c>
      <c r="H237" t="n">
        <v>1.5</v>
      </c>
      <c r="I237" t="n">
        <v>0</v>
      </c>
      <c r="J237" t="n">
        <v>0.01</v>
      </c>
      <c r="K237" t="n">
        <v>1</v>
      </c>
      <c r="L237" t="n">
        <v>0</v>
      </c>
      <c r="M237" t="n">
        <v>0</v>
      </c>
      <c r="N237" t="n">
        <v>0</v>
      </c>
      <c r="O237" t="inlineStr">
        <is>
          <t>兴业银锡</t>
        </is>
      </c>
      <c r="P237" t="n">
        <v>0</v>
      </c>
      <c r="Q237" t="inlineStr">
        <is>
          <t>1.兴业银锡(000426)-0分</t>
        </is>
      </c>
    </row>
    <row r="238">
      <c r="A238" t="n">
        <v>237</v>
      </c>
      <c r="B238" t="inlineStr">
        <is>
          <t>4-暂时回避</t>
        </is>
      </c>
      <c r="C238" t="inlineStr">
        <is>
          <t>电池</t>
        </is>
      </c>
      <c r="D238" t="inlineStr">
        <is>
          <t>三元前驱</t>
        </is>
      </c>
      <c r="E238" t="n">
        <v>3</v>
      </c>
      <c r="F238" t="n">
        <v>0</v>
      </c>
      <c r="G238" t="n">
        <v>0</v>
      </c>
      <c r="H238" t="n">
        <v>-1.61</v>
      </c>
      <c r="I238" t="n">
        <v>0</v>
      </c>
      <c r="J238" t="n">
        <v>0.01</v>
      </c>
      <c r="K238" t="n">
        <v>0</v>
      </c>
      <c r="L238" t="n">
        <v>0</v>
      </c>
      <c r="M238" t="n">
        <v>3</v>
      </c>
      <c r="N238" t="n">
        <v>0</v>
      </c>
      <c r="O238" t="inlineStr">
        <is>
          <t>中伟新材</t>
        </is>
      </c>
      <c r="P238" t="n">
        <v>0</v>
      </c>
      <c r="Q238" t="inlineStr">
        <is>
          <t>1.中伟新材(300919)-0分 | 2.格林美(002340)-0分 | 3.华友钴业(603799)-0分</t>
        </is>
      </c>
    </row>
    <row r="239">
      <c r="A239" t="n">
        <v>238</v>
      </c>
      <c r="B239" t="inlineStr">
        <is>
          <t>4-暂时回避</t>
        </is>
      </c>
      <c r="C239" t="inlineStr">
        <is>
          <t>电池</t>
        </is>
      </c>
      <c r="D239" t="inlineStr">
        <is>
          <t>硅碳负极</t>
        </is>
      </c>
      <c r="E239" t="n">
        <v>3</v>
      </c>
      <c r="F239" t="n">
        <v>0</v>
      </c>
      <c r="G239" t="n">
        <v>0</v>
      </c>
      <c r="H239" t="n">
        <v>0.37</v>
      </c>
      <c r="I239" t="n">
        <v>0</v>
      </c>
      <c r="J239" t="n">
        <v>0</v>
      </c>
      <c r="K239" t="n">
        <v>2</v>
      </c>
      <c r="L239" t="n">
        <v>0</v>
      </c>
      <c r="M239" t="n">
        <v>1</v>
      </c>
      <c r="N239" t="n">
        <v>0</v>
      </c>
      <c r="O239" t="inlineStr">
        <is>
          <t>翔丰华</t>
        </is>
      </c>
      <c r="P239" t="n">
        <v>0</v>
      </c>
      <c r="Q239" t="inlineStr">
        <is>
          <t>1.翔丰华(300890)-0分 | 2.杉杉股份(600884)-0分 | 3.硅宝科技(300019)-0分</t>
        </is>
      </c>
    </row>
    <row r="240">
      <c r="A240" t="n">
        <v>239</v>
      </c>
      <c r="B240" t="inlineStr">
        <is>
          <t>4-暂时回避</t>
        </is>
      </c>
      <c r="C240" t="inlineStr">
        <is>
          <t>电池</t>
        </is>
      </c>
      <c r="D240" t="inlineStr">
        <is>
          <t>整线设备</t>
        </is>
      </c>
      <c r="E240" t="n">
        <v>1</v>
      </c>
      <c r="F240" t="n">
        <v>0</v>
      </c>
      <c r="G240" t="n">
        <v>0</v>
      </c>
      <c r="H240" t="n">
        <v>-0.57</v>
      </c>
      <c r="I240" t="n">
        <v>0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inlineStr">
        <is>
          <t>璞泰来</t>
        </is>
      </c>
      <c r="P240" t="n">
        <v>0</v>
      </c>
      <c r="Q240" t="inlineStr">
        <is>
          <t>1.璞泰来(603659)-0分</t>
        </is>
      </c>
    </row>
    <row r="241">
      <c r="A241" t="n">
        <v>240</v>
      </c>
      <c r="B241" t="inlineStr">
        <is>
          <t>4-暂时回避</t>
        </is>
      </c>
      <c r="C241" t="inlineStr">
        <is>
          <t>电池</t>
        </is>
      </c>
      <c r="D241" t="inlineStr">
        <is>
          <t>硅胶膜</t>
        </is>
      </c>
      <c r="E241" t="n">
        <v>1</v>
      </c>
      <c r="F241" t="n">
        <v>0</v>
      </c>
      <c r="G241" t="n">
        <v>0</v>
      </c>
      <c r="H241" t="n">
        <v>-1.12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  <c r="O241" t="inlineStr">
        <is>
          <t>赛伍技术</t>
        </is>
      </c>
      <c r="P241" t="n">
        <v>0</v>
      </c>
      <c r="Q241" t="inlineStr">
        <is>
          <t>1.赛伍技术(603212)-0分</t>
        </is>
      </c>
    </row>
    <row r="242">
      <c r="A242" t="n">
        <v>241</v>
      </c>
      <c r="B242" t="inlineStr">
        <is>
          <t>4-暂时回避</t>
        </is>
      </c>
      <c r="C242" t="inlineStr">
        <is>
          <t>半导体</t>
        </is>
      </c>
      <c r="D242" t="inlineStr">
        <is>
          <t>合作</t>
        </is>
      </c>
      <c r="E242" t="n">
        <v>1</v>
      </c>
      <c r="F242" t="n">
        <v>0</v>
      </c>
      <c r="G242" t="n">
        <v>0</v>
      </c>
      <c r="H242" t="n">
        <v>-0.73</v>
      </c>
      <c r="I242" t="n">
        <v>0</v>
      </c>
      <c r="J242" t="n">
        <v>0</v>
      </c>
      <c r="K242" t="n">
        <v>0</v>
      </c>
      <c r="L242" t="n">
        <v>0</v>
      </c>
      <c r="M242" t="n">
        <v>1</v>
      </c>
      <c r="N242" t="n">
        <v>0</v>
      </c>
      <c r="O242" t="inlineStr">
        <is>
          <t>安孚科技</t>
        </is>
      </c>
      <c r="P242" t="n">
        <v>0</v>
      </c>
      <c r="Q242" t="inlineStr">
        <is>
          <t>1.安孚科技(603031)-0分</t>
        </is>
      </c>
    </row>
    <row r="243">
      <c r="A243" t="n">
        <v>242</v>
      </c>
      <c r="B243" t="inlineStr">
        <is>
          <t>4-暂时回避</t>
        </is>
      </c>
      <c r="C243" t="inlineStr">
        <is>
          <t>算力金属</t>
        </is>
      </c>
      <c r="D243" t="inlineStr">
        <is>
          <t>镓</t>
        </is>
      </c>
      <c r="E243" t="n">
        <v>3</v>
      </c>
      <c r="F243" t="n">
        <v>0</v>
      </c>
      <c r="G243" t="n">
        <v>0</v>
      </c>
      <c r="H243" t="n">
        <v>-2.94</v>
      </c>
      <c r="I243" t="n">
        <v>0</v>
      </c>
      <c r="J243" t="n">
        <v>0.02</v>
      </c>
      <c r="K243" t="n">
        <v>0</v>
      </c>
      <c r="L243" t="n">
        <v>0</v>
      </c>
      <c r="M243" t="n">
        <v>3</v>
      </c>
      <c r="N243" t="n">
        <v>0</v>
      </c>
      <c r="O243" t="inlineStr">
        <is>
          <t>永泰能源</t>
        </is>
      </c>
      <c r="P243" t="n">
        <v>0</v>
      </c>
      <c r="Q243" t="inlineStr">
        <is>
          <t>1.永泰能源(600157)-0分 | 2.山西焦煤(000983)-0分 | 3.盛达资源(000603)-0分</t>
        </is>
      </c>
    </row>
    <row r="244">
      <c r="A244" t="n">
        <v>243</v>
      </c>
      <c r="B244" t="inlineStr">
        <is>
          <t>4-暂时回避</t>
        </is>
      </c>
      <c r="C244" t="inlineStr">
        <is>
          <t>电池</t>
        </is>
      </c>
      <c r="D244" t="inlineStr">
        <is>
          <t>包覆材料</t>
        </is>
      </c>
      <c r="E244" t="n">
        <v>1</v>
      </c>
      <c r="F244" t="n">
        <v>0</v>
      </c>
      <c r="G244" t="n">
        <v>0</v>
      </c>
      <c r="H244" t="n">
        <v>-1.66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inlineStr">
        <is>
          <t>信德新材</t>
        </is>
      </c>
      <c r="P244" t="n">
        <v>0</v>
      </c>
      <c r="Q244" t="inlineStr">
        <is>
          <t>1.信德新材(301349)-0分</t>
        </is>
      </c>
    </row>
    <row r="245">
      <c r="A245" t="n">
        <v>244</v>
      </c>
      <c r="B245" t="inlineStr">
        <is>
          <t>4-暂时回避</t>
        </is>
      </c>
      <c r="C245" t="inlineStr">
        <is>
          <t>电池</t>
        </is>
      </c>
      <c r="D245" t="inlineStr">
        <is>
          <t>导电添加剂</t>
        </is>
      </c>
      <c r="E245" t="n">
        <v>1</v>
      </c>
      <c r="F245" t="n">
        <v>0</v>
      </c>
      <c r="G245" t="n">
        <v>0</v>
      </c>
      <c r="H245" t="n">
        <v>-5.75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inlineStr">
        <is>
          <t>黑猫股份</t>
        </is>
      </c>
      <c r="P245" t="n">
        <v>0</v>
      </c>
      <c r="Q245" t="inlineStr">
        <is>
          <t>1.黑猫股份(002068)-0分</t>
        </is>
      </c>
    </row>
    <row r="246">
      <c r="A246" t="n">
        <v>245</v>
      </c>
      <c r="B246" t="inlineStr">
        <is>
          <t>4-暂时回避</t>
        </is>
      </c>
      <c r="C246" t="inlineStr">
        <is>
          <t>电池</t>
        </is>
      </c>
      <c r="D246" t="inlineStr">
        <is>
          <t>超高分子量聚乙烯</t>
        </is>
      </c>
      <c r="E246" t="n">
        <v>3</v>
      </c>
      <c r="F246" t="n">
        <v>0</v>
      </c>
      <c r="G246" t="n">
        <v>0</v>
      </c>
      <c r="H246" t="n">
        <v>-0.82</v>
      </c>
      <c r="I246" t="n">
        <v>0</v>
      </c>
      <c r="J246" t="n">
        <v>0</v>
      </c>
      <c r="K246" t="n">
        <v>1</v>
      </c>
      <c r="L246" t="n">
        <v>0</v>
      </c>
      <c r="M246" t="n">
        <v>2</v>
      </c>
      <c r="N246" t="n">
        <v>0</v>
      </c>
      <c r="O246" t="inlineStr">
        <is>
          <t>东方盛虹</t>
        </is>
      </c>
      <c r="P246" t="n">
        <v>0</v>
      </c>
      <c r="Q246" t="inlineStr">
        <is>
          <t>1.东方盛虹(000301)-0分 | 2.云中马(603130)-0分 | 3.联泓新科(003022)-0分</t>
        </is>
      </c>
    </row>
    <row r="247">
      <c r="A247" t="n">
        <v>246</v>
      </c>
      <c r="B247" t="inlineStr">
        <is>
          <t>4-暂时回避</t>
        </is>
      </c>
      <c r="C247" t="inlineStr">
        <is>
          <t>商业航天</t>
        </is>
      </c>
      <c r="D247" t="inlineStr">
        <is>
          <t>航天科技</t>
        </is>
      </c>
      <c r="E247" t="n">
        <v>1</v>
      </c>
      <c r="F247" t="n">
        <v>0</v>
      </c>
      <c r="G247" t="n">
        <v>0</v>
      </c>
      <c r="H247" t="n">
        <v>-2.86</v>
      </c>
      <c r="I247" t="n">
        <v>0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  <c r="O247" t="inlineStr">
        <is>
          <t>中国卫通</t>
        </is>
      </c>
      <c r="P247" t="n">
        <v>0</v>
      </c>
      <c r="Q247" t="inlineStr">
        <is>
          <t>1.中国卫通(601698)-0分</t>
        </is>
      </c>
    </row>
    <row r="248">
      <c r="A248" t="n">
        <v>247</v>
      </c>
      <c r="B248" t="inlineStr">
        <is>
          <t>4-暂时回避</t>
        </is>
      </c>
      <c r="C248" t="inlineStr">
        <is>
          <t>商业航天</t>
        </is>
      </c>
      <c r="D248" t="inlineStr">
        <is>
          <t>运营</t>
        </is>
      </c>
      <c r="E248" t="n">
        <v>2</v>
      </c>
      <c r="F248" t="n">
        <v>0</v>
      </c>
      <c r="G248" t="n">
        <v>0</v>
      </c>
      <c r="H248" t="n">
        <v>-0.35</v>
      </c>
      <c r="I248" t="n">
        <v>0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inlineStr">
        <is>
          <t>三维通信</t>
        </is>
      </c>
      <c r="P248" t="n">
        <v>0</v>
      </c>
      <c r="Q248" t="inlineStr">
        <is>
          <t>1.三维通信(002115)-0分 | 2.华体科技(603679)-0分</t>
        </is>
      </c>
    </row>
    <row r="249">
      <c r="A249" t="n">
        <v>248</v>
      </c>
      <c r="B249" t="inlineStr">
        <is>
          <t>4-暂时回避</t>
        </is>
      </c>
      <c r="C249" t="inlineStr">
        <is>
          <t>商业航天</t>
        </is>
      </c>
      <c r="D249" t="inlineStr">
        <is>
          <t>蓝箭火箭</t>
        </is>
      </c>
      <c r="E249" t="n">
        <v>4</v>
      </c>
      <c r="F249" t="n">
        <v>0</v>
      </c>
      <c r="G249" t="n">
        <v>0</v>
      </c>
      <c r="H249" t="n">
        <v>-0.8100000000000001</v>
      </c>
      <c r="I249" t="n">
        <v>0</v>
      </c>
      <c r="J249" t="n">
        <v>0</v>
      </c>
      <c r="K249" t="n">
        <v>2</v>
      </c>
      <c r="L249" t="n">
        <v>0</v>
      </c>
      <c r="M249" t="n">
        <v>2</v>
      </c>
      <c r="N249" t="n">
        <v>0</v>
      </c>
      <c r="O249" t="inlineStr">
        <is>
          <t>诺瓦星云</t>
        </is>
      </c>
      <c r="P249" t="n">
        <v>0</v>
      </c>
      <c r="Q249" t="inlineStr">
        <is>
          <t>1.诺瓦星云(301589)-0分 | 2.鲁信创投(600783)-0分 | 3.张江高科(600895)-0分</t>
        </is>
      </c>
    </row>
    <row r="250">
      <c r="A250" t="n">
        <v>249</v>
      </c>
      <c r="B250" t="inlineStr">
        <is>
          <t>4-暂时回避</t>
        </is>
      </c>
      <c r="C250" t="inlineStr">
        <is>
          <t>商业航天</t>
        </is>
      </c>
      <c r="D250" t="inlineStr">
        <is>
          <t>燃料加注</t>
        </is>
      </c>
      <c r="E250" t="n">
        <v>2</v>
      </c>
      <c r="F250" t="n">
        <v>0</v>
      </c>
      <c r="G250" t="n">
        <v>0</v>
      </c>
      <c r="H250" t="n">
        <v>-2.43</v>
      </c>
      <c r="I250" t="n">
        <v>0</v>
      </c>
      <c r="J250" t="n">
        <v>0</v>
      </c>
      <c r="K250" t="n">
        <v>0</v>
      </c>
      <c r="L250" t="n">
        <v>0</v>
      </c>
      <c r="M250" t="n">
        <v>2</v>
      </c>
      <c r="N250" t="n">
        <v>0</v>
      </c>
      <c r="O250" t="inlineStr">
        <is>
          <t>航天晨光</t>
        </is>
      </c>
      <c r="P250" t="n">
        <v>0</v>
      </c>
      <c r="Q250" t="inlineStr">
        <is>
          <t>1.航天晨光(600501)-0分 | 2.富瑞特装(300228)-0分</t>
        </is>
      </c>
    </row>
    <row r="251">
      <c r="A251" t="n">
        <v>250</v>
      </c>
      <c r="B251" t="inlineStr">
        <is>
          <t>4-暂时回避</t>
        </is>
      </c>
      <c r="C251" t="inlineStr">
        <is>
          <t>商业航天</t>
        </is>
      </c>
      <c r="D251" t="inlineStr">
        <is>
          <t>测控系统</t>
        </is>
      </c>
      <c r="E251" t="n">
        <v>1</v>
      </c>
      <c r="F251" t="n">
        <v>0</v>
      </c>
      <c r="G251" t="n">
        <v>0</v>
      </c>
      <c r="H251" t="n">
        <v>1.87</v>
      </c>
      <c r="I251" t="n">
        <v>0</v>
      </c>
      <c r="J251" t="n">
        <v>0.13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中科星图</t>
        </is>
      </c>
      <c r="P251" t="n">
        <v>0</v>
      </c>
      <c r="Q251" t="inlineStr">
        <is>
          <t>1.中科星图(688568)-0分</t>
        </is>
      </c>
    </row>
    <row r="252">
      <c r="A252" t="n">
        <v>251</v>
      </c>
      <c r="B252" t="inlineStr">
        <is>
          <t>4-暂时回避</t>
        </is>
      </c>
      <c r="C252" t="inlineStr">
        <is>
          <t>商业航天</t>
        </is>
      </c>
      <c r="D252" t="inlineStr">
        <is>
          <t>通信终端</t>
        </is>
      </c>
      <c r="E252" t="n">
        <v>1</v>
      </c>
      <c r="F252" t="n">
        <v>0</v>
      </c>
      <c r="G252" t="n">
        <v>0</v>
      </c>
      <c r="H252" t="n">
        <v>-0.36</v>
      </c>
      <c r="I252" t="n">
        <v>0</v>
      </c>
      <c r="J252" t="n">
        <v>0.01</v>
      </c>
      <c r="K252" t="n">
        <v>0</v>
      </c>
      <c r="L252" t="n">
        <v>0</v>
      </c>
      <c r="M252" t="n">
        <v>1</v>
      </c>
      <c r="N252" t="n">
        <v>0</v>
      </c>
      <c r="O252" t="inlineStr">
        <is>
          <t>海格通信</t>
        </is>
      </c>
      <c r="P252" t="n">
        <v>0</v>
      </c>
      <c r="Q252" t="inlineStr">
        <is>
          <t>1.海格通信(002465)-0分</t>
        </is>
      </c>
    </row>
    <row r="253">
      <c r="A253" t="n">
        <v>252</v>
      </c>
      <c r="B253" t="inlineStr">
        <is>
          <t>4-暂时回避</t>
        </is>
      </c>
      <c r="C253" t="inlineStr">
        <is>
          <t>商业航天</t>
        </is>
      </c>
      <c r="D253" t="inlineStr">
        <is>
          <t>数管系统</t>
        </is>
      </c>
      <c r="E253" t="n">
        <v>1</v>
      </c>
      <c r="F253" t="n">
        <v>0</v>
      </c>
      <c r="G253" t="n">
        <v>0</v>
      </c>
      <c r="H253" t="n">
        <v>-2.08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inlineStr">
        <is>
          <t>佳缘科技</t>
        </is>
      </c>
      <c r="P253" t="n">
        <v>0</v>
      </c>
      <c r="Q253" t="inlineStr">
        <is>
          <t>1.佳缘科技(301117)-0分</t>
        </is>
      </c>
    </row>
    <row r="254">
      <c r="A254" t="n">
        <v>253</v>
      </c>
      <c r="B254" t="inlineStr">
        <is>
          <t>4-暂时回避</t>
        </is>
      </c>
      <c r="C254" t="inlineStr">
        <is>
          <t>商业航天</t>
        </is>
      </c>
      <c r="D254" t="inlineStr">
        <is>
          <t>推进剂</t>
        </is>
      </c>
      <c r="E254" t="n">
        <v>1</v>
      </c>
      <c r="F254" t="n">
        <v>0</v>
      </c>
      <c r="G254" t="n">
        <v>0</v>
      </c>
      <c r="H254" t="n">
        <v>-0.63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inlineStr">
        <is>
          <t>九丰能源</t>
        </is>
      </c>
      <c r="P254" t="n">
        <v>0</v>
      </c>
      <c r="Q254" t="inlineStr">
        <is>
          <t>1.九丰能源(605090)-0分</t>
        </is>
      </c>
    </row>
    <row r="255">
      <c r="A255" t="n">
        <v>254</v>
      </c>
      <c r="B255" t="inlineStr">
        <is>
          <t>4-暂时回避</t>
        </is>
      </c>
      <c r="C255" t="inlineStr">
        <is>
          <t>电池</t>
        </is>
      </c>
      <c r="D255" t="inlineStr">
        <is>
          <t>BOPA膜</t>
        </is>
      </c>
      <c r="E255" t="n">
        <v>1</v>
      </c>
      <c r="F255" t="n">
        <v>0</v>
      </c>
      <c r="G255" t="n">
        <v>0</v>
      </c>
      <c r="H255" t="n">
        <v>-1.41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inlineStr">
        <is>
          <t>英联股份</t>
        </is>
      </c>
      <c r="P255" t="n">
        <v>0</v>
      </c>
      <c r="Q255" t="inlineStr">
        <is>
          <t>1.英联股份(002846)-0分</t>
        </is>
      </c>
    </row>
    <row r="256">
      <c r="A256" t="n">
        <v>255</v>
      </c>
      <c r="B256" t="inlineStr">
        <is>
          <t>4-暂时回避</t>
        </is>
      </c>
      <c r="C256" t="inlineStr">
        <is>
          <t>商业航天</t>
        </is>
      </c>
      <c r="D256" t="inlineStr">
        <is>
          <t>测试</t>
        </is>
      </c>
      <c r="E256" t="n">
        <v>1</v>
      </c>
      <c r="F256" t="n">
        <v>0</v>
      </c>
      <c r="G256" t="n">
        <v>0</v>
      </c>
      <c r="H256" t="n">
        <v>0.31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inlineStr">
        <is>
          <t>航天智装</t>
        </is>
      </c>
      <c r="P256" t="n">
        <v>0</v>
      </c>
      <c r="Q256" t="inlineStr">
        <is>
          <t>1.航天智装(300455)-0分</t>
        </is>
      </c>
    </row>
    <row r="257">
      <c r="A257" t="n">
        <v>256</v>
      </c>
      <c r="B257" t="inlineStr">
        <is>
          <t>4-暂时回避</t>
        </is>
      </c>
      <c r="C257" t="inlineStr">
        <is>
          <t>半导体</t>
        </is>
      </c>
      <c r="D257" t="inlineStr">
        <is>
          <t>长光所</t>
        </is>
      </c>
      <c r="E257" t="n">
        <v>1</v>
      </c>
      <c r="F257" t="n">
        <v>0</v>
      </c>
      <c r="G257" t="n">
        <v>0</v>
      </c>
      <c r="H257" t="n">
        <v>-1.5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inlineStr">
        <is>
          <t>奥普光电</t>
        </is>
      </c>
      <c r="P257" t="n">
        <v>0</v>
      </c>
      <c r="Q257" t="inlineStr">
        <is>
          <t>1.奥普光电(002338)-0分</t>
        </is>
      </c>
    </row>
    <row r="258">
      <c r="A258" t="n">
        <v>257</v>
      </c>
      <c r="B258" t="inlineStr">
        <is>
          <t>4-暂时回避</t>
        </is>
      </c>
      <c r="C258" t="inlineStr">
        <is>
          <t>半导体</t>
        </is>
      </c>
      <c r="D258" t="inlineStr">
        <is>
          <t>上海微电子</t>
        </is>
      </c>
      <c r="E258" t="n">
        <v>7</v>
      </c>
      <c r="F258" t="n">
        <v>0</v>
      </c>
      <c r="G258" t="n">
        <v>0</v>
      </c>
      <c r="H258" t="n">
        <v>-0.76</v>
      </c>
      <c r="I258" t="n">
        <v>0</v>
      </c>
      <c r="J258" t="n">
        <v>0.02</v>
      </c>
      <c r="K258" t="n">
        <v>1</v>
      </c>
      <c r="L258" t="n">
        <v>0</v>
      </c>
      <c r="M258" t="n">
        <v>6</v>
      </c>
      <c r="N258" t="n">
        <v>0</v>
      </c>
      <c r="O258" t="inlineStr">
        <is>
          <t>电气风电</t>
        </is>
      </c>
      <c r="P258" t="n">
        <v>0</v>
      </c>
      <c r="Q258" t="inlineStr">
        <is>
          <t>1.电气风电(688660)-0分 | 2.东方明珠(600637)-0分 | 3.海立股份(600619)-0分</t>
        </is>
      </c>
    </row>
    <row r="259">
      <c r="A259" t="n">
        <v>258</v>
      </c>
      <c r="B259" t="inlineStr">
        <is>
          <t>4-暂时回避</t>
        </is>
      </c>
      <c r="C259" t="inlineStr">
        <is>
          <t>电池</t>
        </is>
      </c>
      <c r="D259" t="inlineStr">
        <is>
          <t>参股</t>
        </is>
      </c>
      <c r="E259" t="n">
        <v>1</v>
      </c>
      <c r="F259" t="n">
        <v>0</v>
      </c>
      <c r="G259" t="n">
        <v>0</v>
      </c>
      <c r="H259" t="n">
        <v>-1.8</v>
      </c>
      <c r="I259" t="n">
        <v>0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inlineStr">
        <is>
          <t>蓝海华腾</t>
        </is>
      </c>
      <c r="P259" t="n">
        <v>0</v>
      </c>
      <c r="Q259" t="inlineStr">
        <is>
          <t>1.蓝海华腾(300484)-0分</t>
        </is>
      </c>
    </row>
    <row r="260">
      <c r="A260" t="n">
        <v>259</v>
      </c>
      <c r="B260" t="inlineStr">
        <is>
          <t>4-暂时回避</t>
        </is>
      </c>
      <c r="C260" t="inlineStr">
        <is>
          <t>电池</t>
        </is>
      </c>
      <c r="D260" t="inlineStr">
        <is>
          <t>锂金属负极</t>
        </is>
      </c>
      <c r="E260" t="n">
        <v>1</v>
      </c>
      <c r="F260" t="n">
        <v>0</v>
      </c>
      <c r="G260" t="n">
        <v>0</v>
      </c>
      <c r="H260" t="n">
        <v>-3.32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inlineStr">
        <is>
          <t>天铁科技</t>
        </is>
      </c>
      <c r="P260" t="n">
        <v>0</v>
      </c>
      <c r="Q260" t="inlineStr">
        <is>
          <t>1.天铁科技(300587)-0分</t>
        </is>
      </c>
    </row>
    <row r="261">
      <c r="A261" t="n">
        <v>260</v>
      </c>
      <c r="B261" t="inlineStr">
        <is>
          <t>4-暂时回避</t>
        </is>
      </c>
      <c r="C261" t="inlineStr">
        <is>
          <t>电池</t>
        </is>
      </c>
      <c r="D261" t="inlineStr">
        <is>
          <t>其他隔膜</t>
        </is>
      </c>
      <c r="E261" t="n">
        <v>1</v>
      </c>
      <c r="F261" t="n">
        <v>0</v>
      </c>
      <c r="G261" t="n">
        <v>0</v>
      </c>
      <c r="H261" t="n">
        <v>3.16</v>
      </c>
      <c r="I261" t="n">
        <v>0</v>
      </c>
      <c r="J261" t="n">
        <v>0.12</v>
      </c>
      <c r="K261" t="n">
        <v>1</v>
      </c>
      <c r="L261" t="n">
        <v>0</v>
      </c>
      <c r="M261" t="n">
        <v>0</v>
      </c>
      <c r="N261" t="n">
        <v>0</v>
      </c>
      <c r="O261" t="inlineStr">
        <is>
          <t>长阳科技</t>
        </is>
      </c>
      <c r="P261" t="n">
        <v>0</v>
      </c>
      <c r="Q261" t="inlineStr">
        <is>
          <t>1.长阳科技(688299)-0分</t>
        </is>
      </c>
    </row>
    <row r="262">
      <c r="A262" t="n">
        <v>261</v>
      </c>
      <c r="B262" t="inlineStr">
        <is>
          <t>4-暂时回避</t>
        </is>
      </c>
      <c r="C262" t="inlineStr">
        <is>
          <t>电池</t>
        </is>
      </c>
      <c r="D262" t="inlineStr">
        <is>
          <t>包材</t>
        </is>
      </c>
      <c r="E262" t="n">
        <v>1</v>
      </c>
      <c r="F262" t="n">
        <v>0</v>
      </c>
      <c r="G262" t="n">
        <v>0</v>
      </c>
      <c r="H262" t="n">
        <v>-1.66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inlineStr">
        <is>
          <t>信德新材</t>
        </is>
      </c>
      <c r="P262" t="n">
        <v>0</v>
      </c>
      <c r="Q262" t="inlineStr">
        <is>
          <t>1.信德新材(301349)-0分</t>
        </is>
      </c>
    </row>
    <row r="263">
      <c r="A263" t="n">
        <v>262</v>
      </c>
      <c r="B263" t="inlineStr">
        <is>
          <t>4-暂时回避</t>
        </is>
      </c>
      <c r="C263" t="inlineStr">
        <is>
          <t>电池</t>
        </is>
      </c>
      <c r="D263" t="inlineStr">
        <is>
          <t>粘接剂</t>
        </is>
      </c>
      <c r="E263" t="n">
        <v>2</v>
      </c>
      <c r="F263" t="n">
        <v>0</v>
      </c>
      <c r="G263" t="n">
        <v>0</v>
      </c>
      <c r="H263" t="n">
        <v>1.23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0</v>
      </c>
      <c r="O263" t="inlineStr">
        <is>
          <t>鹿山新材</t>
        </is>
      </c>
      <c r="P263" t="n">
        <v>0</v>
      </c>
      <c r="Q263" t="inlineStr">
        <is>
          <t>1.鹿山新材(603051)-0分 | 2.回天新材(300041)-0分</t>
        </is>
      </c>
    </row>
    <row r="264">
      <c r="A264" t="n">
        <v>263</v>
      </c>
      <c r="B264" t="inlineStr">
        <is>
          <t>4-暂时回避</t>
        </is>
      </c>
      <c r="C264" t="inlineStr">
        <is>
          <t>电池</t>
        </is>
      </c>
      <c r="D264" t="inlineStr">
        <is>
          <t>聚合物电解质</t>
        </is>
      </c>
      <c r="E264" t="n">
        <v>1</v>
      </c>
      <c r="F264" t="n">
        <v>0</v>
      </c>
      <c r="G264" t="n">
        <v>0</v>
      </c>
      <c r="H264" t="n">
        <v>-0.8100000000000001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inlineStr">
        <is>
          <t>奥克股份</t>
        </is>
      </c>
      <c r="P264" t="n">
        <v>0</v>
      </c>
      <c r="Q264" t="inlineStr">
        <is>
          <t>1.奥克股份(300082)-0分</t>
        </is>
      </c>
    </row>
    <row r="265">
      <c r="A265" t="n">
        <v>264</v>
      </c>
      <c r="B265" t="inlineStr">
        <is>
          <t>4-暂时回避</t>
        </is>
      </c>
      <c r="C265" t="inlineStr">
        <is>
          <t>电池</t>
        </is>
      </c>
      <c r="D265" t="inlineStr">
        <is>
          <t>BOPA膜</t>
        </is>
      </c>
      <c r="E265" t="n">
        <v>1</v>
      </c>
      <c r="F265" t="n">
        <v>0</v>
      </c>
      <c r="G265" t="n">
        <v>0</v>
      </c>
      <c r="H265" t="n">
        <v>-2.72</v>
      </c>
      <c r="I265" t="n">
        <v>0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inlineStr">
        <is>
          <t>中仑新材</t>
        </is>
      </c>
      <c r="P265" t="n">
        <v>0</v>
      </c>
      <c r="Q265" t="inlineStr">
        <is>
          <t>1.中仑新材(301565)-0分</t>
        </is>
      </c>
    </row>
    <row r="266">
      <c r="A266" t="n">
        <v>265</v>
      </c>
      <c r="B266" t="inlineStr">
        <is>
          <t>4-暂时回避</t>
        </is>
      </c>
      <c r="C266" t="inlineStr">
        <is>
          <t>商业航天</t>
        </is>
      </c>
      <c r="D266" t="inlineStr">
        <is>
          <t>千帆星座</t>
        </is>
      </c>
      <c r="E266" t="n">
        <v>1</v>
      </c>
      <c r="F266" t="n">
        <v>0</v>
      </c>
      <c r="G266" t="n">
        <v>0</v>
      </c>
      <c r="H266" t="n">
        <v>2.71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inlineStr">
        <is>
          <t>陕西华达</t>
        </is>
      </c>
      <c r="P266" t="n">
        <v>0</v>
      </c>
      <c r="Q266" t="inlineStr">
        <is>
          <t>1.陕西华达(301517)-0分</t>
        </is>
      </c>
    </row>
    <row r="267">
      <c r="A267" t="n">
        <v>266</v>
      </c>
      <c r="B267" t="inlineStr">
        <is>
          <t>4-暂时回避</t>
        </is>
      </c>
      <c r="C267" t="inlineStr">
        <is>
          <t>商业航天</t>
        </is>
      </c>
      <c r="D267" t="inlineStr">
        <is>
          <t>数管系统</t>
        </is>
      </c>
      <c r="E267" t="n">
        <v>1</v>
      </c>
      <c r="F267" t="n">
        <v>0</v>
      </c>
      <c r="G267" t="n">
        <v>0</v>
      </c>
      <c r="H267" t="n">
        <v>0.35</v>
      </c>
      <c r="I267" t="n">
        <v>0</v>
      </c>
      <c r="J267" t="n">
        <v>0.01</v>
      </c>
      <c r="K267" t="n">
        <v>1</v>
      </c>
      <c r="L267" t="n">
        <v>0</v>
      </c>
      <c r="M267" t="n">
        <v>0</v>
      </c>
      <c r="N267" t="n">
        <v>0</v>
      </c>
      <c r="O267" t="inlineStr">
        <is>
          <t>航天电子</t>
        </is>
      </c>
      <c r="P267" t="n">
        <v>0</v>
      </c>
      <c r="Q267" t="inlineStr">
        <is>
          <t>1.航天电子(600879)-0分</t>
        </is>
      </c>
    </row>
    <row r="268">
      <c r="A268" t="n">
        <v>267</v>
      </c>
      <c r="B268" t="inlineStr">
        <is>
          <t>4-暂时回避</t>
        </is>
      </c>
      <c r="C268" t="inlineStr">
        <is>
          <t>商业航天</t>
        </is>
      </c>
      <c r="D268" t="inlineStr">
        <is>
          <t>运营</t>
        </is>
      </c>
      <c r="E268" t="n">
        <v>1</v>
      </c>
      <c r="F268" t="n">
        <v>0</v>
      </c>
      <c r="G268" t="n">
        <v>0</v>
      </c>
      <c r="H268" t="n">
        <v>0.71</v>
      </c>
      <c r="I268" t="n">
        <v>0</v>
      </c>
      <c r="J268" t="n">
        <v>0.09</v>
      </c>
      <c r="K268" t="n">
        <v>1</v>
      </c>
      <c r="L268" t="n">
        <v>0</v>
      </c>
      <c r="M268" t="n">
        <v>0</v>
      </c>
      <c r="N268" t="n">
        <v>0</v>
      </c>
      <c r="O268" t="inlineStr">
        <is>
          <t>航天宏图</t>
        </is>
      </c>
      <c r="P268" t="n">
        <v>0</v>
      </c>
      <c r="Q268" t="inlineStr">
        <is>
          <t>1.航天宏图(688066)-0分</t>
        </is>
      </c>
    </row>
    <row r="269">
      <c r="A269" t="n">
        <v>268</v>
      </c>
      <c r="B269" t="inlineStr">
        <is>
          <t>4-暂时回避</t>
        </is>
      </c>
      <c r="C269" t="inlineStr">
        <is>
          <t>电池</t>
        </is>
      </c>
      <c r="D269" t="inlineStr">
        <is>
          <t>硫化物</t>
        </is>
      </c>
      <c r="E269" t="n">
        <v>1</v>
      </c>
      <c r="F269" t="n">
        <v>0</v>
      </c>
      <c r="G269" t="n">
        <v>0</v>
      </c>
      <c r="H269" t="n">
        <v>2.08</v>
      </c>
      <c r="I269" t="n">
        <v>0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泰和科技</t>
        </is>
      </c>
      <c r="P269" t="n">
        <v>0</v>
      </c>
      <c r="Q269" t="inlineStr">
        <is>
          <t>1.泰和科技(300801)-0分</t>
        </is>
      </c>
    </row>
    <row r="270">
      <c r="A270" t="n">
        <v>269</v>
      </c>
      <c r="B270" t="inlineStr">
        <is>
          <t>4-暂时回避</t>
        </is>
      </c>
      <c r="C270" t="inlineStr">
        <is>
          <t>商业航天</t>
        </is>
      </c>
      <c r="D270" t="inlineStr">
        <is>
          <t>遥感载荷</t>
        </is>
      </c>
      <c r="E270" t="n">
        <v>1</v>
      </c>
      <c r="F270" t="n">
        <v>0</v>
      </c>
      <c r="G270" t="n">
        <v>0</v>
      </c>
      <c r="H270" t="n">
        <v>-0.77</v>
      </c>
      <c r="I270" t="n">
        <v>0</v>
      </c>
      <c r="J270" t="n">
        <v>0</v>
      </c>
      <c r="K270" t="n">
        <v>0</v>
      </c>
      <c r="L270" t="n">
        <v>0</v>
      </c>
      <c r="M270" t="n">
        <v>1</v>
      </c>
      <c r="N270" t="n">
        <v>0</v>
      </c>
      <c r="O270" t="inlineStr">
        <is>
          <t>雷科防务</t>
        </is>
      </c>
      <c r="P270" t="n">
        <v>0</v>
      </c>
      <c r="Q270" t="inlineStr">
        <is>
          <t>1.雷科防务(002413)-0分</t>
        </is>
      </c>
    </row>
    <row r="271">
      <c r="A271" t="n">
        <v>270</v>
      </c>
      <c r="B271" t="inlineStr">
        <is>
          <t>4-暂时回避</t>
        </is>
      </c>
      <c r="C271" t="inlineStr">
        <is>
          <t>电池</t>
        </is>
      </c>
      <c r="D271" t="inlineStr">
        <is>
          <t>等静压设备</t>
        </is>
      </c>
      <c r="E271" t="n">
        <v>1</v>
      </c>
      <c r="F271" t="n">
        <v>0</v>
      </c>
      <c r="G271" t="n">
        <v>0</v>
      </c>
      <c r="H271" t="n">
        <v>-1.33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inlineStr">
        <is>
          <t>华自科技</t>
        </is>
      </c>
      <c r="P271" t="n">
        <v>0</v>
      </c>
      <c r="Q271" t="inlineStr">
        <is>
          <t>1.华自科技(300490)-0分</t>
        </is>
      </c>
    </row>
    <row r="272">
      <c r="A272" t="n">
        <v>271</v>
      </c>
      <c r="B272" t="inlineStr">
        <is>
          <t>4-暂时回避</t>
        </is>
      </c>
      <c r="C272" t="inlineStr">
        <is>
          <t>电池</t>
        </is>
      </c>
      <c r="D272" t="inlineStr">
        <is>
          <t>车企合作</t>
        </is>
      </c>
      <c r="E272" t="n">
        <v>1</v>
      </c>
      <c r="F272" t="n">
        <v>0</v>
      </c>
      <c r="G272" t="n">
        <v>0</v>
      </c>
      <c r="H272" t="n">
        <v>-2.4</v>
      </c>
      <c r="I272" t="n">
        <v>0</v>
      </c>
      <c r="J272" t="n">
        <v>0.12</v>
      </c>
      <c r="K272" t="n">
        <v>0</v>
      </c>
      <c r="L272" t="n">
        <v>0</v>
      </c>
      <c r="M272" t="n">
        <v>1</v>
      </c>
      <c r="N272" t="n">
        <v>0</v>
      </c>
      <c r="O272" t="inlineStr">
        <is>
          <t>孚能科技</t>
        </is>
      </c>
      <c r="P272" t="n">
        <v>0</v>
      </c>
      <c r="Q272" t="inlineStr">
        <is>
          <t>1.孚能科技(688567)-0分</t>
        </is>
      </c>
    </row>
    <row r="273">
      <c r="A273" t="n">
        <v>272</v>
      </c>
      <c r="B273" t="inlineStr">
        <is>
          <t>4-暂时回避</t>
        </is>
      </c>
      <c r="C273" t="inlineStr">
        <is>
          <t>半导体</t>
        </is>
      </c>
      <c r="D273" t="inlineStr">
        <is>
          <t>车企布局</t>
        </is>
      </c>
      <c r="E273" t="n">
        <v>4</v>
      </c>
      <c r="F273" t="n">
        <v>0</v>
      </c>
      <c r="G273" t="n">
        <v>0</v>
      </c>
      <c r="H273" t="n">
        <v>-2.52</v>
      </c>
      <c r="I273" t="n">
        <v>0</v>
      </c>
      <c r="J273" t="n">
        <v>0.01</v>
      </c>
      <c r="K273" t="n">
        <v>0</v>
      </c>
      <c r="L273" t="n">
        <v>0</v>
      </c>
      <c r="M273" t="n">
        <v>4</v>
      </c>
      <c r="N273" t="n">
        <v>0</v>
      </c>
      <c r="O273" t="inlineStr">
        <is>
          <t>比亚迪</t>
        </is>
      </c>
      <c r="P273" t="n">
        <v>0</v>
      </c>
      <c r="Q273" t="inlineStr">
        <is>
          <t>1.比亚迪(002594)-0分 | 2.上汽集团(600104)-0分 | 3.江淮汽车(600418)-0分</t>
        </is>
      </c>
    </row>
    <row r="274">
      <c r="A274" t="n">
        <v>273</v>
      </c>
      <c r="B274" t="inlineStr">
        <is>
          <t>4-暂时回避</t>
        </is>
      </c>
      <c r="C274" t="inlineStr">
        <is>
          <t>电池</t>
        </is>
      </c>
      <c r="D274" t="inlineStr">
        <is>
          <t>碳纳米管</t>
        </is>
      </c>
      <c r="E274" t="n">
        <v>1</v>
      </c>
      <c r="F274" t="n">
        <v>0</v>
      </c>
      <c r="G274" t="n">
        <v>0</v>
      </c>
      <c r="H274" t="n">
        <v>-0.63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inlineStr">
        <is>
          <t>道氏技术</t>
        </is>
      </c>
      <c r="P274" t="n">
        <v>0</v>
      </c>
      <c r="Q274" t="inlineStr">
        <is>
          <t>1.道氏技术(300409)-0分</t>
        </is>
      </c>
    </row>
    <row r="275">
      <c r="A275" t="n">
        <v>274</v>
      </c>
      <c r="B275" t="inlineStr">
        <is>
          <t>4-暂时回避</t>
        </is>
      </c>
      <c r="C275" t="inlineStr">
        <is>
          <t>电池</t>
        </is>
      </c>
      <c r="D275" t="inlineStr">
        <is>
          <t>硫化物路线电池</t>
        </is>
      </c>
      <c r="E275" t="n">
        <v>2</v>
      </c>
      <c r="F275" t="n">
        <v>0</v>
      </c>
      <c r="G275" t="n">
        <v>0</v>
      </c>
      <c r="H275" t="n">
        <v>-0.84</v>
      </c>
      <c r="I275" t="n">
        <v>0</v>
      </c>
      <c r="J275" t="n">
        <v>0</v>
      </c>
      <c r="K275" t="n">
        <v>0</v>
      </c>
      <c r="L275" t="n">
        <v>0</v>
      </c>
      <c r="M275" t="n">
        <v>2</v>
      </c>
      <c r="N275" t="n">
        <v>0</v>
      </c>
      <c r="O275" t="inlineStr">
        <is>
          <t>宁德时代</t>
        </is>
      </c>
      <c r="P275" t="n">
        <v>0</v>
      </c>
      <c r="Q275" t="inlineStr">
        <is>
          <t>1.宁德时代(300750)-0分 | 2.国轩高科(002074)-0分</t>
        </is>
      </c>
    </row>
    <row r="276">
      <c r="A276" t="n">
        <v>275</v>
      </c>
      <c r="B276" t="inlineStr">
        <is>
          <t>4-暂时回避</t>
        </is>
      </c>
      <c r="C276" t="inlineStr">
        <is>
          <t>电池</t>
        </is>
      </c>
      <c r="D276" t="inlineStr">
        <is>
          <t>硫化锂</t>
        </is>
      </c>
      <c r="E276" t="n">
        <v>1</v>
      </c>
      <c r="F276" t="n">
        <v>0</v>
      </c>
      <c r="G276" t="n">
        <v>0</v>
      </c>
      <c r="H276" t="n">
        <v>-2.72</v>
      </c>
      <c r="I276" t="n">
        <v>0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inlineStr">
        <is>
          <t>天际股份</t>
        </is>
      </c>
      <c r="P276" t="n">
        <v>0</v>
      </c>
      <c r="Q276" t="inlineStr">
        <is>
          <t>1.天际股份(002759)-0分</t>
        </is>
      </c>
    </row>
    <row r="277">
      <c r="A277" t="n">
        <v>276</v>
      </c>
      <c r="B277" t="inlineStr">
        <is>
          <t>4-暂时回避</t>
        </is>
      </c>
      <c r="C277" t="inlineStr">
        <is>
          <t>电池</t>
        </is>
      </c>
      <c r="D277" t="inlineStr">
        <is>
          <t>聚合物路线电池</t>
        </is>
      </c>
      <c r="E277" t="n">
        <v>1</v>
      </c>
      <c r="F277" t="n">
        <v>0</v>
      </c>
      <c r="G277" t="n">
        <v>0</v>
      </c>
      <c r="H277" t="n">
        <v>-0.18</v>
      </c>
      <c r="I277" t="n">
        <v>0</v>
      </c>
      <c r="J277" t="n">
        <v>0.01</v>
      </c>
      <c r="K277" t="n">
        <v>0</v>
      </c>
      <c r="L277" t="n">
        <v>0</v>
      </c>
      <c r="M277" t="n">
        <v>1</v>
      </c>
      <c r="N277" t="n">
        <v>0</v>
      </c>
      <c r="O277" t="inlineStr">
        <is>
          <t>赣锋锂业</t>
        </is>
      </c>
      <c r="P277" t="n">
        <v>0</v>
      </c>
      <c r="Q277" t="inlineStr">
        <is>
          <t>1.赣锋锂业(002460)-0分</t>
        </is>
      </c>
    </row>
    <row r="278">
      <c r="A278" t="n">
        <v>277</v>
      </c>
      <c r="B278" t="inlineStr">
        <is>
          <t>4-暂时回避</t>
        </is>
      </c>
      <c r="C278" t="inlineStr">
        <is>
          <t>电池</t>
        </is>
      </c>
      <c r="D278" t="inlineStr">
        <is>
          <t>碳纳米管</t>
        </is>
      </c>
      <c r="E278" t="n">
        <v>2</v>
      </c>
      <c r="F278" t="n">
        <v>0</v>
      </c>
      <c r="G278" t="n">
        <v>0</v>
      </c>
      <c r="H278" t="n">
        <v>0.96</v>
      </c>
      <c r="I278" t="n">
        <v>0</v>
      </c>
      <c r="J278" t="n">
        <v>0.06</v>
      </c>
      <c r="K278" t="n">
        <v>1</v>
      </c>
      <c r="L278" t="n">
        <v>0</v>
      </c>
      <c r="M278" t="n">
        <v>1</v>
      </c>
      <c r="N278" t="n">
        <v>0</v>
      </c>
      <c r="O278" t="inlineStr">
        <is>
          <t>天奈科技</t>
        </is>
      </c>
      <c r="P278" t="n">
        <v>0</v>
      </c>
      <c r="Q278" t="inlineStr">
        <is>
          <t>1.天奈科技(688116)-0分 | 2.捷邦科技(301326)-0分</t>
        </is>
      </c>
    </row>
    <row r="279">
      <c r="A279" t="n">
        <v>278</v>
      </c>
      <c r="B279" t="inlineStr">
        <is>
          <t>4-暂时回避</t>
        </is>
      </c>
      <c r="C279" t="inlineStr">
        <is>
          <t>算力金属</t>
        </is>
      </c>
      <c r="D279" t="inlineStr">
        <is>
          <t>锑</t>
        </is>
      </c>
      <c r="E279" t="n">
        <v>1</v>
      </c>
      <c r="F279" t="n">
        <v>0</v>
      </c>
      <c r="G279" t="n">
        <v>0</v>
      </c>
      <c r="H279" t="n">
        <v>-1.19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inlineStr">
        <is>
          <t>华锡有色</t>
        </is>
      </c>
      <c r="P279" t="n">
        <v>0</v>
      </c>
      <c r="Q279" t="inlineStr">
        <is>
          <t>1.华锡有色(600301)-0分</t>
        </is>
      </c>
    </row>
    <row r="280">
      <c r="A280" t="n">
        <v>279</v>
      </c>
      <c r="B280" t="inlineStr">
        <is>
          <t>4-暂时回避</t>
        </is>
      </c>
      <c r="C280" t="inlineStr">
        <is>
          <t>电池</t>
        </is>
      </c>
      <c r="D280" t="inlineStr">
        <is>
          <t>负极材料</t>
        </is>
      </c>
      <c r="E280" t="n">
        <v>5</v>
      </c>
      <c r="F280" t="n">
        <v>0</v>
      </c>
      <c r="G280" t="n">
        <v>0</v>
      </c>
      <c r="H280" t="n">
        <v>-0.87</v>
      </c>
      <c r="I280" t="n">
        <v>0</v>
      </c>
      <c r="J280" t="n">
        <v>0</v>
      </c>
      <c r="K280" t="n">
        <v>1</v>
      </c>
      <c r="L280" t="n">
        <v>0</v>
      </c>
      <c r="M280" t="n">
        <v>4</v>
      </c>
      <c r="N280" t="n">
        <v>0</v>
      </c>
      <c r="O280" t="inlineStr">
        <is>
          <t>翔丰华</t>
        </is>
      </c>
      <c r="P280" t="n">
        <v>0</v>
      </c>
      <c r="Q280" t="inlineStr">
        <is>
          <t>1.翔丰华(300890)-0分 | 2.杉杉股份(600884)-0分 | 3.璞泰来(603659)-0分</t>
        </is>
      </c>
    </row>
    <row r="281">
      <c r="A281" t="n">
        <v>280</v>
      </c>
      <c r="B281" t="inlineStr">
        <is>
          <t>4-暂时回避</t>
        </is>
      </c>
      <c r="C281" t="inlineStr">
        <is>
          <t>人形机器人</t>
        </is>
      </c>
      <c r="D281" t="inlineStr">
        <is>
          <t>总成</t>
        </is>
      </c>
      <c r="E281" t="n">
        <v>4</v>
      </c>
      <c r="F281" t="n">
        <v>0</v>
      </c>
      <c r="G281" t="n">
        <v>0</v>
      </c>
      <c r="H281" t="n">
        <v>-1.15</v>
      </c>
      <c r="I281" t="n">
        <v>0</v>
      </c>
      <c r="J281" t="n">
        <v>0.04</v>
      </c>
      <c r="K281" t="n">
        <v>0</v>
      </c>
      <c r="L281" t="n">
        <v>0</v>
      </c>
      <c r="M281" t="n">
        <v>4</v>
      </c>
      <c r="N281" t="n">
        <v>0</v>
      </c>
      <c r="O281" t="inlineStr">
        <is>
          <t>拓普集团</t>
        </is>
      </c>
      <c r="P281" t="n">
        <v>0</v>
      </c>
      <c r="Q281" t="inlineStr">
        <is>
          <t>1.拓普集团(601689)-0分 | 2.美湖股份(603319)-0分 | 3.三花智控(002050)-0分</t>
        </is>
      </c>
    </row>
    <row r="282">
      <c r="A282" t="n">
        <v>281</v>
      </c>
      <c r="B282" t="inlineStr">
        <is>
          <t>4-暂时回避</t>
        </is>
      </c>
      <c r="C282" t="inlineStr">
        <is>
          <t>PCB</t>
        </is>
      </c>
      <c r="D282" t="inlineStr">
        <is>
          <t>改性聚苯醚</t>
        </is>
      </c>
      <c r="E282" t="n">
        <v>1</v>
      </c>
      <c r="F282" t="n">
        <v>0</v>
      </c>
      <c r="G282" t="n">
        <v>0</v>
      </c>
      <c r="H282" t="n">
        <v>2.37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inlineStr">
        <is>
          <t>沃特股份</t>
        </is>
      </c>
      <c r="P282" t="n">
        <v>0</v>
      </c>
      <c r="Q282" t="inlineStr">
        <is>
          <t>1.沃特股份(002886)-0分</t>
        </is>
      </c>
    </row>
    <row r="283">
      <c r="A283" t="n">
        <v>282</v>
      </c>
      <c r="B283" t="inlineStr">
        <is>
          <t>4-暂时回避</t>
        </is>
      </c>
      <c r="C283" t="inlineStr">
        <is>
          <t>电池</t>
        </is>
      </c>
      <c r="D283" t="inlineStr">
        <is>
          <t>三乙胺</t>
        </is>
      </c>
      <c r="E283" t="n">
        <v>2</v>
      </c>
      <c r="F283" t="n">
        <v>0</v>
      </c>
      <c r="G283" t="n">
        <v>0</v>
      </c>
      <c r="H283" t="n">
        <v>-1.68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0</v>
      </c>
      <c r="O283" t="inlineStr">
        <is>
          <t>建业股份</t>
        </is>
      </c>
      <c r="P283" t="n">
        <v>0</v>
      </c>
      <c r="Q283" t="inlineStr">
        <is>
          <t>1.建业股份(603948)-0分 | 2.新化股份(603867)-0分</t>
        </is>
      </c>
    </row>
    <row r="284">
      <c r="A284" t="n">
        <v>283</v>
      </c>
      <c r="B284" t="inlineStr">
        <is>
          <t>4-暂时回避</t>
        </is>
      </c>
      <c r="C284" t="inlineStr">
        <is>
          <t>商业航天</t>
        </is>
      </c>
      <c r="D284" t="inlineStr">
        <is>
          <t>千帆星座</t>
        </is>
      </c>
      <c r="E284" t="n">
        <v>1</v>
      </c>
      <c r="F284" t="n">
        <v>0</v>
      </c>
      <c r="G284" t="n">
        <v>0</v>
      </c>
      <c r="H284" t="n">
        <v>-0.51</v>
      </c>
      <c r="I284" t="n">
        <v>0</v>
      </c>
      <c r="J284" t="n">
        <v>0</v>
      </c>
      <c r="K284" t="n">
        <v>0</v>
      </c>
      <c r="L284" t="n">
        <v>0</v>
      </c>
      <c r="M284" t="n">
        <v>1</v>
      </c>
      <c r="N284" t="n">
        <v>0</v>
      </c>
      <c r="O284" t="inlineStr">
        <is>
          <t>天银机电</t>
        </is>
      </c>
      <c r="P284" t="n">
        <v>0</v>
      </c>
      <c r="Q284" t="inlineStr">
        <is>
          <t>1.天银机电(300342)-0分</t>
        </is>
      </c>
    </row>
    <row r="285">
      <c r="A285" t="n">
        <v>284</v>
      </c>
      <c r="B285" t="inlineStr">
        <is>
          <t>4-暂时回避</t>
        </is>
      </c>
      <c r="C285" t="inlineStr">
        <is>
          <t>商业航天</t>
        </is>
      </c>
      <c r="D285" t="inlineStr">
        <is>
          <t>控制系统</t>
        </is>
      </c>
      <c r="E285" t="n">
        <v>1</v>
      </c>
      <c r="F285" t="n">
        <v>0</v>
      </c>
      <c r="G285" t="n">
        <v>0</v>
      </c>
      <c r="H285" t="n">
        <v>2.84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0</v>
      </c>
      <c r="O285" t="inlineStr">
        <is>
          <t>航宇微</t>
        </is>
      </c>
      <c r="P285" t="n">
        <v>0</v>
      </c>
      <c r="Q285" t="inlineStr">
        <is>
          <t>1.航宇微(300053)-0分</t>
        </is>
      </c>
    </row>
    <row r="286">
      <c r="A286" t="n">
        <v>285</v>
      </c>
      <c r="B286" t="inlineStr">
        <is>
          <t>4-暂时回避</t>
        </is>
      </c>
      <c r="C286" t="inlineStr">
        <is>
          <t>半导体</t>
        </is>
      </c>
      <c r="D286" t="inlineStr">
        <is>
          <t>MLU</t>
        </is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0.13</v>
      </c>
      <c r="K286" t="n">
        <v>1</v>
      </c>
      <c r="L286" t="n">
        <v>0</v>
      </c>
      <c r="M286" t="n">
        <v>0</v>
      </c>
      <c r="N286" t="n">
        <v>0</v>
      </c>
      <c r="O286" t="inlineStr">
        <is>
          <t>寒武纪</t>
        </is>
      </c>
      <c r="P286" t="n">
        <v>0</v>
      </c>
      <c r="Q286" t="inlineStr">
        <is>
          <t>1.寒武纪(688256)-0分</t>
        </is>
      </c>
    </row>
    <row r="287">
      <c r="A287" t="n">
        <v>286</v>
      </c>
      <c r="B287" t="inlineStr">
        <is>
          <t>4-暂时回避</t>
        </is>
      </c>
      <c r="C287" t="inlineStr">
        <is>
          <t>半导体</t>
        </is>
      </c>
      <c r="D287" t="inlineStr">
        <is>
          <t>DPU</t>
        </is>
      </c>
      <c r="E287" t="n">
        <v>1</v>
      </c>
      <c r="F287" t="n">
        <v>0</v>
      </c>
      <c r="G287" t="n">
        <v>0</v>
      </c>
      <c r="H287" t="n">
        <v>-0.95</v>
      </c>
      <c r="I287" t="n">
        <v>0</v>
      </c>
      <c r="J287" t="n">
        <v>0.02</v>
      </c>
      <c r="K287" t="n">
        <v>0</v>
      </c>
      <c r="L287" t="n">
        <v>0</v>
      </c>
      <c r="M287" t="n">
        <v>1</v>
      </c>
      <c r="N287" t="n">
        <v>0</v>
      </c>
      <c r="O287" t="inlineStr">
        <is>
          <t>中兴通讯</t>
        </is>
      </c>
      <c r="P287" t="n">
        <v>0</v>
      </c>
      <c r="Q287" t="inlineStr">
        <is>
          <t>1.中兴通讯(000063)-0分</t>
        </is>
      </c>
    </row>
    <row r="288">
      <c r="A288" t="n">
        <v>287</v>
      </c>
      <c r="B288" t="inlineStr">
        <is>
          <t>4-暂时回避</t>
        </is>
      </c>
      <c r="C288" t="inlineStr">
        <is>
          <t>半导体</t>
        </is>
      </c>
      <c r="D288" t="inlineStr">
        <is>
          <t>CPU股权</t>
        </is>
      </c>
      <c r="E288" t="n">
        <v>4</v>
      </c>
      <c r="F288" t="n">
        <v>0</v>
      </c>
      <c r="G288" t="n">
        <v>0</v>
      </c>
      <c r="H288" t="n">
        <v>1.55</v>
      </c>
      <c r="I288" t="n">
        <v>0</v>
      </c>
      <c r="J288" t="n">
        <v>0</v>
      </c>
      <c r="K288" t="n">
        <v>3</v>
      </c>
      <c r="L288" t="n">
        <v>0</v>
      </c>
      <c r="M288" t="n">
        <v>1</v>
      </c>
      <c r="N288" t="n">
        <v>0</v>
      </c>
      <c r="O288" t="inlineStr">
        <is>
          <t>中文传媒</t>
        </is>
      </c>
      <c r="P288" t="n">
        <v>0</v>
      </c>
      <c r="Q288" t="inlineStr">
        <is>
          <t>1.中文传媒(600373)-0分 | 2.综艺股份(600770)-0分 | 3.禾盛新材(002290)-0分</t>
        </is>
      </c>
    </row>
    <row r="289">
      <c r="A289" t="n">
        <v>288</v>
      </c>
      <c r="B289" t="inlineStr">
        <is>
          <t>4-暂时回避</t>
        </is>
      </c>
      <c r="C289" t="inlineStr">
        <is>
          <t>人形机器人</t>
        </is>
      </c>
      <c r="D289" t="inlineStr">
        <is>
          <t>千帆星座</t>
        </is>
      </c>
      <c r="E289" t="n">
        <v>1</v>
      </c>
      <c r="F289" t="n">
        <v>0</v>
      </c>
      <c r="G289" t="n">
        <v>0</v>
      </c>
      <c r="H289" t="n">
        <v>-2.25</v>
      </c>
      <c r="I289" t="n">
        <v>0</v>
      </c>
      <c r="J289" t="n">
        <v>0</v>
      </c>
      <c r="K289" t="n">
        <v>0</v>
      </c>
      <c r="L289" t="n">
        <v>0</v>
      </c>
      <c r="M289" t="n">
        <v>1</v>
      </c>
      <c r="N289" t="n">
        <v>0</v>
      </c>
      <c r="O289" t="inlineStr">
        <is>
          <t>星网宇达</t>
        </is>
      </c>
      <c r="P289" t="n">
        <v>0</v>
      </c>
      <c r="Q289" t="inlineStr">
        <is>
          <t>1.星网宇达(002829)-0分</t>
        </is>
      </c>
    </row>
    <row r="290">
      <c r="A290" t="n">
        <v>289</v>
      </c>
      <c r="B290" t="inlineStr">
        <is>
          <t>4-暂时回避</t>
        </is>
      </c>
      <c r="C290" t="inlineStr">
        <is>
          <t>半导体</t>
        </is>
      </c>
      <c r="D290" t="inlineStr">
        <is>
          <t>其他</t>
        </is>
      </c>
      <c r="E290" t="n">
        <v>1</v>
      </c>
      <c r="F290" t="n">
        <v>0</v>
      </c>
      <c r="G290" t="n">
        <v>0</v>
      </c>
      <c r="H290" t="n">
        <v>0.23</v>
      </c>
      <c r="I290" t="n">
        <v>0</v>
      </c>
      <c r="J290" t="n">
        <v>0.17</v>
      </c>
      <c r="K290" t="n">
        <v>1</v>
      </c>
      <c r="L290" t="n">
        <v>0</v>
      </c>
      <c r="M290" t="n">
        <v>0</v>
      </c>
      <c r="N290" t="n">
        <v>0</v>
      </c>
      <c r="O290" t="inlineStr">
        <is>
          <t>奥特维</t>
        </is>
      </c>
      <c r="P290" t="n">
        <v>0</v>
      </c>
      <c r="Q290" t="inlineStr">
        <is>
          <t>1.奥特维(688516)-0分</t>
        </is>
      </c>
    </row>
    <row r="291">
      <c r="A291" t="n">
        <v>290</v>
      </c>
      <c r="B291" t="inlineStr">
        <is>
          <t>4-暂时回避</t>
        </is>
      </c>
      <c r="C291" t="inlineStr">
        <is>
          <t>商业航天</t>
        </is>
      </c>
      <c r="D291" t="inlineStr">
        <is>
          <t>垣信卫星</t>
        </is>
      </c>
      <c r="E291" t="n">
        <v>1</v>
      </c>
      <c r="F291" t="n">
        <v>0</v>
      </c>
      <c r="G291" t="n">
        <v>0</v>
      </c>
      <c r="H291" t="n">
        <v>-1.86</v>
      </c>
      <c r="I291" t="n">
        <v>0</v>
      </c>
      <c r="J291" t="n">
        <v>0</v>
      </c>
      <c r="K291" t="n">
        <v>0</v>
      </c>
      <c r="L291" t="n">
        <v>0</v>
      </c>
      <c r="M291" t="n">
        <v>1</v>
      </c>
      <c r="N291" t="n">
        <v>0</v>
      </c>
      <c r="O291" t="inlineStr">
        <is>
          <t>银河电子</t>
        </is>
      </c>
      <c r="P291" t="n">
        <v>0</v>
      </c>
      <c r="Q291" t="inlineStr">
        <is>
          <t>1.银河电子(002519)-0分</t>
        </is>
      </c>
    </row>
    <row r="292">
      <c r="A292" t="n">
        <v>291</v>
      </c>
      <c r="B292" t="inlineStr">
        <is>
          <t>4-暂时回避</t>
        </is>
      </c>
      <c r="C292" t="inlineStr">
        <is>
          <t>人形机器人</t>
        </is>
      </c>
      <c r="D292" t="inlineStr">
        <is>
          <t>千帆星座</t>
        </is>
      </c>
      <c r="E292" t="n">
        <v>1</v>
      </c>
      <c r="F292" t="n">
        <v>0</v>
      </c>
      <c r="G292" t="n">
        <v>0</v>
      </c>
      <c r="H292" t="n">
        <v>-24.46</v>
      </c>
      <c r="I292" t="n">
        <v>0</v>
      </c>
      <c r="J292" t="n">
        <v>0</v>
      </c>
      <c r="K292" t="n">
        <v>0</v>
      </c>
      <c r="L292" t="n">
        <v>0</v>
      </c>
      <c r="M292" t="n">
        <v>1</v>
      </c>
      <c r="N292" t="n">
        <v>0</v>
      </c>
      <c r="O292" t="inlineStr">
        <is>
          <t>隆盛科技</t>
        </is>
      </c>
      <c r="P292" t="n">
        <v>0</v>
      </c>
      <c r="Q292" t="inlineStr">
        <is>
          <t>1.隆盛科技(300680)-0分</t>
        </is>
      </c>
    </row>
    <row r="293">
      <c r="A293" t="n">
        <v>292</v>
      </c>
      <c r="B293" t="inlineStr">
        <is>
          <t>4-暂时回避</t>
        </is>
      </c>
      <c r="C293" t="inlineStr">
        <is>
          <t>商业航天</t>
        </is>
      </c>
      <c r="D293" t="inlineStr">
        <is>
          <t>卫星组装制造</t>
        </is>
      </c>
      <c r="E293" t="n">
        <v>2</v>
      </c>
      <c r="F293" t="n">
        <v>0</v>
      </c>
      <c r="G293" t="n">
        <v>0</v>
      </c>
      <c r="H293" t="n">
        <v>0.3</v>
      </c>
      <c r="I293" t="n">
        <v>0</v>
      </c>
      <c r="J293" t="n">
        <v>0</v>
      </c>
      <c r="K293" t="n">
        <v>1</v>
      </c>
      <c r="L293" t="n">
        <v>0</v>
      </c>
      <c r="M293" t="n">
        <v>1</v>
      </c>
      <c r="N293" t="n">
        <v>0</v>
      </c>
      <c r="O293" t="inlineStr">
        <is>
          <t>中国卫星</t>
        </is>
      </c>
      <c r="P293" t="n">
        <v>0</v>
      </c>
      <c r="Q293" t="inlineStr">
        <is>
          <t>1.中国卫星(600118)-0分 | 2.上海沪工(603131)-0分</t>
        </is>
      </c>
    </row>
    <row r="294">
      <c r="A294" t="n">
        <v>293</v>
      </c>
      <c r="B294" t="inlineStr">
        <is>
          <t>4-暂时回避</t>
        </is>
      </c>
      <c r="C294" t="inlineStr">
        <is>
          <t>半导体</t>
        </is>
      </c>
      <c r="D294" t="inlineStr">
        <is>
          <t>垣信卫星</t>
        </is>
      </c>
      <c r="E294" t="n">
        <v>3</v>
      </c>
      <c r="F294" t="n">
        <v>0</v>
      </c>
      <c r="G294" t="n">
        <v>0</v>
      </c>
      <c r="H294" t="n">
        <v>-1.38</v>
      </c>
      <c r="I294" t="n">
        <v>0</v>
      </c>
      <c r="J294" t="n">
        <v>0.02</v>
      </c>
      <c r="K294" t="n">
        <v>0</v>
      </c>
      <c r="L294" t="n">
        <v>0</v>
      </c>
      <c r="M294" t="n">
        <v>3</v>
      </c>
      <c r="N294" t="n">
        <v>0</v>
      </c>
      <c r="O294" t="inlineStr">
        <is>
          <t>东方明珠</t>
        </is>
      </c>
      <c r="P294" t="n">
        <v>0</v>
      </c>
      <c r="Q294" t="inlineStr">
        <is>
          <t>1.东方明珠(600637)-0分 | 2.中国电信(601728)-0分 | 3.亚信安全(688225)-0分</t>
        </is>
      </c>
    </row>
    <row r="295">
      <c r="A295" t="n">
        <v>294</v>
      </c>
      <c r="B295" t="inlineStr">
        <is>
          <t>4-暂时回避</t>
        </is>
      </c>
      <c r="C295" t="inlineStr">
        <is>
          <t>商业航天</t>
        </is>
      </c>
      <c r="D295" t="inlineStr">
        <is>
          <t>信关站</t>
        </is>
      </c>
      <c r="E295" t="n">
        <v>1</v>
      </c>
      <c r="F295" t="n">
        <v>0</v>
      </c>
      <c r="G295" t="n">
        <v>0</v>
      </c>
      <c r="H295" t="n">
        <v>1.08</v>
      </c>
      <c r="I295" t="n">
        <v>0</v>
      </c>
      <c r="J295" t="n">
        <v>0.06</v>
      </c>
      <c r="K295" t="n">
        <v>1</v>
      </c>
      <c r="L295" t="n">
        <v>0</v>
      </c>
      <c r="M295" t="n">
        <v>0</v>
      </c>
      <c r="N295" t="n">
        <v>0</v>
      </c>
      <c r="O295" t="inlineStr">
        <is>
          <t>航天环宇</t>
        </is>
      </c>
      <c r="P295" t="n">
        <v>0</v>
      </c>
      <c r="Q295" t="inlineStr">
        <is>
          <t>1.航天环宇(688523)-0分</t>
        </is>
      </c>
    </row>
    <row r="296">
      <c r="A296" t="n">
        <v>295</v>
      </c>
      <c r="B296" t="inlineStr">
        <is>
          <t>4-暂时回避</t>
        </is>
      </c>
      <c r="C296" t="inlineStr">
        <is>
          <t>人形机器人</t>
        </is>
      </c>
      <c r="D296" t="inlineStr">
        <is>
          <t>丝杠</t>
        </is>
      </c>
      <c r="E296" t="n">
        <v>8</v>
      </c>
      <c r="F296" t="n">
        <v>0</v>
      </c>
      <c r="G296" t="n">
        <v>0</v>
      </c>
      <c r="H296" t="n">
        <v>-1.15</v>
      </c>
      <c r="I296" t="n">
        <v>0</v>
      </c>
      <c r="J296" t="n">
        <v>0</v>
      </c>
      <c r="K296" t="n">
        <v>3</v>
      </c>
      <c r="L296" t="n">
        <v>0</v>
      </c>
      <c r="M296" t="n">
        <v>5</v>
      </c>
      <c r="N296" t="n">
        <v>0</v>
      </c>
      <c r="O296" t="inlineStr">
        <is>
          <t>南京化纤</t>
        </is>
      </c>
      <c r="P296" t="n">
        <v>0</v>
      </c>
      <c r="Q296" t="inlineStr">
        <is>
          <t>1.南京化纤(600889)-0分 | 2.震裕科技(300953)-0分 | 3.恒立液压(601100)-0分</t>
        </is>
      </c>
    </row>
    <row r="297">
      <c r="A297" t="n">
        <v>296</v>
      </c>
      <c r="B297" t="inlineStr">
        <is>
          <t>4-暂时回避</t>
        </is>
      </c>
      <c r="C297" t="inlineStr">
        <is>
          <t>PCB</t>
        </is>
      </c>
      <c r="D297" t="inlineStr">
        <is>
          <t>改性PPO</t>
        </is>
      </c>
      <c r="E297" t="n">
        <v>1</v>
      </c>
      <c r="F297" t="n">
        <v>0</v>
      </c>
      <c r="G297" t="n">
        <v>0</v>
      </c>
      <c r="H297" t="n">
        <v>0.84</v>
      </c>
      <c r="I297" t="n">
        <v>0</v>
      </c>
      <c r="J297" t="n">
        <v>0</v>
      </c>
      <c r="K297" t="n">
        <v>1</v>
      </c>
      <c r="L297" t="n">
        <v>0</v>
      </c>
      <c r="M297" t="n">
        <v>0</v>
      </c>
      <c r="N297" t="n">
        <v>0</v>
      </c>
      <c r="O297" t="inlineStr">
        <is>
          <t>普利特</t>
        </is>
      </c>
      <c r="P297" t="n">
        <v>0</v>
      </c>
      <c r="Q297" t="inlineStr">
        <is>
          <t>1.普利特(002324)-0分</t>
        </is>
      </c>
    </row>
    <row r="298">
      <c r="A298" t="n">
        <v>297</v>
      </c>
      <c r="B298" t="inlineStr">
        <is>
          <t>4-暂时回避</t>
        </is>
      </c>
      <c r="C298" t="inlineStr">
        <is>
          <t>AI电力出海</t>
        </is>
      </c>
      <c r="D298" t="inlineStr">
        <is>
          <t>储能</t>
        </is>
      </c>
      <c r="E298" t="n">
        <v>8</v>
      </c>
      <c r="F298" t="n">
        <v>0</v>
      </c>
      <c r="G298" t="n">
        <v>0</v>
      </c>
      <c r="H298" t="n">
        <v>-0.72</v>
      </c>
      <c r="I298" t="n">
        <v>0</v>
      </c>
      <c r="J298" t="n">
        <v>0.13</v>
      </c>
      <c r="K298" t="n">
        <v>2</v>
      </c>
      <c r="L298" t="n">
        <v>0</v>
      </c>
      <c r="M298" t="n">
        <v>6</v>
      </c>
      <c r="N298" t="n">
        <v>0</v>
      </c>
      <c r="O298" t="inlineStr">
        <is>
          <t>正泰电源</t>
        </is>
      </c>
      <c r="P298" t="n">
        <v>0</v>
      </c>
      <c r="Q298" t="inlineStr">
        <is>
          <t>1.正泰电源(002150)-0分 | 2.科陆电子(002121)-0分 | 3.西典新能(603312)-0分</t>
        </is>
      </c>
    </row>
    <row r="299">
      <c r="A299" t="n">
        <v>298</v>
      </c>
      <c r="B299" t="inlineStr">
        <is>
          <t>4-暂时回避</t>
        </is>
      </c>
      <c r="C299" t="inlineStr">
        <is>
          <t>半导体</t>
        </is>
      </c>
      <c r="D299" t="inlineStr">
        <is>
          <t>TGV玻璃基板清洗设备</t>
        </is>
      </c>
      <c r="E299" t="n">
        <v>1</v>
      </c>
      <c r="F299" t="n">
        <v>0</v>
      </c>
      <c r="G299" t="n">
        <v>0</v>
      </c>
      <c r="H299" t="n">
        <v>0.5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inlineStr">
        <is>
          <t>捷佳伟创</t>
        </is>
      </c>
      <c r="P299" t="n">
        <v>0</v>
      </c>
      <c r="Q299" t="inlineStr">
        <is>
          <t>1.捷佳伟创(300724)-0分</t>
        </is>
      </c>
    </row>
    <row r="300">
      <c r="A300" t="n">
        <v>299</v>
      </c>
      <c r="B300" t="inlineStr">
        <is>
          <t>4-暂时回避</t>
        </is>
      </c>
      <c r="C300" t="inlineStr">
        <is>
          <t>半导体</t>
        </is>
      </c>
      <c r="D300" t="inlineStr">
        <is>
          <t>TGV加工能力</t>
        </is>
      </c>
      <c r="E300" t="n">
        <v>1</v>
      </c>
      <c r="F300" t="n">
        <v>0</v>
      </c>
      <c r="G300" t="n">
        <v>0</v>
      </c>
      <c r="H300" t="n">
        <v>3.53</v>
      </c>
      <c r="I300" t="n">
        <v>0</v>
      </c>
      <c r="J300" t="n">
        <v>0</v>
      </c>
      <c r="K300" t="n">
        <v>1</v>
      </c>
      <c r="L300" t="n">
        <v>0</v>
      </c>
      <c r="M300" t="n">
        <v>0</v>
      </c>
      <c r="N300" t="n">
        <v>0</v>
      </c>
      <c r="O300" t="inlineStr">
        <is>
          <t>五方光电</t>
        </is>
      </c>
      <c r="P300" t="n">
        <v>0</v>
      </c>
      <c r="Q300" t="inlineStr">
        <is>
          <t>1.五方光电(002962)-0分</t>
        </is>
      </c>
    </row>
    <row r="301">
      <c r="A301" t="n">
        <v>300</v>
      </c>
      <c r="B301" t="inlineStr">
        <is>
          <t>4-暂时回避</t>
        </is>
      </c>
      <c r="C301" t="inlineStr">
        <is>
          <t>AI电力出海</t>
        </is>
      </c>
      <c r="D301" t="inlineStr">
        <is>
          <t>其他</t>
        </is>
      </c>
      <c r="E301" t="n">
        <v>1</v>
      </c>
      <c r="F301" t="n">
        <v>0</v>
      </c>
      <c r="G301" t="n">
        <v>0</v>
      </c>
      <c r="H301" t="n">
        <v>-0.9399999999999999</v>
      </c>
      <c r="I301" t="n">
        <v>0</v>
      </c>
      <c r="J301" t="n">
        <v>0</v>
      </c>
      <c r="K301" t="n">
        <v>0</v>
      </c>
      <c r="L301" t="n">
        <v>0</v>
      </c>
      <c r="M301" t="n">
        <v>1</v>
      </c>
      <c r="N301" t="n">
        <v>0</v>
      </c>
      <c r="O301" t="inlineStr">
        <is>
          <t>神马电力</t>
        </is>
      </c>
      <c r="P301" t="n">
        <v>0</v>
      </c>
      <c r="Q301" t="inlineStr">
        <is>
          <t>1.神马电力(603530)-0分</t>
        </is>
      </c>
    </row>
    <row r="302">
      <c r="A302" t="n">
        <v>301</v>
      </c>
      <c r="B302" t="inlineStr">
        <is>
          <t>4-暂时回避</t>
        </is>
      </c>
      <c r="C302" t="inlineStr">
        <is>
          <t>光通信/CPO</t>
        </is>
      </c>
      <c r="D302" t="inlineStr">
        <is>
          <t>设备</t>
        </is>
      </c>
      <c r="E302" t="n">
        <v>1</v>
      </c>
      <c r="F302" t="n">
        <v>0</v>
      </c>
      <c r="G302" t="n">
        <v>0</v>
      </c>
      <c r="H302" t="n">
        <v>1.57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inlineStr">
        <is>
          <t>罗博特科</t>
        </is>
      </c>
      <c r="P302" t="n">
        <v>0</v>
      </c>
      <c r="Q302" t="inlineStr">
        <is>
          <t>1.罗博特科(300757)-0分</t>
        </is>
      </c>
    </row>
    <row r="303">
      <c r="A303" t="n">
        <v>302</v>
      </c>
      <c r="B303" t="inlineStr">
        <is>
          <t>4-暂时回避</t>
        </is>
      </c>
      <c r="C303" t="inlineStr">
        <is>
          <t>PCB</t>
        </is>
      </c>
      <c r="D303" t="inlineStr">
        <is>
          <t>PPE</t>
        </is>
      </c>
      <c r="E303" t="n">
        <v>1</v>
      </c>
      <c r="F303" t="n">
        <v>0</v>
      </c>
      <c r="G303" t="n">
        <v>0</v>
      </c>
      <c r="H303" t="n">
        <v>-2.06</v>
      </c>
      <c r="I303" t="n">
        <v>0</v>
      </c>
      <c r="J303" t="n">
        <v>0</v>
      </c>
      <c r="K303" t="n">
        <v>0</v>
      </c>
      <c r="L303" t="n">
        <v>0</v>
      </c>
      <c r="M303" t="n">
        <v>1</v>
      </c>
      <c r="N303" t="n">
        <v>0</v>
      </c>
      <c r="O303" t="inlineStr">
        <is>
          <t>金发科技</t>
        </is>
      </c>
      <c r="P303" t="n">
        <v>0</v>
      </c>
      <c r="Q303" t="inlineStr">
        <is>
          <t>1.金发科技(600143)-0分</t>
        </is>
      </c>
    </row>
    <row r="304">
      <c r="A304" t="n">
        <v>303</v>
      </c>
      <c r="B304" t="inlineStr">
        <is>
          <t>4-暂时回避</t>
        </is>
      </c>
      <c r="C304" t="inlineStr">
        <is>
          <t>光通信/CPO</t>
        </is>
      </c>
      <c r="D304" t="inlineStr">
        <is>
          <t>LPO</t>
        </is>
      </c>
      <c r="E304" t="n">
        <v>1</v>
      </c>
      <c r="F304" t="n">
        <v>0</v>
      </c>
      <c r="G304" t="n">
        <v>0</v>
      </c>
      <c r="H304" t="n">
        <v>1.62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inlineStr">
        <is>
          <t>新易盛</t>
        </is>
      </c>
      <c r="P304" t="n">
        <v>0</v>
      </c>
      <c r="Q304" t="inlineStr">
        <is>
          <t>1.新易盛(300502)-0分</t>
        </is>
      </c>
    </row>
    <row r="305">
      <c r="A305" t="n">
        <v>304</v>
      </c>
      <c r="B305" t="inlineStr">
        <is>
          <t>4-暂时回避</t>
        </is>
      </c>
      <c r="C305" t="inlineStr">
        <is>
          <t>人形机器人</t>
        </is>
      </c>
      <c r="D305" t="inlineStr">
        <is>
          <t>轴承</t>
        </is>
      </c>
      <c r="E305" t="n">
        <v>4</v>
      </c>
      <c r="F305" t="n">
        <v>0</v>
      </c>
      <c r="G305" t="n">
        <v>0</v>
      </c>
      <c r="H305" t="n">
        <v>-2.77</v>
      </c>
      <c r="I305" t="n">
        <v>0</v>
      </c>
      <c r="J305" t="n">
        <v>0</v>
      </c>
      <c r="K305" t="n">
        <v>0</v>
      </c>
      <c r="L305" t="n">
        <v>0</v>
      </c>
      <c r="M305" t="n">
        <v>4</v>
      </c>
      <c r="N305" t="n">
        <v>0</v>
      </c>
      <c r="O305" t="inlineStr">
        <is>
          <t>南方精工</t>
        </is>
      </c>
      <c r="P305" t="n">
        <v>0</v>
      </c>
      <c r="Q305" t="inlineStr">
        <is>
          <t>1.南方精工(002553)-0分 | 2.长盛轴承(300718)-0分 | 3.力星股份(300421)-0分</t>
        </is>
      </c>
    </row>
    <row r="306">
      <c r="A306" t="n">
        <v>305</v>
      </c>
      <c r="B306" t="inlineStr">
        <is>
          <t>4-暂时回避</t>
        </is>
      </c>
      <c r="C306" t="inlineStr">
        <is>
          <t>光通信/CPO</t>
        </is>
      </c>
      <c r="D306" t="inlineStr">
        <is>
          <t>光引擎</t>
        </is>
      </c>
      <c r="E306" t="n">
        <v>1</v>
      </c>
      <c r="F306" t="n">
        <v>0</v>
      </c>
      <c r="G306" t="n">
        <v>0</v>
      </c>
      <c r="H306" t="n">
        <v>1.42</v>
      </c>
      <c r="I306" t="n">
        <v>0</v>
      </c>
      <c r="J306" t="n">
        <v>0</v>
      </c>
      <c r="K306" t="n">
        <v>1</v>
      </c>
      <c r="L306" t="n">
        <v>0</v>
      </c>
      <c r="M306" t="n">
        <v>0</v>
      </c>
      <c r="N306" t="n">
        <v>0</v>
      </c>
      <c r="O306" t="inlineStr">
        <is>
          <t>天孚通信</t>
        </is>
      </c>
      <c r="P306" t="n">
        <v>0</v>
      </c>
      <c r="Q306" t="inlineStr">
        <is>
          <t>1.天孚通信(300394)-0分</t>
        </is>
      </c>
    </row>
    <row r="307">
      <c r="A307" t="n">
        <v>306</v>
      </c>
      <c r="B307" t="inlineStr">
        <is>
          <t>4-暂时回避</t>
        </is>
      </c>
      <c r="C307" t="inlineStr">
        <is>
          <t>算力金属</t>
        </is>
      </c>
      <c r="D307" t="inlineStr">
        <is>
          <t>铜</t>
        </is>
      </c>
      <c r="E307" t="n">
        <v>1</v>
      </c>
      <c r="F307" t="n">
        <v>0</v>
      </c>
      <c r="G307" t="n">
        <v>0</v>
      </c>
      <c r="H307" t="n">
        <v>0.46</v>
      </c>
      <c r="I307" t="n">
        <v>0</v>
      </c>
      <c r="J307" t="n">
        <v>0.02</v>
      </c>
      <c r="K307" t="n">
        <v>1</v>
      </c>
      <c r="L307" t="n">
        <v>0</v>
      </c>
      <c r="M307" t="n">
        <v>0</v>
      </c>
      <c r="N307" t="n">
        <v>0</v>
      </c>
      <c r="O307" t="inlineStr">
        <is>
          <t>紫金矿业</t>
        </is>
      </c>
      <c r="P307" t="n">
        <v>0</v>
      </c>
      <c r="Q307" t="inlineStr">
        <is>
          <t>1.紫金矿业(601899)-0分</t>
        </is>
      </c>
    </row>
    <row r="308">
      <c r="A308" t="n">
        <v>307</v>
      </c>
      <c r="B308" t="inlineStr">
        <is>
          <t>4-暂时回避</t>
        </is>
      </c>
      <c r="C308" t="inlineStr">
        <is>
          <t>算力金属</t>
        </is>
      </c>
      <c r="D308" t="inlineStr">
        <is>
          <t>锑</t>
        </is>
      </c>
      <c r="E308" t="n">
        <v>1</v>
      </c>
      <c r="F308" t="n">
        <v>0</v>
      </c>
      <c r="G308" t="n">
        <v>0</v>
      </c>
      <c r="H308" t="n">
        <v>-0.38</v>
      </c>
      <c r="I308" t="n">
        <v>0</v>
      </c>
      <c r="J308" t="n">
        <v>0.01</v>
      </c>
      <c r="K308" t="n">
        <v>0</v>
      </c>
      <c r="L308" t="n">
        <v>0</v>
      </c>
      <c r="M308" t="n">
        <v>1</v>
      </c>
      <c r="N308" t="n">
        <v>0</v>
      </c>
      <c r="O308" t="inlineStr">
        <is>
          <t>湖南黄金</t>
        </is>
      </c>
      <c r="P308" t="n">
        <v>0</v>
      </c>
      <c r="Q308" t="inlineStr">
        <is>
          <t>1.湖南黄金(002155)-0分</t>
        </is>
      </c>
    </row>
    <row r="309">
      <c r="A309" t="n">
        <v>308</v>
      </c>
      <c r="B309" t="inlineStr">
        <is>
          <t>4-暂时回避</t>
        </is>
      </c>
      <c r="C309" t="inlineStr">
        <is>
          <t>算力金属</t>
        </is>
      </c>
      <c r="D309" t="inlineStr">
        <is>
          <t>铜</t>
        </is>
      </c>
      <c r="E309" t="n">
        <v>1</v>
      </c>
      <c r="F309" t="n">
        <v>0</v>
      </c>
      <c r="G309" t="n">
        <v>0</v>
      </c>
      <c r="H309" t="n">
        <v>-0.62</v>
      </c>
      <c r="I309" t="n">
        <v>0</v>
      </c>
      <c r="J309" t="n">
        <v>0.02</v>
      </c>
      <c r="K309" t="n">
        <v>0</v>
      </c>
      <c r="L309" t="n">
        <v>0</v>
      </c>
      <c r="M309" t="n">
        <v>1</v>
      </c>
      <c r="N309" t="n">
        <v>0</v>
      </c>
      <c r="O309" t="inlineStr">
        <is>
          <t>中金岭南</t>
        </is>
      </c>
      <c r="P309" t="n">
        <v>0</v>
      </c>
      <c r="Q309" t="inlineStr">
        <is>
          <t>1.中金岭南(000060)-0分</t>
        </is>
      </c>
    </row>
    <row r="310">
      <c r="A310" t="n">
        <v>309</v>
      </c>
      <c r="B310" t="inlineStr">
        <is>
          <t>4-暂时回避</t>
        </is>
      </c>
      <c r="C310" t="inlineStr">
        <is>
          <t>电池</t>
        </is>
      </c>
      <c r="D310" t="inlineStr">
        <is>
          <t>镓</t>
        </is>
      </c>
      <c r="E310" t="n">
        <v>1</v>
      </c>
      <c r="F310" t="n">
        <v>0</v>
      </c>
      <c r="G310" t="n">
        <v>0</v>
      </c>
      <c r="H310" t="n">
        <v>0.68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inlineStr">
        <is>
          <t>中矿资源</t>
        </is>
      </c>
      <c r="P310" t="n">
        <v>0</v>
      </c>
      <c r="Q310" t="inlineStr">
        <is>
          <t>1.中矿资源(002738)-0分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排名</t>
        </is>
      </c>
      <c r="B1" s="5" t="inlineStr">
        <is>
          <t>代码</t>
        </is>
      </c>
      <c r="C1" s="5" t="inlineStr">
        <is>
          <t>名称</t>
        </is>
      </c>
      <c r="D1" s="5" t="inlineStr">
        <is>
          <t>所属概念</t>
        </is>
      </c>
      <c r="E1" s="5" t="inlineStr">
        <is>
          <t>总得分</t>
        </is>
      </c>
      <c r="F1" s="5" t="inlineStr">
        <is>
          <t>TOP综合分</t>
        </is>
      </c>
      <c r="G1" s="5" t="inlineStr">
        <is>
          <t>涨跌幅%</t>
        </is>
      </c>
      <c r="H1" s="5" t="inlineStr">
        <is>
          <t>成交额亿</t>
        </is>
      </c>
      <c r="I1" s="5" t="inlineStr">
        <is>
          <t>D1新高</t>
        </is>
      </c>
      <c r="J1" s="5" t="inlineStr">
        <is>
          <t>D2强势</t>
        </is>
      </c>
      <c r="K1" s="5" t="inlineStr">
        <is>
          <t>D3突破</t>
        </is>
      </c>
      <c r="L1" s="5" t="inlineStr">
        <is>
          <t>D4首板</t>
        </is>
      </c>
      <c r="M1" s="5" t="inlineStr">
        <is>
          <t>D5潜突</t>
        </is>
      </c>
      <c r="N1" s="5" t="inlineStr">
        <is>
          <t>D6连板</t>
        </is>
      </c>
      <c r="O1" s="5" t="inlineStr">
        <is>
          <t>D7一字</t>
        </is>
      </c>
      <c r="P1" s="5" t="inlineStr">
        <is>
          <t>D8活跃</t>
        </is>
      </c>
      <c r="Q1" s="5" t="inlineStr">
        <is>
          <t>大成交额加分</t>
        </is>
      </c>
    </row>
    <row r="2">
      <c r="A2" s="6" t="n">
        <v>1</v>
      </c>
      <c r="B2" s="6" t="inlineStr">
        <is>
          <t>601636</t>
        </is>
      </c>
      <c r="C2" s="6" t="inlineStr">
        <is>
          <t>旗滨集团</t>
        </is>
      </c>
      <c r="D2" s="6" t="inlineStr">
        <is>
          <t>芯片封装测试</t>
        </is>
      </c>
      <c r="E2" s="6" t="n">
        <v>31</v>
      </c>
      <c r="F2" s="6" t="n">
        <v>21</v>
      </c>
      <c r="G2" s="6" t="n">
        <v>10.03</v>
      </c>
      <c r="H2" s="6" t="n">
        <v>0.01</v>
      </c>
      <c r="I2" s="6" t="n">
        <v>8</v>
      </c>
      <c r="J2" s="6" t="n">
        <v>6</v>
      </c>
      <c r="K2" s="6" t="n">
        <v>5</v>
      </c>
      <c r="L2" s="6" t="n">
        <v>3</v>
      </c>
      <c r="M2" s="6" t="n">
        <v>0</v>
      </c>
      <c r="N2" s="6" t="n">
        <v>5</v>
      </c>
      <c r="O2" s="6" t="n">
        <v>0</v>
      </c>
      <c r="P2" s="6" t="n">
        <v>3</v>
      </c>
      <c r="Q2" s="6" t="n">
        <v>0</v>
      </c>
    </row>
    <row r="3">
      <c r="A3" s="7" t="n">
        <v>2</v>
      </c>
      <c r="B3" s="7" t="inlineStr">
        <is>
          <t>600110</t>
        </is>
      </c>
      <c r="C3" s="7" t="inlineStr">
        <is>
          <t>诺德股份</t>
        </is>
      </c>
      <c r="D3" s="7" t="inlineStr">
        <is>
          <t>铜箔</t>
        </is>
      </c>
      <c r="E3" s="7" t="n">
        <v>31</v>
      </c>
      <c r="F3" s="7" t="n">
        <v>21</v>
      </c>
      <c r="G3" s="7" t="n">
        <v>-9.02</v>
      </c>
      <c r="H3" s="7" t="n">
        <v>0.32</v>
      </c>
      <c r="I3" s="7" t="n">
        <v>8</v>
      </c>
      <c r="J3" s="7" t="n">
        <v>6</v>
      </c>
      <c r="K3" s="7" t="n">
        <v>5</v>
      </c>
      <c r="L3" s="7" t="n">
        <v>3</v>
      </c>
      <c r="M3" s="7" t="n">
        <v>0</v>
      </c>
      <c r="N3" s="7" t="n">
        <v>5</v>
      </c>
      <c r="O3" s="7" t="n">
        <v>0</v>
      </c>
      <c r="P3" s="7" t="n">
        <v>3</v>
      </c>
      <c r="Q3" s="7" t="n">
        <v>0</v>
      </c>
    </row>
    <row r="4">
      <c r="A4" s="7" t="n">
        <v>3</v>
      </c>
      <c r="B4" s="7" t="inlineStr">
        <is>
          <t>688549</t>
        </is>
      </c>
      <c r="C4" s="7" t="inlineStr">
        <is>
          <t>炬芯-U</t>
        </is>
      </c>
      <c r="D4" s="7" t="inlineStr">
        <is>
          <t>G5其他</t>
        </is>
      </c>
      <c r="E4" s="7" t="n">
        <v>30</v>
      </c>
      <c r="F4" s="7" t="n">
        <v>20</v>
      </c>
      <c r="G4" s="7" t="n">
        <v>13.61659417865507</v>
      </c>
      <c r="H4" s="7" t="n">
        <v>1.19021816</v>
      </c>
      <c r="I4" s="7" t="n">
        <v>8</v>
      </c>
      <c r="J4" s="7" t="n">
        <v>6</v>
      </c>
      <c r="K4" s="7" t="n">
        <v>5</v>
      </c>
      <c r="L4" s="7" t="n">
        <v>3</v>
      </c>
      <c r="M4" s="7" t="n">
        <v>0</v>
      </c>
      <c r="N4" s="7" t="n">
        <v>5</v>
      </c>
      <c r="O4" s="7" t="n">
        <v>0</v>
      </c>
      <c r="P4" s="7" t="n">
        <v>3</v>
      </c>
      <c r="Q4" s="7" t="n">
        <v>0</v>
      </c>
    </row>
    <row r="5">
      <c r="A5" s="7" t="n">
        <v>4</v>
      </c>
      <c r="B5" s="7" t="inlineStr">
        <is>
          <t>002080</t>
        </is>
      </c>
      <c r="C5" s="7" t="inlineStr">
        <is>
          <t>中材科技</t>
        </is>
      </c>
      <c r="D5" s="7" t="inlineStr">
        <is>
          <t>电池材料</t>
        </is>
      </c>
      <c r="E5" s="7" t="n">
        <v>30</v>
      </c>
      <c r="F5" s="7" t="n">
        <v>20</v>
      </c>
      <c r="G5" s="7" t="n">
        <v>3.76</v>
      </c>
      <c r="H5" s="7" t="n">
        <v>0.01</v>
      </c>
      <c r="I5" s="7" t="n">
        <v>8</v>
      </c>
      <c r="J5" s="7" t="n">
        <v>6</v>
      </c>
      <c r="K5" s="7" t="n">
        <v>5</v>
      </c>
      <c r="L5" s="7" t="n">
        <v>3</v>
      </c>
      <c r="M5" s="7" t="n">
        <v>0</v>
      </c>
      <c r="N5" s="7" t="n">
        <v>5</v>
      </c>
      <c r="O5" s="7" t="n">
        <v>0</v>
      </c>
      <c r="P5" s="7" t="n">
        <v>3</v>
      </c>
      <c r="Q5" s="7" t="n">
        <v>0</v>
      </c>
    </row>
    <row r="6">
      <c r="A6" s="7" t="n">
        <v>5</v>
      </c>
      <c r="B6" s="7" t="inlineStr">
        <is>
          <t>600186</t>
        </is>
      </c>
      <c r="C6" s="7" t="inlineStr">
        <is>
          <t>莲花控股</t>
        </is>
      </c>
      <c r="D6" s="7" t="inlineStr">
        <is>
          <t>先进封装</t>
        </is>
      </c>
      <c r="E6" s="7" t="n">
        <v>30</v>
      </c>
      <c r="F6" s="7" t="n">
        <v>20</v>
      </c>
      <c r="G6" s="7" t="n">
        <v>9.98</v>
      </c>
      <c r="H6" s="7" t="n">
        <v>0.02</v>
      </c>
      <c r="I6" s="7" t="n">
        <v>8</v>
      </c>
      <c r="J6" s="7" t="n">
        <v>6</v>
      </c>
      <c r="K6" s="7" t="n">
        <v>5</v>
      </c>
      <c r="L6" s="7" t="n">
        <v>3</v>
      </c>
      <c r="M6" s="7" t="n">
        <v>0</v>
      </c>
      <c r="N6" s="7" t="n">
        <v>5</v>
      </c>
      <c r="O6" s="7" t="n">
        <v>0</v>
      </c>
      <c r="P6" s="7" t="n">
        <v>3</v>
      </c>
      <c r="Q6" s="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9"/>
  <sheetViews>
    <sheetView workbookViewId="0">
      <selection activeCell="A1" sqref="A1"/>
    </sheetView>
  </sheetViews>
  <sheetFormatPr baseColWidth="8" defaultRowHeight="15"/>
  <sheetData>
    <row r="1">
      <c r="A1" s="2">
        <f>== PCB 产业链全局看板 ===</f>
        <v/>
      </c>
    </row>
    <row r="2">
      <c r="A2" t="inlineStr">
        <is>
          <t>板块整体均分</t>
        </is>
      </c>
      <c r="B2" t="n">
        <v>13.19</v>
      </c>
      <c r="C2" t="inlineStr">
        <is>
          <t>最强细分</t>
        </is>
      </c>
      <c r="D2" t="inlineStr">
        <is>
          <t>陶瓷粉体 (25.0分)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3</v>
      </c>
      <c r="B6" t="inlineStr">
        <is>
          <t>陶瓷粉体</t>
        </is>
      </c>
      <c r="C6" t="n">
        <v>25</v>
      </c>
      <c r="D6" t="n">
        <v>25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>国瓷材料</t>
        </is>
      </c>
      <c r="K6" t="n">
        <v>25</v>
      </c>
    </row>
    <row r="7">
      <c r="A7" t="n">
        <v>13</v>
      </c>
      <c r="B7" t="inlineStr">
        <is>
          <t>覆铜板</t>
        </is>
      </c>
      <c r="C7" t="n">
        <v>18.38</v>
      </c>
      <c r="D7" t="n">
        <v>30</v>
      </c>
      <c r="E7" t="n">
        <v>8</v>
      </c>
      <c r="F7" t="n">
        <v>4</v>
      </c>
      <c r="G7" t="n">
        <v>0</v>
      </c>
      <c r="H7" t="n">
        <v>2</v>
      </c>
      <c r="I7" t="n">
        <v>2</v>
      </c>
      <c r="J7" t="inlineStr">
        <is>
          <t>宏昌电子</t>
        </is>
      </c>
      <c r="K7" t="n">
        <v>30</v>
      </c>
    </row>
    <row r="8">
      <c r="A8" t="n">
        <v>14</v>
      </c>
      <c r="B8" t="inlineStr">
        <is>
          <t>化学品</t>
        </is>
      </c>
      <c r="C8" t="n">
        <v>17.75</v>
      </c>
      <c r="D8" t="n">
        <v>30</v>
      </c>
      <c r="E8" t="n">
        <v>4</v>
      </c>
      <c r="F8" t="n">
        <v>2</v>
      </c>
      <c r="G8" t="n">
        <v>0</v>
      </c>
      <c r="H8" t="n">
        <v>1</v>
      </c>
      <c r="I8" t="n">
        <v>1</v>
      </c>
      <c r="J8" t="inlineStr">
        <is>
          <t>宏昌电子</t>
        </is>
      </c>
      <c r="K8" t="n">
        <v>30</v>
      </c>
    </row>
    <row r="9">
      <c r="A9" t="n">
        <v>15</v>
      </c>
      <c r="B9" t="inlineStr">
        <is>
          <t>硅微粉</t>
        </is>
      </c>
      <c r="C9" t="n">
        <v>17.29</v>
      </c>
      <c r="D9" t="n">
        <v>25</v>
      </c>
      <c r="E9" t="n">
        <v>7</v>
      </c>
      <c r="F9" t="n">
        <v>3</v>
      </c>
      <c r="G9" t="n">
        <v>1</v>
      </c>
      <c r="H9" t="n">
        <v>2</v>
      </c>
      <c r="I9" t="n">
        <v>1</v>
      </c>
      <c r="J9" t="inlineStr">
        <is>
          <t>国瓷材料</t>
        </is>
      </c>
      <c r="K9" t="n">
        <v>25</v>
      </c>
    </row>
    <row r="10">
      <c r="A10" t="n">
        <v>19</v>
      </c>
      <c r="B10" t="inlineStr">
        <is>
          <t>PPE</t>
        </is>
      </c>
      <c r="C10" t="n">
        <v>17</v>
      </c>
      <c r="D10" t="n">
        <v>17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inlineStr">
        <is>
          <t>中化国际</t>
        </is>
      </c>
      <c r="K10" t="n">
        <v>17</v>
      </c>
    </row>
    <row r="11">
      <c r="A11" t="n">
        <v>24</v>
      </c>
      <c r="B11" t="inlineStr">
        <is>
          <t>其他领域MLCC</t>
        </is>
      </c>
      <c r="C11" t="n">
        <v>16.5</v>
      </c>
      <c r="D11" t="n">
        <v>25</v>
      </c>
      <c r="E11" t="n">
        <v>2</v>
      </c>
      <c r="F11" t="n">
        <v>1</v>
      </c>
      <c r="G11" t="n">
        <v>0</v>
      </c>
      <c r="H11" t="n">
        <v>0</v>
      </c>
      <c r="I11" t="n">
        <v>1</v>
      </c>
      <c r="J11" t="inlineStr">
        <is>
          <t>昀冢科技</t>
        </is>
      </c>
      <c r="K11" t="n">
        <v>25</v>
      </c>
    </row>
    <row r="12">
      <c r="A12" t="n">
        <v>34</v>
      </c>
      <c r="B12" t="inlineStr">
        <is>
          <t>电子级PPO树脂</t>
        </is>
      </c>
      <c r="C12" t="n">
        <v>15</v>
      </c>
      <c r="D12" t="n">
        <v>30</v>
      </c>
      <c r="E12" t="n">
        <v>4</v>
      </c>
      <c r="F12" t="n">
        <v>1</v>
      </c>
      <c r="G12" t="n">
        <v>1</v>
      </c>
      <c r="H12" t="n">
        <v>1</v>
      </c>
      <c r="I12" t="n">
        <v>1</v>
      </c>
      <c r="J12" t="inlineStr">
        <is>
          <t>宏昌电子</t>
        </is>
      </c>
      <c r="K12" t="n">
        <v>30</v>
      </c>
    </row>
    <row r="13">
      <c r="A13" t="n">
        <v>36</v>
      </c>
      <c r="B13" t="inlineStr">
        <is>
          <t>环氧树脂</t>
        </is>
      </c>
      <c r="C13" t="n">
        <v>14.67</v>
      </c>
      <c r="D13" t="n">
        <v>30</v>
      </c>
      <c r="E13" t="n">
        <v>3</v>
      </c>
      <c r="F13" t="n">
        <v>1</v>
      </c>
      <c r="G13" t="n">
        <v>0</v>
      </c>
      <c r="H13" t="n">
        <v>1</v>
      </c>
      <c r="I13" t="n">
        <v>1</v>
      </c>
      <c r="J13" t="inlineStr">
        <is>
          <t>宏昌电子</t>
        </is>
      </c>
      <c r="K13" t="n">
        <v>30</v>
      </c>
    </row>
    <row r="14">
      <c r="A14" t="n">
        <v>38</v>
      </c>
      <c r="B14" t="inlineStr">
        <is>
          <t>AWS</t>
        </is>
      </c>
      <c r="C14" t="n">
        <v>14.33</v>
      </c>
      <c r="D14" t="n">
        <v>17</v>
      </c>
      <c r="E14" t="n">
        <v>3</v>
      </c>
      <c r="F14" t="n">
        <v>0</v>
      </c>
      <c r="G14" t="n">
        <v>1</v>
      </c>
      <c r="H14" t="n">
        <v>2</v>
      </c>
      <c r="I14" t="n">
        <v>0</v>
      </c>
      <c r="J14" t="inlineStr">
        <is>
          <t>生益电子</t>
        </is>
      </c>
      <c r="K14" t="n">
        <v>17</v>
      </c>
    </row>
    <row r="15">
      <c r="A15" t="n">
        <v>43</v>
      </c>
      <c r="B15" t="inlineStr">
        <is>
          <t>AI领域MLCC</t>
        </is>
      </c>
      <c r="C15" t="n">
        <v>13.67</v>
      </c>
      <c r="D15" t="n">
        <v>22</v>
      </c>
      <c r="E15" t="n">
        <v>6</v>
      </c>
      <c r="F15" t="n">
        <v>2</v>
      </c>
      <c r="G15" t="n">
        <v>1</v>
      </c>
      <c r="H15" t="n">
        <v>1</v>
      </c>
      <c r="I15" t="n">
        <v>2</v>
      </c>
      <c r="J15" t="inlineStr">
        <is>
          <t>火炬电子</t>
        </is>
      </c>
      <c r="K15" t="n">
        <v>22</v>
      </c>
    </row>
    <row r="16">
      <c r="A16" t="n">
        <v>44</v>
      </c>
      <c r="B16" t="inlineStr">
        <is>
          <t>钻针</t>
        </is>
      </c>
      <c r="C16" t="n">
        <v>13.67</v>
      </c>
      <c r="D16" t="n">
        <v>22</v>
      </c>
      <c r="E16" t="n">
        <v>3</v>
      </c>
      <c r="F16" t="n">
        <v>1</v>
      </c>
      <c r="G16" t="n">
        <v>1</v>
      </c>
      <c r="H16" t="n">
        <v>0</v>
      </c>
      <c r="I16" t="n">
        <v>1</v>
      </c>
      <c r="J16" t="inlineStr">
        <is>
          <t>鼎泰高科</t>
        </is>
      </c>
      <c r="K16" t="n">
        <v>22</v>
      </c>
    </row>
    <row r="17">
      <c r="A17" t="n">
        <v>48</v>
      </c>
      <c r="B17" t="inlineStr">
        <is>
          <t>碳氢树脂M9</t>
        </is>
      </c>
      <c r="C17" t="n">
        <v>13</v>
      </c>
      <c r="D17" t="n">
        <v>25</v>
      </c>
      <c r="E17" t="n">
        <v>3</v>
      </c>
      <c r="F17" t="n">
        <v>1</v>
      </c>
      <c r="G17" t="n">
        <v>0</v>
      </c>
      <c r="H17" t="n">
        <v>1</v>
      </c>
      <c r="I17" t="n">
        <v>1</v>
      </c>
      <c r="J17" t="inlineStr">
        <is>
          <t>世名科技</t>
        </is>
      </c>
      <c r="K17" t="n">
        <v>25</v>
      </c>
    </row>
    <row r="18">
      <c r="A18" t="n">
        <v>49</v>
      </c>
      <c r="B18" t="inlineStr">
        <is>
          <t>AI服务器相关</t>
        </is>
      </c>
      <c r="C18" t="n">
        <v>12.94</v>
      </c>
      <c r="D18" t="n">
        <v>25</v>
      </c>
      <c r="E18" t="n">
        <v>16</v>
      </c>
      <c r="F18" t="n">
        <v>8</v>
      </c>
      <c r="G18" t="n">
        <v>1</v>
      </c>
      <c r="H18" t="n">
        <v>3</v>
      </c>
      <c r="I18" t="n">
        <v>4</v>
      </c>
      <c r="J18" t="inlineStr">
        <is>
          <t>超声电子</t>
        </is>
      </c>
      <c r="K18" t="n">
        <v>25</v>
      </c>
    </row>
    <row r="19">
      <c r="A19" t="n">
        <v>52</v>
      </c>
      <c r="B19" t="inlineStr">
        <is>
          <t>正极铝箔</t>
        </is>
      </c>
      <c r="C19" t="n">
        <v>12.33</v>
      </c>
      <c r="D19" t="n">
        <v>31</v>
      </c>
      <c r="E19" t="n">
        <v>3</v>
      </c>
      <c r="F19" t="n">
        <v>1</v>
      </c>
      <c r="G19" t="n">
        <v>0</v>
      </c>
      <c r="H19" t="n">
        <v>0</v>
      </c>
      <c r="I19" t="n">
        <v>2</v>
      </c>
      <c r="J19" t="inlineStr">
        <is>
          <t>诺德股份</t>
        </is>
      </c>
      <c r="K19" t="n">
        <v>31</v>
      </c>
    </row>
    <row r="20">
      <c r="A20" t="n">
        <v>54</v>
      </c>
      <c r="B20" t="inlineStr">
        <is>
          <t>铜箔</t>
        </is>
      </c>
      <c r="C20" t="n">
        <v>11.25</v>
      </c>
      <c r="D20" t="n">
        <v>31</v>
      </c>
      <c r="E20" t="n">
        <v>4</v>
      </c>
      <c r="F20" t="n">
        <v>1</v>
      </c>
      <c r="G20" t="n">
        <v>0</v>
      </c>
      <c r="H20" t="n">
        <v>1</v>
      </c>
      <c r="I20" t="n">
        <v>2</v>
      </c>
      <c r="J20" t="inlineStr">
        <is>
          <t>诺德股份</t>
        </is>
      </c>
      <c r="K20" t="n">
        <v>31</v>
      </c>
    </row>
    <row r="21">
      <c r="A21" t="n">
        <v>55</v>
      </c>
      <c r="B21" t="inlineStr">
        <is>
          <t>插芯</t>
        </is>
      </c>
      <c r="C21" t="n">
        <v>11</v>
      </c>
      <c r="D21" t="n">
        <v>11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inlineStr">
        <is>
          <t>三环集团</t>
        </is>
      </c>
      <c r="K21" t="n">
        <v>11</v>
      </c>
    </row>
    <row r="22">
      <c r="A22" t="n">
        <v>63</v>
      </c>
      <c r="B22" t="inlineStr">
        <is>
          <t>英伟达</t>
        </is>
      </c>
      <c r="C22" t="n">
        <v>10.83</v>
      </c>
      <c r="D22" t="n">
        <v>30</v>
      </c>
      <c r="E22" t="n">
        <v>6</v>
      </c>
      <c r="F22" t="n">
        <v>2</v>
      </c>
      <c r="G22" t="n">
        <v>0</v>
      </c>
      <c r="H22" t="n">
        <v>1</v>
      </c>
      <c r="I22" t="n">
        <v>3</v>
      </c>
      <c r="J22" t="inlineStr">
        <is>
          <t>宏昌电子</t>
        </is>
      </c>
      <c r="K22" t="n">
        <v>30</v>
      </c>
    </row>
    <row r="23">
      <c r="A23" t="n">
        <v>65</v>
      </c>
      <c r="B23" t="inlineStr">
        <is>
          <t>钻孔</t>
        </is>
      </c>
      <c r="C23" t="n">
        <v>10.25</v>
      </c>
      <c r="D23" t="n">
        <v>22</v>
      </c>
      <c r="E23" t="n">
        <v>4</v>
      </c>
      <c r="F23" t="n">
        <v>1</v>
      </c>
      <c r="G23" t="n">
        <v>0</v>
      </c>
      <c r="H23" t="n">
        <v>2</v>
      </c>
      <c r="I23" t="n">
        <v>1</v>
      </c>
      <c r="J23" t="inlineStr">
        <is>
          <t>英诺激光</t>
        </is>
      </c>
      <c r="K23" t="n">
        <v>22</v>
      </c>
    </row>
    <row r="24">
      <c r="A24" t="n">
        <v>67</v>
      </c>
      <c r="B24" t="inlineStr">
        <is>
          <t>HVLP</t>
        </is>
      </c>
      <c r="C24" t="n">
        <v>9.859999999999999</v>
      </c>
      <c r="D24" t="n">
        <v>31</v>
      </c>
      <c r="E24" t="n">
        <v>7</v>
      </c>
      <c r="F24" t="n">
        <v>2</v>
      </c>
      <c r="G24" t="n">
        <v>0</v>
      </c>
      <c r="H24" t="n">
        <v>1</v>
      </c>
      <c r="I24" t="n">
        <v>4</v>
      </c>
      <c r="J24" t="inlineStr">
        <is>
          <t>诺德股份</t>
        </is>
      </c>
      <c r="K24" t="n">
        <v>31</v>
      </c>
    </row>
    <row r="25">
      <c r="A25" t="n">
        <v>70</v>
      </c>
      <c r="B25" t="inlineStr">
        <is>
          <t>谷歌</t>
        </is>
      </c>
      <c r="C25" t="n">
        <v>9.67</v>
      </c>
      <c r="D25" t="n">
        <v>16</v>
      </c>
      <c r="E25" t="n">
        <v>3</v>
      </c>
      <c r="F25" t="n">
        <v>2</v>
      </c>
      <c r="G25" t="n">
        <v>0</v>
      </c>
      <c r="H25" t="n">
        <v>0</v>
      </c>
      <c r="I25" t="n">
        <v>1</v>
      </c>
      <c r="J25" t="inlineStr">
        <is>
          <t>深南电路</t>
        </is>
      </c>
      <c r="K25" t="n">
        <v>16</v>
      </c>
    </row>
    <row r="26">
      <c r="A26" t="n">
        <v>73</v>
      </c>
      <c r="B26" t="inlineStr">
        <is>
          <t>检测</t>
        </is>
      </c>
      <c r="C26" t="n">
        <v>9.5</v>
      </c>
      <c r="D26" t="n">
        <v>11</v>
      </c>
      <c r="E26" t="n">
        <v>2</v>
      </c>
      <c r="F26" t="n">
        <v>0</v>
      </c>
      <c r="G26" t="n">
        <v>1</v>
      </c>
      <c r="H26" t="n">
        <v>1</v>
      </c>
      <c r="I26" t="n">
        <v>0</v>
      </c>
      <c r="J26" t="inlineStr">
        <is>
          <t>正业科技</t>
        </is>
      </c>
      <c r="K26" t="n">
        <v>11</v>
      </c>
    </row>
    <row r="27">
      <c r="A27" t="n">
        <v>76</v>
      </c>
      <c r="B27" t="inlineStr">
        <is>
          <t>隔膜</t>
        </is>
      </c>
      <c r="C27" t="n">
        <v>8.199999999999999</v>
      </c>
      <c r="D27" t="n">
        <v>30</v>
      </c>
      <c r="E27" t="n">
        <v>5</v>
      </c>
      <c r="F27" t="n">
        <v>1</v>
      </c>
      <c r="G27" t="n">
        <v>0</v>
      </c>
      <c r="H27" t="n">
        <v>1</v>
      </c>
      <c r="I27" t="n">
        <v>3</v>
      </c>
      <c r="J27" t="inlineStr">
        <is>
          <t>中材科技</t>
        </is>
      </c>
      <c r="K27" t="n">
        <v>30</v>
      </c>
    </row>
    <row r="28">
      <c r="A28" t="n">
        <v>78</v>
      </c>
      <c r="B28" t="inlineStr">
        <is>
          <t>树脂增韧剂</t>
        </is>
      </c>
      <c r="C28" t="n">
        <v>8</v>
      </c>
      <c r="D28" t="n">
        <v>8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inlineStr">
        <is>
          <t>瑞丰高材</t>
        </is>
      </c>
      <c r="K28" t="n">
        <v>8</v>
      </c>
    </row>
    <row r="29">
      <c r="A29" t="n">
        <v>95</v>
      </c>
      <c r="B29" t="inlineStr">
        <is>
          <t>电子特气</t>
        </is>
      </c>
      <c r="C29" t="n">
        <v>7.62</v>
      </c>
      <c r="D29" t="n">
        <v>22</v>
      </c>
      <c r="E29" t="n">
        <v>8</v>
      </c>
      <c r="F29" t="n">
        <v>2</v>
      </c>
      <c r="G29" t="n">
        <v>1</v>
      </c>
      <c r="H29" t="n">
        <v>0</v>
      </c>
      <c r="I29" t="n">
        <v>5</v>
      </c>
      <c r="J29" t="inlineStr">
        <is>
          <t>雅克科技</t>
        </is>
      </c>
      <c r="K29" t="n">
        <v>22</v>
      </c>
    </row>
    <row r="30">
      <c r="A30" t="n">
        <v>105</v>
      </c>
      <c r="B30" t="inlineStr">
        <is>
          <t>苊烯树脂</t>
        </is>
      </c>
      <c r="C30" t="n">
        <v>6.5</v>
      </c>
      <c r="D30" t="n">
        <v>8</v>
      </c>
      <c r="E30" t="n">
        <v>2</v>
      </c>
      <c r="F30" t="n">
        <v>1</v>
      </c>
      <c r="G30" t="n">
        <v>0</v>
      </c>
      <c r="H30" t="n">
        <v>1</v>
      </c>
      <c r="I30" t="n">
        <v>0</v>
      </c>
      <c r="J30" t="inlineStr">
        <is>
          <t>美联新材</t>
        </is>
      </c>
      <c r="K30" t="n">
        <v>8</v>
      </c>
    </row>
    <row r="31">
      <c r="A31" t="n">
        <v>107</v>
      </c>
      <c r="B31" t="inlineStr">
        <is>
          <t>湿法隔膜</t>
        </is>
      </c>
      <c r="C31" t="n">
        <v>6.12</v>
      </c>
      <c r="D31" t="n">
        <v>30</v>
      </c>
      <c r="E31" t="n">
        <v>8</v>
      </c>
      <c r="F31" t="n">
        <v>3</v>
      </c>
      <c r="G31" t="n">
        <v>0</v>
      </c>
      <c r="H31" t="n">
        <v>0</v>
      </c>
      <c r="I31" t="n">
        <v>5</v>
      </c>
      <c r="J31" t="inlineStr">
        <is>
          <t>中材科技</t>
        </is>
      </c>
      <c r="K31" t="n">
        <v>30</v>
      </c>
    </row>
    <row r="32">
      <c r="A32" t="n">
        <v>110</v>
      </c>
      <c r="B32" t="inlineStr">
        <is>
          <t>负极铜箔</t>
        </is>
      </c>
      <c r="C32" t="n">
        <v>5.75</v>
      </c>
      <c r="D32" t="n">
        <v>9</v>
      </c>
      <c r="E32" t="n">
        <v>4</v>
      </c>
      <c r="F32" t="n">
        <v>1</v>
      </c>
      <c r="G32" t="n">
        <v>0</v>
      </c>
      <c r="H32" t="n">
        <v>1</v>
      </c>
      <c r="I32" t="n">
        <v>2</v>
      </c>
      <c r="J32" t="inlineStr">
        <is>
          <t>逸豪新材</t>
        </is>
      </c>
      <c r="K32" t="n">
        <v>9</v>
      </c>
    </row>
    <row r="33">
      <c r="A33" t="n">
        <v>119</v>
      </c>
      <c r="B33" t="inlineStr">
        <is>
          <t>曝光</t>
        </is>
      </c>
      <c r="C33" t="n">
        <v>5.33</v>
      </c>
      <c r="D33" t="n">
        <v>8</v>
      </c>
      <c r="E33" t="n">
        <v>3</v>
      </c>
      <c r="F33" t="n">
        <v>1</v>
      </c>
      <c r="G33" t="n">
        <v>0</v>
      </c>
      <c r="H33" t="n">
        <v>1</v>
      </c>
      <c r="I33" t="n">
        <v>1</v>
      </c>
      <c r="J33" t="inlineStr">
        <is>
          <t>天准科技</t>
        </is>
      </c>
      <c r="K33" t="n">
        <v>8</v>
      </c>
    </row>
    <row r="34">
      <c r="A34" t="n">
        <v>141</v>
      </c>
      <c r="B34" t="inlineStr">
        <is>
          <t>贴片</t>
        </is>
      </c>
      <c r="C34" t="n">
        <v>4</v>
      </c>
      <c r="D34" t="n">
        <v>8</v>
      </c>
      <c r="E34" t="n">
        <v>2</v>
      </c>
      <c r="F34" t="n">
        <v>1</v>
      </c>
      <c r="G34" t="n">
        <v>0</v>
      </c>
      <c r="H34" t="n">
        <v>0</v>
      </c>
      <c r="I34" t="n">
        <v>1</v>
      </c>
      <c r="J34" t="inlineStr">
        <is>
          <t>天准科技</t>
        </is>
      </c>
      <c r="K34" t="n">
        <v>8</v>
      </c>
    </row>
    <row r="35">
      <c r="A35" t="n">
        <v>151</v>
      </c>
      <c r="B35" t="inlineStr">
        <is>
          <t>千帆星座</t>
        </is>
      </c>
      <c r="C35" t="n">
        <v>3.67</v>
      </c>
      <c r="D35" t="n">
        <v>8</v>
      </c>
      <c r="E35" t="n">
        <v>3</v>
      </c>
      <c r="F35" t="n">
        <v>1</v>
      </c>
      <c r="G35" t="n">
        <v>0</v>
      </c>
      <c r="H35" t="n">
        <v>1</v>
      </c>
      <c r="I35" t="n">
        <v>1</v>
      </c>
      <c r="J35" t="inlineStr">
        <is>
          <t>鸿远电子</t>
        </is>
      </c>
      <c r="K35" t="n">
        <v>8</v>
      </c>
    </row>
    <row r="36">
      <c r="A36" t="n">
        <v>159</v>
      </c>
      <c r="B36" t="inlineStr">
        <is>
          <t>PPO注塑改性塑料</t>
        </is>
      </c>
      <c r="C36" t="n">
        <v>3</v>
      </c>
      <c r="D36" t="n">
        <v>3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inlineStr">
        <is>
          <t>银禧科技</t>
        </is>
      </c>
      <c r="K36" t="n">
        <v>3</v>
      </c>
    </row>
    <row r="37">
      <c r="A37" t="n">
        <v>161</v>
      </c>
      <c r="B37" t="inlineStr">
        <is>
          <t>钨</t>
        </is>
      </c>
      <c r="C37" t="n">
        <v>3</v>
      </c>
      <c r="D37" t="n">
        <v>3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inlineStr">
        <is>
          <t>中钨高新</t>
        </is>
      </c>
      <c r="K37" t="n">
        <v>3</v>
      </c>
    </row>
    <row r="38">
      <c r="A38" t="n">
        <v>162</v>
      </c>
      <c r="B38" t="inlineStr">
        <is>
          <t>离型膜</t>
        </is>
      </c>
      <c r="C38" t="n">
        <v>3</v>
      </c>
      <c r="D38" t="n">
        <v>3</v>
      </c>
      <c r="E38" t="n">
        <v>1</v>
      </c>
      <c r="F38" t="n">
        <v>0</v>
      </c>
      <c r="G38" t="n">
        <v>1</v>
      </c>
      <c r="H38" t="n">
        <v>0</v>
      </c>
      <c r="I38" t="n">
        <v>0</v>
      </c>
      <c r="J38" t="inlineStr">
        <is>
          <t>洁美科技</t>
        </is>
      </c>
      <c r="K38" t="n">
        <v>3</v>
      </c>
    </row>
    <row r="39">
      <c r="A39" t="n">
        <v>164</v>
      </c>
      <c r="B39" t="inlineStr">
        <is>
          <t>镍粉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博迁新材</t>
        </is>
      </c>
      <c r="K39" t="n">
        <v>3</v>
      </c>
    </row>
    <row r="40">
      <c r="A40" t="n">
        <v>182</v>
      </c>
      <c r="B40" t="inlineStr">
        <is>
          <t>硅粉</t>
        </is>
      </c>
      <c r="C40" t="n">
        <v>3</v>
      </c>
      <c r="D40" t="n">
        <v>3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inlineStr">
        <is>
          <t>博迁新材</t>
        </is>
      </c>
      <c r="K40" t="n">
        <v>3</v>
      </c>
    </row>
    <row r="41">
      <c r="A41" t="n">
        <v>188</v>
      </c>
      <c r="B41" t="inlineStr">
        <is>
          <t>陶瓷隔膜</t>
        </is>
      </c>
      <c r="C41" t="n">
        <v>2.67</v>
      </c>
      <c r="D41" t="n">
        <v>8</v>
      </c>
      <c r="E41" t="n">
        <v>3</v>
      </c>
      <c r="F41" t="n">
        <v>1</v>
      </c>
      <c r="G41" t="n">
        <v>0</v>
      </c>
      <c r="H41" t="n">
        <v>0</v>
      </c>
      <c r="I41" t="n">
        <v>2</v>
      </c>
      <c r="J41" t="inlineStr">
        <is>
          <t>美联新材</t>
        </is>
      </c>
      <c r="K41" t="n">
        <v>8</v>
      </c>
    </row>
    <row r="42">
      <c r="A42" t="n">
        <v>281</v>
      </c>
      <c r="B42" t="inlineStr">
        <is>
          <t>改性聚苯醚</t>
        </is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  <c r="J42" t="inlineStr">
        <is>
          <t>沃特股份</t>
        </is>
      </c>
      <c r="K42" t="n">
        <v>0</v>
      </c>
    </row>
    <row r="43">
      <c r="A43" t="n">
        <v>296</v>
      </c>
      <c r="B43" t="inlineStr">
        <is>
          <t>改性PPO</t>
        </is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</v>
      </c>
      <c r="J43" t="inlineStr">
        <is>
          <t>普利特</t>
        </is>
      </c>
      <c r="K43" t="n">
        <v>0</v>
      </c>
    </row>
    <row r="44">
      <c r="A44" t="n">
        <v>302</v>
      </c>
      <c r="B44" t="inlineStr">
        <is>
          <t>PPE</t>
        </is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  <c r="J44" t="inlineStr">
        <is>
          <t>金发科技</t>
        </is>
      </c>
      <c r="K44" t="n">
        <v>0</v>
      </c>
    </row>
    <row r="45"/>
    <row r="46">
      <c r="A46" s="4" t="inlineStr">
        <is>
          <t>--- 细分: 陶瓷粉体 ---</t>
        </is>
      </c>
    </row>
    <row r="47">
      <c r="A47" s="5" t="inlineStr">
        <is>
          <t>排名</t>
        </is>
      </c>
      <c r="B47" s="5" t="inlineStr">
        <is>
          <t>代码</t>
        </is>
      </c>
      <c r="C47" s="5" t="inlineStr">
        <is>
          <t>名称</t>
        </is>
      </c>
      <c r="D47" s="5" t="inlineStr">
        <is>
          <t>得分</t>
        </is>
      </c>
      <c r="E47" s="5" t="inlineStr">
        <is>
          <t>涨跌幅%</t>
        </is>
      </c>
      <c r="F47" s="5" t="inlineStr">
        <is>
          <t>成交额(亿)</t>
        </is>
      </c>
      <c r="G47" s="5" t="inlineStr">
        <is>
          <t>D1新高</t>
        </is>
      </c>
      <c r="H47" s="5" t="inlineStr">
        <is>
          <t>D2强势</t>
        </is>
      </c>
      <c r="I47" s="5" t="inlineStr">
        <is>
          <t>D3突破</t>
        </is>
      </c>
      <c r="J47" s="5" t="inlineStr">
        <is>
          <t>D4首板</t>
        </is>
      </c>
      <c r="K47" s="5" t="inlineStr">
        <is>
          <t>D5潜突</t>
        </is>
      </c>
      <c r="L47" s="5" t="inlineStr">
        <is>
          <t>D6连板</t>
        </is>
      </c>
      <c r="M47" s="5" t="inlineStr">
        <is>
          <t>D7一字</t>
        </is>
      </c>
      <c r="N47" s="5" t="inlineStr">
        <is>
          <t>D8活跃</t>
        </is>
      </c>
      <c r="O47" s="5" t="inlineStr">
        <is>
          <t>大成交额加分</t>
        </is>
      </c>
      <c r="P47" s="5" t="inlineStr">
        <is>
          <t>得分明细</t>
        </is>
      </c>
    </row>
    <row r="48">
      <c r="A48" t="n">
        <v>1</v>
      </c>
      <c r="B48" t="inlineStr">
        <is>
          <t>300285</t>
        </is>
      </c>
      <c r="C48" t="inlineStr">
        <is>
          <t>国瓷材料</t>
        </is>
      </c>
      <c r="D48" t="n">
        <v>25</v>
      </c>
      <c r="E48" t="n">
        <v>16.42</v>
      </c>
      <c r="F48" t="n">
        <v>0.02</v>
      </c>
      <c r="G48" t="n">
        <v>8</v>
      </c>
      <c r="H48" t="n">
        <v>6</v>
      </c>
      <c r="I48" t="n">
        <v>5</v>
      </c>
      <c r="J48" t="n">
        <v>3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inlineStr">
        <is>
          <t>D1新高=8,D2强势=6,D3突破=5,D4首板=3,D5潜突=0,D6连板=0,D7一字=0,D8活跃=3,bonus=0</t>
        </is>
      </c>
    </row>
    <row r="49"/>
    <row r="50">
      <c r="A50" s="4" t="inlineStr">
        <is>
          <t>--- 细分: 覆铜板 ---</t>
        </is>
      </c>
    </row>
    <row r="51">
      <c r="A51" s="5" t="inlineStr">
        <is>
          <t>排名</t>
        </is>
      </c>
      <c r="B51" s="5" t="inlineStr">
        <is>
          <t>代码</t>
        </is>
      </c>
      <c r="C51" s="5" t="inlineStr">
        <is>
          <t>名称</t>
        </is>
      </c>
      <c r="D51" s="5" t="inlineStr">
        <is>
          <t>得分</t>
        </is>
      </c>
      <c r="E51" s="5" t="inlineStr">
        <is>
          <t>涨跌幅%</t>
        </is>
      </c>
      <c r="F51" s="5" t="inlineStr">
        <is>
          <t>成交额(亿)</t>
        </is>
      </c>
      <c r="G51" s="5" t="inlineStr">
        <is>
          <t>D1新高</t>
        </is>
      </c>
      <c r="H51" s="5" t="inlineStr">
        <is>
          <t>D2强势</t>
        </is>
      </c>
      <c r="I51" s="5" t="inlineStr">
        <is>
          <t>D3突破</t>
        </is>
      </c>
      <c r="J51" s="5" t="inlineStr">
        <is>
          <t>D4首板</t>
        </is>
      </c>
      <c r="K51" s="5" t="inlineStr">
        <is>
          <t>D5潜突</t>
        </is>
      </c>
      <c r="L51" s="5" t="inlineStr">
        <is>
          <t>D6连板</t>
        </is>
      </c>
      <c r="M51" s="5" t="inlineStr">
        <is>
          <t>D7一字</t>
        </is>
      </c>
      <c r="N51" s="5" t="inlineStr">
        <is>
          <t>D8活跃</t>
        </is>
      </c>
      <c r="O51" s="5" t="inlineStr">
        <is>
          <t>大成交额加分</t>
        </is>
      </c>
      <c r="P51" s="5" t="inlineStr">
        <is>
          <t>得分明细</t>
        </is>
      </c>
    </row>
    <row r="52">
      <c r="A52" t="n">
        <v>1</v>
      </c>
      <c r="B52" t="inlineStr">
        <is>
          <t>603002</t>
        </is>
      </c>
      <c r="C52" t="inlineStr">
        <is>
          <t>宏昌电子</t>
        </is>
      </c>
      <c r="D52" t="n">
        <v>30</v>
      </c>
      <c r="E52" t="n">
        <v>10</v>
      </c>
      <c r="F52" t="n">
        <v>0.01</v>
      </c>
      <c r="G52" t="n">
        <v>8</v>
      </c>
      <c r="H52" t="n">
        <v>6</v>
      </c>
      <c r="I52" t="n">
        <v>5</v>
      </c>
      <c r="J52" t="n">
        <v>3</v>
      </c>
      <c r="K52" t="n">
        <v>0</v>
      </c>
      <c r="L52" t="n">
        <v>5</v>
      </c>
      <c r="M52" t="n">
        <v>0</v>
      </c>
      <c r="N52" t="n">
        <v>3</v>
      </c>
      <c r="O52" t="n">
        <v>0</v>
      </c>
      <c r="P52" t="inlineStr">
        <is>
          <t>D1新高=8,D2强势=6,D3突破=5,D4首板=3,D5潜突=0,D6连板=5,D7一字=0,D8活跃=3,bonus=0</t>
        </is>
      </c>
    </row>
    <row r="53">
      <c r="A53" t="n">
        <v>2</v>
      </c>
      <c r="B53" t="inlineStr">
        <is>
          <t>603186</t>
        </is>
      </c>
      <c r="C53" t="inlineStr">
        <is>
          <t>华正新材</t>
        </is>
      </c>
      <c r="D53" t="n">
        <v>30</v>
      </c>
      <c r="E53" t="n">
        <v>10</v>
      </c>
      <c r="F53" t="n">
        <v>0</v>
      </c>
      <c r="G53" t="n">
        <v>8</v>
      </c>
      <c r="H53" t="n">
        <v>6</v>
      </c>
      <c r="I53" t="n">
        <v>5</v>
      </c>
      <c r="J53" t="n">
        <v>3</v>
      </c>
      <c r="K53" t="n">
        <v>0</v>
      </c>
      <c r="L53" t="n">
        <v>5</v>
      </c>
      <c r="M53" t="n">
        <v>0</v>
      </c>
      <c r="N53" t="n">
        <v>3</v>
      </c>
      <c r="O53" t="n">
        <v>0</v>
      </c>
      <c r="P53" t="inlineStr">
        <is>
          <t>D1新高=8,D2强势=6,D3突破=5,D4首板=3,D5潜突=0,D6连板=5,D7一字=0,D8活跃=3,bonus=0</t>
        </is>
      </c>
    </row>
    <row r="54">
      <c r="A54" t="n">
        <v>3</v>
      </c>
      <c r="B54" t="inlineStr">
        <is>
          <t>000823</t>
        </is>
      </c>
      <c r="C54" t="inlineStr">
        <is>
          <t>超声电子</t>
        </is>
      </c>
      <c r="D54" t="n">
        <v>25</v>
      </c>
      <c r="E54" t="n">
        <v>10</v>
      </c>
      <c r="F54" t="n">
        <v>0.01</v>
      </c>
      <c r="G54" t="n">
        <v>8</v>
      </c>
      <c r="H54" t="n">
        <v>6</v>
      </c>
      <c r="I54" t="n">
        <v>5</v>
      </c>
      <c r="J54" t="n">
        <v>3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inlineStr">
        <is>
          <t>D1新高=8,D2强势=6,D3突破=5,D4首板=3,D5潜突=0,D6连板=0,D7一字=0,D8活跃=3,bonus=0</t>
        </is>
      </c>
    </row>
    <row r="55">
      <c r="A55" t="n">
        <v>4</v>
      </c>
      <c r="B55" t="inlineStr">
        <is>
          <t>688519</t>
        </is>
      </c>
      <c r="C55" t="inlineStr">
        <is>
          <t>南亚新材</t>
        </is>
      </c>
      <c r="D55" t="n">
        <v>25</v>
      </c>
      <c r="E55" t="n">
        <v>10.82</v>
      </c>
      <c r="F55" t="n">
        <v>0.08</v>
      </c>
      <c r="G55" t="n">
        <v>8</v>
      </c>
      <c r="H55" t="n">
        <v>6</v>
      </c>
      <c r="I55" t="n">
        <v>5</v>
      </c>
      <c r="J55" t="n">
        <v>3</v>
      </c>
      <c r="K55" t="n">
        <v>0</v>
      </c>
      <c r="L55" t="n">
        <v>0</v>
      </c>
      <c r="M55" t="n">
        <v>0</v>
      </c>
      <c r="N55" t="n">
        <v>3</v>
      </c>
      <c r="O55" t="n">
        <v>0</v>
      </c>
      <c r="P55" t="inlineStr">
        <is>
          <t>D1新高=8,D2强势=6,D3突破=5,D4首板=3,D5潜突=0,D6连板=0,D7一字=0,D8活跃=3,bonus=0</t>
        </is>
      </c>
    </row>
    <row r="56">
      <c r="A56" t="n">
        <v>5</v>
      </c>
      <c r="B56" t="inlineStr">
        <is>
          <t>002552</t>
        </is>
      </c>
      <c r="C56" t="inlineStr">
        <is>
          <t>宝鼎科技</t>
        </is>
      </c>
      <c r="D56" t="n">
        <v>17</v>
      </c>
      <c r="E56" t="n">
        <v>1.73</v>
      </c>
      <c r="F56" t="n">
        <v>0</v>
      </c>
      <c r="G56" t="n">
        <v>8</v>
      </c>
      <c r="H56" t="n">
        <v>6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D1新高=8,D2强势=6,D3突破=0,D4首板=0,D5潜突=0,D6连板=0,D7一字=0,D8活跃=3,bonus=0</t>
        </is>
      </c>
    </row>
    <row r="57">
      <c r="A57" t="n">
        <v>6</v>
      </c>
      <c r="B57" t="inlineStr">
        <is>
          <t>600183</t>
        </is>
      </c>
      <c r="C57" t="inlineStr">
        <is>
          <t>生益科技</t>
        </is>
      </c>
      <c r="D57" t="n">
        <v>17</v>
      </c>
      <c r="E57" t="n">
        <v>0.42</v>
      </c>
      <c r="F57" t="n">
        <v>0.01</v>
      </c>
      <c r="G57" t="n">
        <v>8</v>
      </c>
      <c r="H57" t="n">
        <v>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D1新高=8,D2强势=6,D3突破=0,D4首板=0,D5潜突=0,D6连板=0,D7一字=0,D8活跃=3,bonus=0</t>
        </is>
      </c>
    </row>
    <row r="58">
      <c r="A58" t="n">
        <v>7</v>
      </c>
      <c r="B58" t="inlineStr">
        <is>
          <t>002636</t>
        </is>
      </c>
      <c r="C58" t="inlineStr">
        <is>
          <t>金安国纪</t>
        </is>
      </c>
      <c r="D58" t="n">
        <v>3</v>
      </c>
      <c r="E58" t="n">
        <v>-5.7</v>
      </c>
      <c r="F58" t="n">
        <v>0.01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inlineStr">
        <is>
          <t>D1新高=0,D2强势=0,D3突破=0,D4首板=0,D5潜突=0,D6连板=0,D7一字=0,D8活跃=3,bonus=0</t>
        </is>
      </c>
    </row>
    <row r="59">
      <c r="A59" t="n">
        <v>8</v>
      </c>
      <c r="B59" t="inlineStr">
        <is>
          <t>300658</t>
        </is>
      </c>
      <c r="C59" t="inlineStr">
        <is>
          <t>延江股份</t>
        </is>
      </c>
      <c r="D59" t="n">
        <v>0</v>
      </c>
      <c r="E59" t="n">
        <v>-0.32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D1新高=0,D2强势=0,D3突破=0,D4首板=0,D5潜突=0,D6连板=0,D7一字=0,D8活跃=0,bonus=0</t>
        </is>
      </c>
    </row>
    <row r="60"/>
    <row r="61">
      <c r="A61" s="4" t="inlineStr">
        <is>
          <t>--- 细分: 化学品 ---</t>
        </is>
      </c>
    </row>
    <row r="62">
      <c r="A62" s="5" t="inlineStr">
        <is>
          <t>排名</t>
        </is>
      </c>
      <c r="B62" s="5" t="inlineStr">
        <is>
          <t>代码</t>
        </is>
      </c>
      <c r="C62" s="5" t="inlineStr">
        <is>
          <t>名称</t>
        </is>
      </c>
      <c r="D62" s="5" t="inlineStr">
        <is>
          <t>得分</t>
        </is>
      </c>
      <c r="E62" s="5" t="inlineStr">
        <is>
          <t>涨跌幅%</t>
        </is>
      </c>
      <c r="F62" s="5" t="inlineStr">
        <is>
          <t>成交额(亿)</t>
        </is>
      </c>
      <c r="G62" s="5" t="inlineStr">
        <is>
          <t>D1新高</t>
        </is>
      </c>
      <c r="H62" s="5" t="inlineStr">
        <is>
          <t>D2强势</t>
        </is>
      </c>
      <c r="I62" s="5" t="inlineStr">
        <is>
          <t>D3突破</t>
        </is>
      </c>
      <c r="J62" s="5" t="inlineStr">
        <is>
          <t>D4首板</t>
        </is>
      </c>
      <c r="K62" s="5" t="inlineStr">
        <is>
          <t>D5潜突</t>
        </is>
      </c>
      <c r="L62" s="5" t="inlineStr">
        <is>
          <t>D6连板</t>
        </is>
      </c>
      <c r="M62" s="5" t="inlineStr">
        <is>
          <t>D7一字</t>
        </is>
      </c>
      <c r="N62" s="5" t="inlineStr">
        <is>
          <t>D8活跃</t>
        </is>
      </c>
      <c r="O62" s="5" t="inlineStr">
        <is>
          <t>大成交额加分</t>
        </is>
      </c>
      <c r="P62" s="5" t="inlineStr">
        <is>
          <t>得分明细</t>
        </is>
      </c>
    </row>
    <row r="63">
      <c r="A63" t="n">
        <v>2</v>
      </c>
      <c r="B63" t="inlineStr">
        <is>
          <t>301366</t>
        </is>
      </c>
      <c r="C63" t="inlineStr">
        <is>
          <t>一博科技</t>
        </is>
      </c>
      <c r="D63" t="n">
        <v>22</v>
      </c>
      <c r="E63" t="n">
        <v>20</v>
      </c>
      <c r="F63" t="n">
        <v>0</v>
      </c>
      <c r="G63" t="n">
        <v>8</v>
      </c>
      <c r="H63" t="n">
        <v>6</v>
      </c>
      <c r="I63" t="n">
        <v>5</v>
      </c>
      <c r="J63" t="n">
        <v>3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D1新高=8,D2强势=6,D3突破=5,D4首板=3,D5潜突=0,D6连板=0,D7一字=0,D8活跃=0,bonus=0</t>
        </is>
      </c>
    </row>
    <row r="64">
      <c r="A64" t="n">
        <v>3</v>
      </c>
      <c r="B64" t="inlineStr">
        <is>
          <t>688603</t>
        </is>
      </c>
      <c r="C64" t="inlineStr">
        <is>
          <t>天承科技</t>
        </is>
      </c>
      <c r="D64" t="n">
        <v>11</v>
      </c>
      <c r="E64" t="n">
        <v>0.44</v>
      </c>
      <c r="F64" t="n">
        <v>0.11</v>
      </c>
      <c r="G64" t="n">
        <v>8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inlineStr">
        <is>
          <t>D1新高=8,D2强势=0,D3突破=0,D4首板=0,D5潜突=0,D6连板=0,D7一字=0,D8活跃=3,bonus=0</t>
        </is>
      </c>
    </row>
    <row r="65">
      <c r="A65" t="n">
        <v>4</v>
      </c>
      <c r="B65" t="inlineStr">
        <is>
          <t>688720</t>
        </is>
      </c>
      <c r="C65" t="inlineStr">
        <is>
          <t>艾森股份</t>
        </is>
      </c>
      <c r="D65" t="n">
        <v>8</v>
      </c>
      <c r="E65" t="n">
        <v>13.21</v>
      </c>
      <c r="F65" t="n">
        <v>0.11</v>
      </c>
      <c r="G65" t="n">
        <v>0</v>
      </c>
      <c r="H65" t="n">
        <v>0</v>
      </c>
      <c r="I65" t="n">
        <v>5</v>
      </c>
      <c r="J65" t="n">
        <v>3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D1新高=0,D2强势=0,D3突破=5,D4首板=3,D5潜突=0,D6连板=0,D7一字=0,D8活跃=0,bonus=0</t>
        </is>
      </c>
    </row>
    <row r="66"/>
    <row r="67">
      <c r="A67" s="4" t="inlineStr">
        <is>
          <t>--- 细分: 硅微粉 ---</t>
        </is>
      </c>
    </row>
    <row r="68">
      <c r="A68" s="5" t="inlineStr">
        <is>
          <t>排名</t>
        </is>
      </c>
      <c r="B68" s="5" t="inlineStr">
        <is>
          <t>代码</t>
        </is>
      </c>
      <c r="C68" s="5" t="inlineStr">
        <is>
          <t>名称</t>
        </is>
      </c>
      <c r="D68" s="5" t="inlineStr">
        <is>
          <t>得分</t>
        </is>
      </c>
      <c r="E68" s="5" t="inlineStr">
        <is>
          <t>涨跌幅%</t>
        </is>
      </c>
      <c r="F68" s="5" t="inlineStr">
        <is>
          <t>成交额(亿)</t>
        </is>
      </c>
      <c r="G68" s="5" t="inlineStr">
        <is>
          <t>D1新高</t>
        </is>
      </c>
      <c r="H68" s="5" t="inlineStr">
        <is>
          <t>D2强势</t>
        </is>
      </c>
      <c r="I68" s="5" t="inlineStr">
        <is>
          <t>D3突破</t>
        </is>
      </c>
      <c r="J68" s="5" t="inlineStr">
        <is>
          <t>D4首板</t>
        </is>
      </c>
      <c r="K68" s="5" t="inlineStr">
        <is>
          <t>D5潜突</t>
        </is>
      </c>
      <c r="L68" s="5" t="inlineStr">
        <is>
          <t>D6连板</t>
        </is>
      </c>
      <c r="M68" s="5" t="inlineStr">
        <is>
          <t>D7一字</t>
        </is>
      </c>
      <c r="N68" s="5" t="inlineStr">
        <is>
          <t>D8活跃</t>
        </is>
      </c>
      <c r="O68" s="5" t="inlineStr">
        <is>
          <t>大成交额加分</t>
        </is>
      </c>
      <c r="P68" s="5" t="inlineStr">
        <is>
          <t>得分明细</t>
        </is>
      </c>
    </row>
    <row r="69">
      <c r="A69" t="n">
        <v>2</v>
      </c>
      <c r="B69" t="inlineStr">
        <is>
          <t>002409</t>
        </is>
      </c>
      <c r="C69" t="inlineStr">
        <is>
          <t>雅克科技</t>
        </is>
      </c>
      <c r="D69" t="n">
        <v>22</v>
      </c>
      <c r="E69" t="n">
        <v>7.38</v>
      </c>
      <c r="F69" t="n">
        <v>0</v>
      </c>
      <c r="G69" t="n">
        <v>8</v>
      </c>
      <c r="H69" t="n">
        <v>6</v>
      </c>
      <c r="I69" t="n">
        <v>5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inlineStr">
        <is>
          <t>D1新高=8,D2强势=6,D3突破=5,D4首板=0,D5潜突=0,D6连板=0,D7一字=0,D8活跃=3,bonus=0</t>
        </is>
      </c>
    </row>
    <row r="70">
      <c r="A70" t="n">
        <v>3</v>
      </c>
      <c r="B70" t="inlineStr">
        <is>
          <t>688300</t>
        </is>
      </c>
      <c r="C70" t="inlineStr">
        <is>
          <t>联瑞新材</t>
        </is>
      </c>
      <c r="D70" t="n">
        <v>22</v>
      </c>
      <c r="E70" t="n">
        <v>6.93</v>
      </c>
      <c r="F70" t="n">
        <v>0.09</v>
      </c>
      <c r="G70" t="n">
        <v>8</v>
      </c>
      <c r="H70" t="n">
        <v>6</v>
      </c>
      <c r="I70" t="n">
        <v>5</v>
      </c>
      <c r="J70" t="n">
        <v>0</v>
      </c>
      <c r="K70" t="n">
        <v>0</v>
      </c>
      <c r="L70" t="n">
        <v>0</v>
      </c>
      <c r="M70" t="n">
        <v>0</v>
      </c>
      <c r="N70" t="n">
        <v>3</v>
      </c>
      <c r="O70" t="n">
        <v>0</v>
      </c>
      <c r="P70" t="inlineStr">
        <is>
          <t>D1新高=8,D2强势=6,D3突破=5,D4首板=0,D5潜突=0,D6连板=0,D7一字=0,D8活跃=3,bonus=0</t>
        </is>
      </c>
    </row>
    <row r="71">
      <c r="A71" t="n">
        <v>4</v>
      </c>
      <c r="B71" t="inlineStr">
        <is>
          <t>600552</t>
        </is>
      </c>
      <c r="C71" t="inlineStr">
        <is>
          <t>凯盛科技</t>
        </is>
      </c>
      <c r="D71" t="n">
        <v>19</v>
      </c>
      <c r="E71" t="n">
        <v>9.98</v>
      </c>
      <c r="F71" t="n">
        <v>0.01</v>
      </c>
      <c r="G71" t="n">
        <v>8</v>
      </c>
      <c r="H71" t="n">
        <v>0</v>
      </c>
      <c r="I71" t="n">
        <v>5</v>
      </c>
      <c r="J71" t="n">
        <v>3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inlineStr">
        <is>
          <t>D1新高=8,D2强势=0,D3突破=5,D4首板=3,D5潜突=0,D6连板=0,D7一字=0,D8活跃=3,bonus=0</t>
        </is>
      </c>
    </row>
    <row r="72">
      <c r="A72" t="n">
        <v>6</v>
      </c>
      <c r="B72" t="inlineStr">
        <is>
          <t>688733</t>
        </is>
      </c>
      <c r="C72" t="inlineStr">
        <is>
          <t>壹石通</t>
        </is>
      </c>
      <c r="D72" t="n">
        <v>16</v>
      </c>
      <c r="E72" t="n">
        <v>4.71</v>
      </c>
      <c r="F72" t="n">
        <v>0.21</v>
      </c>
      <c r="G72" t="n">
        <v>8</v>
      </c>
      <c r="H72" t="n">
        <v>0</v>
      </c>
      <c r="I72" t="n">
        <v>5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D1新高=8,D2强势=0,D3突破=5,D4首板=0,D5潜突=0,D6连板=0,D7一字=0,D8活跃=3,bonus=0</t>
        </is>
      </c>
    </row>
    <row r="73">
      <c r="A73" t="n">
        <v>7</v>
      </c>
      <c r="B73" t="inlineStr">
        <is>
          <t>001212</t>
        </is>
      </c>
      <c r="C73" t="inlineStr">
        <is>
          <t>中旗新材</t>
        </is>
      </c>
      <c r="D73" t="n">
        <v>0</v>
      </c>
      <c r="E73" t="n">
        <v>-3.48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D1新高=0,D2强势=0,D3突破=0,D4首板=0,D5潜突=0,D6连板=0,D7一字=0,D8活跃=0,bonus=0</t>
        </is>
      </c>
    </row>
    <row r="74"/>
    <row r="75">
      <c r="A75" s="4" t="inlineStr">
        <is>
          <t>--- 细分: PPE ---</t>
        </is>
      </c>
    </row>
    <row r="76">
      <c r="A76" s="5" t="inlineStr">
        <is>
          <t>排名</t>
        </is>
      </c>
      <c r="B76" s="5" t="inlineStr">
        <is>
          <t>代码</t>
        </is>
      </c>
      <c r="C76" s="5" t="inlineStr">
        <is>
          <t>名称</t>
        </is>
      </c>
      <c r="D76" s="5" t="inlineStr">
        <is>
          <t>得分</t>
        </is>
      </c>
      <c r="E76" s="5" t="inlineStr">
        <is>
          <t>涨跌幅%</t>
        </is>
      </c>
      <c r="F76" s="5" t="inlineStr">
        <is>
          <t>成交额(亿)</t>
        </is>
      </c>
      <c r="G76" s="5" t="inlineStr">
        <is>
          <t>D1新高</t>
        </is>
      </c>
      <c r="H76" s="5" t="inlineStr">
        <is>
          <t>D2强势</t>
        </is>
      </c>
      <c r="I76" s="5" t="inlineStr">
        <is>
          <t>D3突破</t>
        </is>
      </c>
      <c r="J76" s="5" t="inlineStr">
        <is>
          <t>D4首板</t>
        </is>
      </c>
      <c r="K76" s="5" t="inlineStr">
        <is>
          <t>D5潜突</t>
        </is>
      </c>
      <c r="L76" s="5" t="inlineStr">
        <is>
          <t>D6连板</t>
        </is>
      </c>
      <c r="M76" s="5" t="inlineStr">
        <is>
          <t>D7一字</t>
        </is>
      </c>
      <c r="N76" s="5" t="inlineStr">
        <is>
          <t>D8活跃</t>
        </is>
      </c>
      <c r="O76" s="5" t="inlineStr">
        <is>
          <t>大成交额加分</t>
        </is>
      </c>
      <c r="P76" s="5" t="inlineStr">
        <is>
          <t>得分明细</t>
        </is>
      </c>
    </row>
    <row r="77">
      <c r="A77" t="n">
        <v>1</v>
      </c>
      <c r="B77" t="inlineStr">
        <is>
          <t>600500</t>
        </is>
      </c>
      <c r="C77" t="inlineStr">
        <is>
          <t>中化国际</t>
        </is>
      </c>
      <c r="D77" t="n">
        <v>17</v>
      </c>
      <c r="E77" t="n">
        <v>1.55</v>
      </c>
      <c r="F77" t="n">
        <v>0.06</v>
      </c>
      <c r="G77" t="n">
        <v>8</v>
      </c>
      <c r="H77" t="n">
        <v>6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3</v>
      </c>
      <c r="O77" t="n">
        <v>0</v>
      </c>
      <c r="P77" t="inlineStr">
        <is>
          <t>D1新高=8,D2强势=6,D3突破=0,D4首板=0,D5潜突=0,D6连板=0,D7一字=0,D8活跃=3,bonus=0</t>
        </is>
      </c>
    </row>
    <row r="78"/>
    <row r="79">
      <c r="A79" s="4" t="inlineStr">
        <is>
          <t>--- 细分: 其他领域MLCC ---</t>
        </is>
      </c>
    </row>
    <row r="80">
      <c r="A80" s="5" t="inlineStr">
        <is>
          <t>排名</t>
        </is>
      </c>
      <c r="B80" s="5" t="inlineStr">
        <is>
          <t>代码</t>
        </is>
      </c>
      <c r="C80" s="5" t="inlineStr">
        <is>
          <t>名称</t>
        </is>
      </c>
      <c r="D80" s="5" t="inlineStr">
        <is>
          <t>得分</t>
        </is>
      </c>
      <c r="E80" s="5" t="inlineStr">
        <is>
          <t>涨跌幅%</t>
        </is>
      </c>
      <c r="F80" s="5" t="inlineStr">
        <is>
          <t>成交额(亿)</t>
        </is>
      </c>
      <c r="G80" s="5" t="inlineStr">
        <is>
          <t>D1新高</t>
        </is>
      </c>
      <c r="H80" s="5" t="inlineStr">
        <is>
          <t>D2强势</t>
        </is>
      </c>
      <c r="I80" s="5" t="inlineStr">
        <is>
          <t>D3突破</t>
        </is>
      </c>
      <c r="J80" s="5" t="inlineStr">
        <is>
          <t>D4首板</t>
        </is>
      </c>
      <c r="K80" s="5" t="inlineStr">
        <is>
          <t>D5潜突</t>
        </is>
      </c>
      <c r="L80" s="5" t="inlineStr">
        <is>
          <t>D6连板</t>
        </is>
      </c>
      <c r="M80" s="5" t="inlineStr">
        <is>
          <t>D7一字</t>
        </is>
      </c>
      <c r="N80" s="5" t="inlineStr">
        <is>
          <t>D8活跃</t>
        </is>
      </c>
      <c r="O80" s="5" t="inlineStr">
        <is>
          <t>大成交额加分</t>
        </is>
      </c>
      <c r="P80" s="5" t="inlineStr">
        <is>
          <t>得分明细</t>
        </is>
      </c>
    </row>
    <row r="81">
      <c r="A81" t="n">
        <v>1</v>
      </c>
      <c r="B81" t="inlineStr">
        <is>
          <t>688260</t>
        </is>
      </c>
      <c r="C81" t="inlineStr">
        <is>
          <t>昀冢科技</t>
        </is>
      </c>
      <c r="D81" t="n">
        <v>25</v>
      </c>
      <c r="E81" t="n">
        <v>20</v>
      </c>
      <c r="F81" t="n">
        <v>0.07000000000000001</v>
      </c>
      <c r="G81" t="n">
        <v>8</v>
      </c>
      <c r="H81" t="n">
        <v>6</v>
      </c>
      <c r="I81" t="n">
        <v>5</v>
      </c>
      <c r="J81" t="n">
        <v>3</v>
      </c>
      <c r="K81" t="n">
        <v>0</v>
      </c>
      <c r="L81" t="n">
        <v>0</v>
      </c>
      <c r="M81" t="n">
        <v>0</v>
      </c>
      <c r="N81" t="n">
        <v>3</v>
      </c>
      <c r="O81" t="n">
        <v>0</v>
      </c>
      <c r="P81" t="inlineStr">
        <is>
          <t>D1新高=8,D2强势=6,D3突破=5,D4首板=3,D5潜突=0,D6连板=0,D7一字=0,D8活跃=3,bonus=0</t>
        </is>
      </c>
    </row>
    <row r="82">
      <c r="A82" t="n">
        <v>2</v>
      </c>
      <c r="B82" t="inlineStr">
        <is>
          <t>301566</t>
        </is>
      </c>
      <c r="C82" t="inlineStr">
        <is>
          <t>达利凯普</t>
        </is>
      </c>
      <c r="D82" t="n">
        <v>8</v>
      </c>
      <c r="E82" t="n">
        <v>4.35</v>
      </c>
      <c r="F82" t="n">
        <v>0</v>
      </c>
      <c r="G82" t="n">
        <v>0</v>
      </c>
      <c r="H82" t="n">
        <v>0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inlineStr">
        <is>
          <t>D1新高=0,D2强势=0,D3突破=5,D4首板=0,D5潜突=0,D6连板=0,D7一字=0,D8活跃=3,bonus=0</t>
        </is>
      </c>
    </row>
    <row r="83"/>
    <row r="84">
      <c r="A84" s="4" t="inlineStr">
        <is>
          <t>--- 细分: 电子级PPO树脂 ---</t>
        </is>
      </c>
    </row>
    <row r="85">
      <c r="A85" s="5" t="inlineStr">
        <is>
          <t>排名</t>
        </is>
      </c>
      <c r="B85" s="5" t="inlineStr">
        <is>
          <t>代码</t>
        </is>
      </c>
      <c r="C85" s="5" t="inlineStr">
        <is>
          <t>名称</t>
        </is>
      </c>
      <c r="D85" s="5" t="inlineStr">
        <is>
          <t>得分</t>
        </is>
      </c>
      <c r="E85" s="5" t="inlineStr">
        <is>
          <t>涨跌幅%</t>
        </is>
      </c>
      <c r="F85" s="5" t="inlineStr">
        <is>
          <t>成交额(亿)</t>
        </is>
      </c>
      <c r="G85" s="5" t="inlineStr">
        <is>
          <t>D1新高</t>
        </is>
      </c>
      <c r="H85" s="5" t="inlineStr">
        <is>
          <t>D2强势</t>
        </is>
      </c>
      <c r="I85" s="5" t="inlineStr">
        <is>
          <t>D3突破</t>
        </is>
      </c>
      <c r="J85" s="5" t="inlineStr">
        <is>
          <t>D4首板</t>
        </is>
      </c>
      <c r="K85" s="5" t="inlineStr">
        <is>
          <t>D5潜突</t>
        </is>
      </c>
      <c r="L85" s="5" t="inlineStr">
        <is>
          <t>D6连板</t>
        </is>
      </c>
      <c r="M85" s="5" t="inlineStr">
        <is>
          <t>D7一字</t>
        </is>
      </c>
      <c r="N85" s="5" t="inlineStr">
        <is>
          <t>D8活跃</t>
        </is>
      </c>
      <c r="O85" s="5" t="inlineStr">
        <is>
          <t>大成交额加分</t>
        </is>
      </c>
      <c r="P85" s="5" t="inlineStr">
        <is>
          <t>得分明细</t>
        </is>
      </c>
    </row>
    <row r="86">
      <c r="A86" t="n">
        <v>2</v>
      </c>
      <c r="B86" t="inlineStr">
        <is>
          <t>301630</t>
        </is>
      </c>
      <c r="C86" t="inlineStr">
        <is>
          <t>同宇新材</t>
        </is>
      </c>
      <c r="D86" t="n">
        <v>16</v>
      </c>
      <c r="E86" t="n">
        <v>5.79</v>
      </c>
      <c r="F86" t="n">
        <v>0</v>
      </c>
      <c r="G86" t="n">
        <v>8</v>
      </c>
      <c r="H86" t="n">
        <v>0</v>
      </c>
      <c r="I86" t="n">
        <v>5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inlineStr">
        <is>
          <t>D1新高=8,D2强势=0,D3突破=5,D4首板=0,D5潜突=0,D6连板=0,D7一字=0,D8活跃=3,bonus=0</t>
        </is>
      </c>
    </row>
    <row r="87">
      <c r="A87" t="n">
        <v>3</v>
      </c>
      <c r="B87" t="inlineStr">
        <is>
          <t>601208</t>
        </is>
      </c>
      <c r="C87" t="inlineStr">
        <is>
          <t>东材科技</t>
        </is>
      </c>
      <c r="D87" t="n">
        <v>11</v>
      </c>
      <c r="E87" t="n">
        <v>2.04</v>
      </c>
      <c r="F87" t="n">
        <v>0.01</v>
      </c>
      <c r="G87" t="n">
        <v>8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3</v>
      </c>
      <c r="O87" t="n">
        <v>0</v>
      </c>
      <c r="P87" t="inlineStr">
        <is>
          <t>D1新高=8,D2强势=0,D3突破=0,D4首板=0,D5潜突=0,D6连板=0,D7一字=0,D8活跃=3,bonus=0</t>
        </is>
      </c>
    </row>
    <row r="88">
      <c r="A88" t="n">
        <v>4</v>
      </c>
      <c r="B88" t="inlineStr">
        <is>
          <t>605589</t>
        </is>
      </c>
      <c r="C88" t="inlineStr">
        <is>
          <t>圣泉集团</t>
        </is>
      </c>
      <c r="D88" t="n">
        <v>3</v>
      </c>
      <c r="E88" t="n">
        <v>-0.98</v>
      </c>
      <c r="F88" t="n">
        <v>0.01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3</v>
      </c>
      <c r="O88" t="n">
        <v>0</v>
      </c>
      <c r="P88" t="inlineStr">
        <is>
          <t>D1新高=0,D2强势=0,D3突破=0,D4首板=0,D5潜突=0,D6连板=0,D7一字=0,D8活跃=3,bonus=0</t>
        </is>
      </c>
    </row>
    <row r="89"/>
    <row r="90">
      <c r="A90" s="4" t="inlineStr">
        <is>
          <t>--- 细分: AWS ---</t>
        </is>
      </c>
    </row>
    <row r="91">
      <c r="A91" s="5" t="inlineStr">
        <is>
          <t>排名</t>
        </is>
      </c>
      <c r="B91" s="5" t="inlineStr">
        <is>
          <t>代码</t>
        </is>
      </c>
      <c r="C91" s="5" t="inlineStr">
        <is>
          <t>名称</t>
        </is>
      </c>
      <c r="D91" s="5" t="inlineStr">
        <is>
          <t>得分</t>
        </is>
      </c>
      <c r="E91" s="5" t="inlineStr">
        <is>
          <t>涨跌幅%</t>
        </is>
      </c>
      <c r="F91" s="5" t="inlineStr">
        <is>
          <t>成交额(亿)</t>
        </is>
      </c>
      <c r="G91" s="5" t="inlineStr">
        <is>
          <t>D1新高</t>
        </is>
      </c>
      <c r="H91" s="5" t="inlineStr">
        <is>
          <t>D2强势</t>
        </is>
      </c>
      <c r="I91" s="5" t="inlineStr">
        <is>
          <t>D3突破</t>
        </is>
      </c>
      <c r="J91" s="5" t="inlineStr">
        <is>
          <t>D4首板</t>
        </is>
      </c>
      <c r="K91" s="5" t="inlineStr">
        <is>
          <t>D5潜突</t>
        </is>
      </c>
      <c r="L91" s="5" t="inlineStr">
        <is>
          <t>D6连板</t>
        </is>
      </c>
      <c r="M91" s="5" t="inlineStr">
        <is>
          <t>D7一字</t>
        </is>
      </c>
      <c r="N91" s="5" t="inlineStr">
        <is>
          <t>D8活跃</t>
        </is>
      </c>
      <c r="O91" s="5" t="inlineStr">
        <is>
          <t>大成交额加分</t>
        </is>
      </c>
      <c r="P91" s="5" t="inlineStr">
        <is>
          <t>得分明细</t>
        </is>
      </c>
    </row>
    <row r="92">
      <c r="A92" t="n">
        <v>1</v>
      </c>
      <c r="B92" t="inlineStr">
        <is>
          <t>688183</t>
        </is>
      </c>
      <c r="C92" t="inlineStr">
        <is>
          <t>生益电子</t>
        </is>
      </c>
      <c r="D92" t="n">
        <v>17</v>
      </c>
      <c r="E92" t="n">
        <v>1.52</v>
      </c>
      <c r="F92" t="n">
        <v>0.46</v>
      </c>
      <c r="G92" t="n">
        <v>8</v>
      </c>
      <c r="H92" t="n">
        <v>6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</v>
      </c>
      <c r="O92" t="n">
        <v>0</v>
      </c>
      <c r="P92" t="inlineStr">
        <is>
          <t>D1新高=8,D2强势=6,D3突破=0,D4首板=0,D5潜突=0,D6连板=0,D7一字=0,D8活跃=3,bonus=0</t>
        </is>
      </c>
    </row>
    <row r="93">
      <c r="A93" t="n">
        <v>2</v>
      </c>
      <c r="B93" t="inlineStr">
        <is>
          <t>001389</t>
        </is>
      </c>
      <c r="C93" t="inlineStr">
        <is>
          <t>广合科技</t>
        </is>
      </c>
      <c r="D93" t="n">
        <v>13</v>
      </c>
      <c r="E93" t="n">
        <v>5.57</v>
      </c>
      <c r="F93" t="n">
        <v>0</v>
      </c>
      <c r="G93" t="n">
        <v>8</v>
      </c>
      <c r="H93" t="n">
        <v>0</v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D1新高=8,D2强势=0,D3突破=5,D4首板=0,D5潜突=0,D6连板=0,D7一字=0,D8活跃=0,bonus=0</t>
        </is>
      </c>
    </row>
    <row r="94">
      <c r="A94" t="n">
        <v>3</v>
      </c>
      <c r="B94" t="inlineStr">
        <is>
          <t>002463</t>
        </is>
      </c>
      <c r="C94" t="inlineStr">
        <is>
          <t>沪电股份</t>
        </is>
      </c>
      <c r="D94" t="n">
        <v>13</v>
      </c>
      <c r="E94" t="n">
        <v>4.2</v>
      </c>
      <c r="F94" t="n">
        <v>0.01</v>
      </c>
      <c r="G94" t="n">
        <v>8</v>
      </c>
      <c r="H94" t="n">
        <v>0</v>
      </c>
      <c r="I94" t="n">
        <v>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D1新高=8,D2强势=0,D3突破=5,D4首板=0,D5潜突=0,D6连板=0,D7一字=0,D8活跃=0,bonus=0</t>
        </is>
      </c>
    </row>
    <row r="95"/>
    <row r="96">
      <c r="A96" s="4" t="inlineStr">
        <is>
          <t>--- 细分: AI领域MLCC ---</t>
        </is>
      </c>
    </row>
    <row r="97">
      <c r="A97" s="5" t="inlineStr">
        <is>
          <t>排名</t>
        </is>
      </c>
      <c r="B97" s="5" t="inlineStr">
        <is>
          <t>代码</t>
        </is>
      </c>
      <c r="C97" s="5" t="inlineStr">
        <is>
          <t>名称</t>
        </is>
      </c>
      <c r="D97" s="5" t="inlineStr">
        <is>
          <t>得分</t>
        </is>
      </c>
      <c r="E97" s="5" t="inlineStr">
        <is>
          <t>涨跌幅%</t>
        </is>
      </c>
      <c r="F97" s="5" t="inlineStr">
        <is>
          <t>成交额(亿)</t>
        </is>
      </c>
      <c r="G97" s="5" t="inlineStr">
        <is>
          <t>D1新高</t>
        </is>
      </c>
      <c r="H97" s="5" t="inlineStr">
        <is>
          <t>D2强势</t>
        </is>
      </c>
      <c r="I97" s="5" t="inlineStr">
        <is>
          <t>D3突破</t>
        </is>
      </c>
      <c r="J97" s="5" t="inlineStr">
        <is>
          <t>D4首板</t>
        </is>
      </c>
      <c r="K97" s="5" t="inlineStr">
        <is>
          <t>D5潜突</t>
        </is>
      </c>
      <c r="L97" s="5" t="inlineStr">
        <is>
          <t>D6连板</t>
        </is>
      </c>
      <c r="M97" s="5" t="inlineStr">
        <is>
          <t>D7一字</t>
        </is>
      </c>
      <c r="N97" s="5" t="inlineStr">
        <is>
          <t>D8活跃</t>
        </is>
      </c>
      <c r="O97" s="5" t="inlineStr">
        <is>
          <t>大成交额加分</t>
        </is>
      </c>
      <c r="P97" s="5" t="inlineStr">
        <is>
          <t>得分明细</t>
        </is>
      </c>
    </row>
    <row r="98">
      <c r="A98" t="n">
        <v>1</v>
      </c>
      <c r="B98" t="inlineStr">
        <is>
          <t>603678</t>
        </is>
      </c>
      <c r="C98" t="inlineStr">
        <is>
          <t>火炬电子</t>
        </is>
      </c>
      <c r="D98" t="n">
        <v>22</v>
      </c>
      <c r="E98" t="n">
        <v>2.97</v>
      </c>
      <c r="F98" t="n">
        <v>0.01</v>
      </c>
      <c r="G98" t="n">
        <v>8</v>
      </c>
      <c r="H98" t="n">
        <v>6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inlineStr">
        <is>
          <t>D1新高=8,D2强势=6,D3突破=5,D4首板=0,D5潜突=0,D6连板=0,D7一字=0,D8活跃=3,bonus=0</t>
        </is>
      </c>
    </row>
    <row r="99">
      <c r="A99" t="n">
        <v>2</v>
      </c>
      <c r="B99" t="inlineStr">
        <is>
          <t>000636</t>
        </is>
      </c>
      <c r="C99" t="inlineStr">
        <is>
          <t>风华高科</t>
        </is>
      </c>
      <c r="D99" t="n">
        <v>22</v>
      </c>
      <c r="E99" t="n">
        <v>4.89</v>
      </c>
      <c r="F99" t="n">
        <v>0.02</v>
      </c>
      <c r="G99" t="n">
        <v>8</v>
      </c>
      <c r="H99" t="n">
        <v>6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inlineStr">
        <is>
          <t>D1新高=8,D2强势=6,D3突破=5,D4首板=0,D5潜突=0,D6连板=0,D7一字=0,D8活跃=3,bonus=0</t>
        </is>
      </c>
    </row>
    <row r="100">
      <c r="A100" t="n">
        <v>3</v>
      </c>
      <c r="B100" t="inlineStr">
        <is>
          <t>301013</t>
        </is>
      </c>
      <c r="C100" t="inlineStr">
        <is>
          <t>利和兴</t>
        </is>
      </c>
      <c r="D100" t="n">
        <v>16</v>
      </c>
      <c r="E100" t="n">
        <v>8.49</v>
      </c>
      <c r="F100" t="n">
        <v>0.01</v>
      </c>
      <c r="G100" t="n">
        <v>8</v>
      </c>
      <c r="H100" t="n">
        <v>0</v>
      </c>
      <c r="I100" t="n">
        <v>5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inlineStr">
        <is>
          <t>D1新高=8,D2强势=0,D3突破=5,D4首板=0,D5潜突=0,D6连板=0,D7一字=0,D8活跃=3,bonus=0</t>
        </is>
      </c>
    </row>
    <row r="101">
      <c r="A101" t="n">
        <v>4</v>
      </c>
      <c r="B101" t="inlineStr">
        <is>
          <t>300408</t>
        </is>
      </c>
      <c r="C101" t="inlineStr">
        <is>
          <t>三环集团</t>
        </is>
      </c>
      <c r="D101" t="n">
        <v>11</v>
      </c>
      <c r="E101" t="n">
        <v>3.49</v>
      </c>
      <c r="F101" t="n">
        <v>0.01</v>
      </c>
      <c r="G101" t="n">
        <v>8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3</v>
      </c>
      <c r="O101" t="n">
        <v>0</v>
      </c>
      <c r="P101" t="inlineStr">
        <is>
          <t>D1新高=8,D2强势=0,D3突破=0,D4首板=0,D5潜突=0,D6连板=0,D7一字=0,D8活跃=3,bonus=0</t>
        </is>
      </c>
    </row>
    <row r="102">
      <c r="A102" t="n">
        <v>5</v>
      </c>
      <c r="B102" t="inlineStr">
        <is>
          <t>603267</t>
        </is>
      </c>
      <c r="C102" t="inlineStr">
        <is>
          <t>鸿远电子</t>
        </is>
      </c>
      <c r="D102" t="n">
        <v>8</v>
      </c>
      <c r="E102" t="n">
        <v>3.83</v>
      </c>
      <c r="F102" t="n">
        <v>0</v>
      </c>
      <c r="G102" t="n">
        <v>0</v>
      </c>
      <c r="H102" t="n">
        <v>0</v>
      </c>
      <c r="I102" t="n">
        <v>5</v>
      </c>
      <c r="J102" t="n">
        <v>0</v>
      </c>
      <c r="K102" t="n">
        <v>0</v>
      </c>
      <c r="L102" t="n">
        <v>0</v>
      </c>
      <c r="M102" t="n">
        <v>0</v>
      </c>
      <c r="N102" t="n">
        <v>3</v>
      </c>
      <c r="O102" t="n">
        <v>0</v>
      </c>
      <c r="P102" t="inlineStr">
        <is>
          <t>D1新高=0,D2强势=0,D3突破=5,D4首板=0,D5潜突=0,D6连板=0,D7一字=0,D8活跃=3,bonus=0</t>
        </is>
      </c>
    </row>
    <row r="103">
      <c r="A103" t="n">
        <v>6</v>
      </c>
      <c r="B103" t="inlineStr">
        <is>
          <t>000733</t>
        </is>
      </c>
      <c r="C103" t="inlineStr">
        <is>
          <t>振华科技</t>
        </is>
      </c>
      <c r="D103" t="n">
        <v>3</v>
      </c>
      <c r="E103" t="n">
        <v>3.18</v>
      </c>
      <c r="F103" t="n">
        <v>0.01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inlineStr">
        <is>
          <t>D1新高=0,D2强势=0,D3突破=0,D4首板=0,D5潜突=0,D6连板=0,D7一字=0,D8活跃=3,bonus=0</t>
        </is>
      </c>
    </row>
    <row r="104"/>
    <row r="105">
      <c r="A105" s="4" t="inlineStr">
        <is>
          <t>--- 细分: 钻针 ---</t>
        </is>
      </c>
    </row>
    <row r="106">
      <c r="A106" s="5" t="inlineStr">
        <is>
          <t>排名</t>
        </is>
      </c>
      <c r="B106" s="5" t="inlineStr">
        <is>
          <t>代码</t>
        </is>
      </c>
      <c r="C106" s="5" t="inlineStr">
        <is>
          <t>名称</t>
        </is>
      </c>
      <c r="D106" s="5" t="inlineStr">
        <is>
          <t>得分</t>
        </is>
      </c>
      <c r="E106" s="5" t="inlineStr">
        <is>
          <t>涨跌幅%</t>
        </is>
      </c>
      <c r="F106" s="5" t="inlineStr">
        <is>
          <t>成交额(亿)</t>
        </is>
      </c>
      <c r="G106" s="5" t="inlineStr">
        <is>
          <t>D1新高</t>
        </is>
      </c>
      <c r="H106" s="5" t="inlineStr">
        <is>
          <t>D2强势</t>
        </is>
      </c>
      <c r="I106" s="5" t="inlineStr">
        <is>
          <t>D3突破</t>
        </is>
      </c>
      <c r="J106" s="5" t="inlineStr">
        <is>
          <t>D4首板</t>
        </is>
      </c>
      <c r="K106" s="5" t="inlineStr">
        <is>
          <t>D5潜突</t>
        </is>
      </c>
      <c r="L106" s="5" t="inlineStr">
        <is>
          <t>D6连板</t>
        </is>
      </c>
      <c r="M106" s="5" t="inlineStr">
        <is>
          <t>D7一字</t>
        </is>
      </c>
      <c r="N106" s="5" t="inlineStr">
        <is>
          <t>D8活跃</t>
        </is>
      </c>
      <c r="O106" s="5" t="inlineStr">
        <is>
          <t>大成交额加分</t>
        </is>
      </c>
      <c r="P106" s="5" t="inlineStr">
        <is>
          <t>得分明细</t>
        </is>
      </c>
    </row>
    <row r="107">
      <c r="A107" t="n">
        <v>1</v>
      </c>
      <c r="B107" t="inlineStr">
        <is>
          <t>301377</t>
        </is>
      </c>
      <c r="C107" t="inlineStr">
        <is>
          <t>鼎泰高科</t>
        </is>
      </c>
      <c r="D107" t="n">
        <v>22</v>
      </c>
      <c r="E107" t="n">
        <v>6.58</v>
      </c>
      <c r="F107" t="n">
        <v>0</v>
      </c>
      <c r="G107" t="n">
        <v>8</v>
      </c>
      <c r="H107" t="n">
        <v>6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3</v>
      </c>
      <c r="O107" t="n">
        <v>0</v>
      </c>
      <c r="P107" t="inlineStr">
        <is>
          <t>D1新高=8,D2强势=6,D3突破=5,D4首板=0,D5潜突=0,D6连板=0,D7一字=0,D8活跃=3,bonus=0</t>
        </is>
      </c>
    </row>
    <row r="108">
      <c r="A108" t="n">
        <v>2</v>
      </c>
      <c r="B108" t="inlineStr">
        <is>
          <t>300283</t>
        </is>
      </c>
      <c r="C108" t="inlineStr">
        <is>
          <t>温州宏丰</t>
        </is>
      </c>
      <c r="D108" t="n">
        <v>16</v>
      </c>
      <c r="E108" t="n">
        <v>19.99</v>
      </c>
      <c r="F108" t="n">
        <v>0.01</v>
      </c>
      <c r="G108" t="n">
        <v>8</v>
      </c>
      <c r="H108" t="n">
        <v>0</v>
      </c>
      <c r="I108" t="n">
        <v>5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D1新高=8,D2强势=0,D3突破=5,D4首板=3,D5潜突=0,D6连板=0,D7一字=0,D8活跃=0,bonus=0</t>
        </is>
      </c>
    </row>
    <row r="109">
      <c r="A109" t="n">
        <v>3</v>
      </c>
      <c r="B109" t="inlineStr">
        <is>
          <t>000657</t>
        </is>
      </c>
      <c r="C109" t="inlineStr">
        <is>
          <t>中钨高新</t>
        </is>
      </c>
      <c r="D109" t="n">
        <v>3</v>
      </c>
      <c r="E109" t="n">
        <v>-3.21</v>
      </c>
      <c r="F109" t="n">
        <v>0.01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3</v>
      </c>
      <c r="O109" t="n">
        <v>0</v>
      </c>
      <c r="P109" t="inlineStr">
        <is>
          <t>D1新高=0,D2强势=0,D3突破=0,D4首板=0,D5潜突=0,D6连板=0,D7一字=0,D8活跃=3,bonus=0</t>
        </is>
      </c>
    </row>
    <row r="110"/>
    <row r="111">
      <c r="A111" s="4" t="inlineStr">
        <is>
          <t>--- 细分: 碳氢树脂M9 ---</t>
        </is>
      </c>
    </row>
    <row r="112">
      <c r="A112" s="5" t="inlineStr">
        <is>
          <t>排名</t>
        </is>
      </c>
      <c r="B112" s="5" t="inlineStr">
        <is>
          <t>代码</t>
        </is>
      </c>
      <c r="C112" s="5" t="inlineStr">
        <is>
          <t>名称</t>
        </is>
      </c>
      <c r="D112" s="5" t="inlineStr">
        <is>
          <t>得分</t>
        </is>
      </c>
      <c r="E112" s="5" t="inlineStr">
        <is>
          <t>涨跌幅%</t>
        </is>
      </c>
      <c r="F112" s="5" t="inlineStr">
        <is>
          <t>成交额(亿)</t>
        </is>
      </c>
      <c r="G112" s="5" t="inlineStr">
        <is>
          <t>D1新高</t>
        </is>
      </c>
      <c r="H112" s="5" t="inlineStr">
        <is>
          <t>D2强势</t>
        </is>
      </c>
      <c r="I112" s="5" t="inlineStr">
        <is>
          <t>D3突破</t>
        </is>
      </c>
      <c r="J112" s="5" t="inlineStr">
        <is>
          <t>D4首板</t>
        </is>
      </c>
      <c r="K112" s="5" t="inlineStr">
        <is>
          <t>D5潜突</t>
        </is>
      </c>
      <c r="L112" s="5" t="inlineStr">
        <is>
          <t>D6连板</t>
        </is>
      </c>
      <c r="M112" s="5" t="inlineStr">
        <is>
          <t>D7一字</t>
        </is>
      </c>
      <c r="N112" s="5" t="inlineStr">
        <is>
          <t>D8活跃</t>
        </is>
      </c>
      <c r="O112" s="5" t="inlineStr">
        <is>
          <t>大成交额加分</t>
        </is>
      </c>
      <c r="P112" s="5" t="inlineStr">
        <is>
          <t>得分明细</t>
        </is>
      </c>
    </row>
    <row r="113">
      <c r="A113" t="n">
        <v>1</v>
      </c>
      <c r="B113" t="inlineStr">
        <is>
          <t>300522</t>
        </is>
      </c>
      <c r="C113" t="inlineStr">
        <is>
          <t>世名科技</t>
        </is>
      </c>
      <c r="D113" t="n">
        <v>25</v>
      </c>
      <c r="E113" t="n">
        <v>20.01</v>
      </c>
      <c r="F113" t="n">
        <v>0.01</v>
      </c>
      <c r="G113" t="n">
        <v>8</v>
      </c>
      <c r="H113" t="n">
        <v>6</v>
      </c>
      <c r="I113" t="n">
        <v>5</v>
      </c>
      <c r="J113" t="n">
        <v>3</v>
      </c>
      <c r="K113" t="n">
        <v>0</v>
      </c>
      <c r="L113" t="n">
        <v>0</v>
      </c>
      <c r="M113" t="n">
        <v>0</v>
      </c>
      <c r="N113" t="n">
        <v>3</v>
      </c>
      <c r="O113" t="n">
        <v>0</v>
      </c>
      <c r="P113" t="inlineStr">
        <is>
          <t>D1新高=8,D2强势=6,D3突破=5,D4首板=3,D5潜突=0,D6连板=0,D7一字=0,D8活跃=3,bonus=0</t>
        </is>
      </c>
    </row>
    <row r="114"/>
    <row r="115">
      <c r="A115" s="4" t="inlineStr">
        <is>
          <t>--- 细分: AI服务器相关 ---</t>
        </is>
      </c>
    </row>
    <row r="116">
      <c r="A116" s="5" t="inlineStr">
        <is>
          <t>排名</t>
        </is>
      </c>
      <c r="B116" s="5" t="inlineStr">
        <is>
          <t>代码</t>
        </is>
      </c>
      <c r="C116" s="5" t="inlineStr">
        <is>
          <t>名称</t>
        </is>
      </c>
      <c r="D116" s="5" t="inlineStr">
        <is>
          <t>得分</t>
        </is>
      </c>
      <c r="E116" s="5" t="inlineStr">
        <is>
          <t>涨跌幅%</t>
        </is>
      </c>
      <c r="F116" s="5" t="inlineStr">
        <is>
          <t>成交额(亿)</t>
        </is>
      </c>
      <c r="G116" s="5" t="inlineStr">
        <is>
          <t>D1新高</t>
        </is>
      </c>
      <c r="H116" s="5" t="inlineStr">
        <is>
          <t>D2强势</t>
        </is>
      </c>
      <c r="I116" s="5" t="inlineStr">
        <is>
          <t>D3突破</t>
        </is>
      </c>
      <c r="J116" s="5" t="inlineStr">
        <is>
          <t>D4首板</t>
        </is>
      </c>
      <c r="K116" s="5" t="inlineStr">
        <is>
          <t>D5潜突</t>
        </is>
      </c>
      <c r="L116" s="5" t="inlineStr">
        <is>
          <t>D6连板</t>
        </is>
      </c>
      <c r="M116" s="5" t="inlineStr">
        <is>
          <t>D7一字</t>
        </is>
      </c>
      <c r="N116" s="5" t="inlineStr">
        <is>
          <t>D8活跃</t>
        </is>
      </c>
      <c r="O116" s="5" t="inlineStr">
        <is>
          <t>大成交额加分</t>
        </is>
      </c>
      <c r="P116" s="5" t="inlineStr">
        <is>
          <t>得分明细</t>
        </is>
      </c>
    </row>
    <row r="117">
      <c r="A117" t="n">
        <v>2</v>
      </c>
      <c r="B117" t="inlineStr">
        <is>
          <t>300903</t>
        </is>
      </c>
      <c r="C117" t="inlineStr">
        <is>
          <t>科翔股份</t>
        </is>
      </c>
      <c r="D117" t="n">
        <v>25</v>
      </c>
      <c r="E117" t="n">
        <v>20</v>
      </c>
      <c r="F117" t="n">
        <v>0</v>
      </c>
      <c r="G117" t="n">
        <v>8</v>
      </c>
      <c r="H117" t="n">
        <v>6</v>
      </c>
      <c r="I117" t="n">
        <v>5</v>
      </c>
      <c r="J117" t="n">
        <v>3</v>
      </c>
      <c r="K117" t="n">
        <v>0</v>
      </c>
      <c r="L117" t="n">
        <v>0</v>
      </c>
      <c r="M117" t="n">
        <v>0</v>
      </c>
      <c r="N117" t="n">
        <v>3</v>
      </c>
      <c r="O117" t="n">
        <v>0</v>
      </c>
      <c r="P117" t="inlineStr">
        <is>
          <t>D1新高=8,D2强势=6,D3突破=5,D4首板=3,D5潜突=0,D6连板=0,D7一字=0,D8活跃=3,bonus=0</t>
        </is>
      </c>
    </row>
    <row r="118">
      <c r="A118" t="n">
        <v>3</v>
      </c>
      <c r="B118" t="inlineStr">
        <is>
          <t>603936</t>
        </is>
      </c>
      <c r="C118" t="inlineStr">
        <is>
          <t>博敏电子</t>
        </is>
      </c>
      <c r="D118" t="n">
        <v>22</v>
      </c>
      <c r="E118" t="n">
        <v>5.48</v>
      </c>
      <c r="F118" t="n">
        <v>0.01</v>
      </c>
      <c r="G118" t="n">
        <v>8</v>
      </c>
      <c r="H118" t="n">
        <v>6</v>
      </c>
      <c r="I118" t="n">
        <v>5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inlineStr">
        <is>
          <t>D1新高=8,D2强势=6,D3突破=5,D4首板=0,D5潜突=0,D6连板=0,D7一字=0,D8活跃=3,bonus=0</t>
        </is>
      </c>
    </row>
    <row r="119">
      <c r="A119" t="n">
        <v>4</v>
      </c>
      <c r="B119" t="inlineStr">
        <is>
          <t>603175</t>
        </is>
      </c>
      <c r="C119" t="inlineStr">
        <is>
          <t>超颖电子</t>
        </is>
      </c>
      <c r="D119" t="n">
        <v>22</v>
      </c>
      <c r="E119" t="n">
        <v>9.369999999999999</v>
      </c>
      <c r="F119" t="n">
        <v>0</v>
      </c>
      <c r="G119" t="n">
        <v>8</v>
      </c>
      <c r="H119" t="n">
        <v>6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3</v>
      </c>
      <c r="O119" t="n">
        <v>0</v>
      </c>
      <c r="P119" t="inlineStr">
        <is>
          <t>D1新高=8,D2强势=6,D3突破=5,D4首板=0,D5潜突=0,D6连板=0,D7一字=0,D8活跃=3,bonus=0</t>
        </is>
      </c>
    </row>
    <row r="120">
      <c r="A120" t="n">
        <v>5</v>
      </c>
      <c r="B120" t="inlineStr">
        <is>
          <t>301132</t>
        </is>
      </c>
      <c r="C120" t="inlineStr">
        <is>
          <t>满坤科技</t>
        </is>
      </c>
      <c r="D120" t="n">
        <v>17</v>
      </c>
      <c r="E120" t="n">
        <v>0.98</v>
      </c>
      <c r="F120" t="n">
        <v>0</v>
      </c>
      <c r="G120" t="n">
        <v>8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3</v>
      </c>
      <c r="O120" t="n">
        <v>0</v>
      </c>
      <c r="P120" t="inlineStr">
        <is>
          <t>D1新高=8,D2强势=6,D3突破=0,D4首板=0,D5潜突=0,D6连板=0,D7一字=0,D8活跃=3,bonus=0</t>
        </is>
      </c>
    </row>
    <row r="121">
      <c r="A121" t="n">
        <v>6</v>
      </c>
      <c r="B121" t="inlineStr">
        <is>
          <t>600601</t>
        </is>
      </c>
      <c r="C121" t="inlineStr">
        <is>
          <t>方正科技</t>
        </is>
      </c>
      <c r="D121" t="n">
        <v>17</v>
      </c>
      <c r="E121" t="n">
        <v>1.77</v>
      </c>
      <c r="F121" t="n">
        <v>0.04</v>
      </c>
      <c r="G121" t="n">
        <v>8</v>
      </c>
      <c r="H121" t="n">
        <v>6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inlineStr">
        <is>
          <t>D1新高=8,D2强势=6,D3突破=0,D4首板=0,D5潜突=0,D6连板=0,D7一字=0,D8活跃=3,bonus=0</t>
        </is>
      </c>
    </row>
    <row r="122">
      <c r="A122" t="n">
        <v>8</v>
      </c>
      <c r="B122" t="inlineStr">
        <is>
          <t>002916</t>
        </is>
      </c>
      <c r="C122" t="inlineStr">
        <is>
          <t>深南电路</t>
        </is>
      </c>
      <c r="D122" t="n">
        <v>16</v>
      </c>
      <c r="E122" t="n">
        <v>10</v>
      </c>
      <c r="F122" t="n">
        <v>0</v>
      </c>
      <c r="G122" t="n">
        <v>8</v>
      </c>
      <c r="H122" t="n">
        <v>0</v>
      </c>
      <c r="I122" t="n">
        <v>5</v>
      </c>
      <c r="J122" t="n">
        <v>3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D1新高=8,D2强势=0,D3突破=5,D4首板=3,D5潜突=0,D6连板=0,D7一字=0,D8活跃=0,bonus=0</t>
        </is>
      </c>
    </row>
    <row r="123">
      <c r="A123" t="n">
        <v>10</v>
      </c>
      <c r="B123" t="inlineStr">
        <is>
          <t>002815</t>
        </is>
      </c>
      <c r="C123" t="inlineStr">
        <is>
          <t>崇达技术</t>
        </is>
      </c>
      <c r="D123" t="n">
        <v>11</v>
      </c>
      <c r="E123" t="n">
        <v>4.08</v>
      </c>
      <c r="F123" t="n">
        <v>0.01</v>
      </c>
      <c r="G123" t="n">
        <v>8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3</v>
      </c>
      <c r="O123" t="n">
        <v>0</v>
      </c>
      <c r="P123" t="inlineStr">
        <is>
          <t>D1新高=8,D2强势=0,D3突破=0,D4首板=0,D5潜突=0,D6连板=0,D7一字=0,D8活跃=3,bonus=0</t>
        </is>
      </c>
    </row>
    <row r="124">
      <c r="A124" t="n">
        <v>11</v>
      </c>
      <c r="B124" t="inlineStr">
        <is>
          <t>002579</t>
        </is>
      </c>
      <c r="C124" t="inlineStr">
        <is>
          <t>中京电子</t>
        </is>
      </c>
      <c r="D124" t="n">
        <v>8</v>
      </c>
      <c r="E124" t="n">
        <v>10.01</v>
      </c>
      <c r="F124" t="n">
        <v>0.01</v>
      </c>
      <c r="G124" t="n">
        <v>0</v>
      </c>
      <c r="H124" t="n">
        <v>0</v>
      </c>
      <c r="I124" t="n">
        <v>5</v>
      </c>
      <c r="J124" t="n">
        <v>3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D1新高=0,D2强势=0,D3突破=5,D4首板=3,D5潜突=0,D6连板=0,D7一字=0,D8活跃=0,bonus=0</t>
        </is>
      </c>
    </row>
    <row r="125">
      <c r="A125" t="n">
        <v>12</v>
      </c>
      <c r="B125" t="inlineStr">
        <is>
          <t>002938</t>
        </is>
      </c>
      <c r="C125" t="inlineStr">
        <is>
          <t>鹏鼎控股</t>
        </is>
      </c>
      <c r="D125" t="n">
        <v>8</v>
      </c>
      <c r="E125" t="n">
        <v>10</v>
      </c>
      <c r="F125" t="n">
        <v>0.01</v>
      </c>
      <c r="G125" t="n">
        <v>0</v>
      </c>
      <c r="H125" t="n">
        <v>0</v>
      </c>
      <c r="I125" t="n">
        <v>5</v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D1新高=0,D2强势=0,D3突破=5,D4首板=3,D5潜突=0,D6连板=0,D7一字=0,D8活跃=0,bonus=0</t>
        </is>
      </c>
    </row>
    <row r="126">
      <c r="A126" t="n">
        <v>13</v>
      </c>
      <c r="B126" t="inlineStr">
        <is>
          <t>301251</t>
        </is>
      </c>
      <c r="C126" t="inlineStr">
        <is>
          <t>威尔高</t>
        </is>
      </c>
      <c r="D126" t="n">
        <v>3</v>
      </c>
      <c r="E126" t="n">
        <v>3.27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3</v>
      </c>
      <c r="O126" t="n">
        <v>0</v>
      </c>
      <c r="P126" t="inlineStr">
        <is>
          <t>D1新高=0,D2强势=0,D3突破=0,D4首板=0,D5潜突=0,D6连板=0,D7一字=0,D8活跃=3,bonus=0</t>
        </is>
      </c>
    </row>
    <row r="127">
      <c r="A127" t="n">
        <v>14</v>
      </c>
      <c r="B127" t="inlineStr">
        <is>
          <t>300814</t>
        </is>
      </c>
      <c r="C127" t="inlineStr">
        <is>
          <t>中富电路</t>
        </is>
      </c>
      <c r="D127" t="n">
        <v>3</v>
      </c>
      <c r="E127" t="n">
        <v>-0.62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inlineStr">
        <is>
          <t>D1新高=0,D2强势=0,D3突破=0,D4首板=0,D5潜突=0,D6连板=0,D7一字=0,D8活跃=3,bonus=0</t>
        </is>
      </c>
    </row>
    <row r="128">
      <c r="A128" t="n">
        <v>15</v>
      </c>
      <c r="B128" t="inlineStr">
        <is>
          <t>603228</t>
        </is>
      </c>
      <c r="C128" t="inlineStr">
        <is>
          <t>景旺电子</t>
        </is>
      </c>
      <c r="D128" t="n">
        <v>0</v>
      </c>
      <c r="E128" t="n">
        <v>3.34</v>
      </c>
      <c r="F128" t="n">
        <v>0.01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D1新高=0,D2强势=0,D3突破=0,D4首板=0,D5潜突=0,D6连板=0,D7一字=0,D8活跃=0,bonus=0</t>
        </is>
      </c>
    </row>
    <row r="129">
      <c r="A129" t="n">
        <v>16</v>
      </c>
      <c r="B129" t="inlineStr">
        <is>
          <t>300476</t>
        </is>
      </c>
      <c r="C129" t="inlineStr">
        <is>
          <t>胜宏科技</t>
        </is>
      </c>
      <c r="D129" t="n">
        <v>0</v>
      </c>
      <c r="E129" t="n">
        <v>1.75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inlineStr">
        <is>
          <t>D1新高=0,D2强势=0,D3突破=0,D4首板=0,D5潜突=0,D6连板=0,D7一字=0,D8活跃=0,bonus=0</t>
        </is>
      </c>
    </row>
    <row r="130"/>
    <row r="131">
      <c r="A131" s="4" t="inlineStr">
        <is>
          <t>--- 细分: 正极铝箔 ---</t>
        </is>
      </c>
    </row>
    <row r="132">
      <c r="A132" s="5" t="inlineStr">
        <is>
          <t>排名</t>
        </is>
      </c>
      <c r="B132" s="5" t="inlineStr">
        <is>
          <t>代码</t>
        </is>
      </c>
      <c r="C132" s="5" t="inlineStr">
        <is>
          <t>名称</t>
        </is>
      </c>
      <c r="D132" s="5" t="inlineStr">
        <is>
          <t>得分</t>
        </is>
      </c>
      <c r="E132" s="5" t="inlineStr">
        <is>
          <t>涨跌幅%</t>
        </is>
      </c>
      <c r="F132" s="5" t="inlineStr">
        <is>
          <t>成交额(亿)</t>
        </is>
      </c>
      <c r="G132" s="5" t="inlineStr">
        <is>
          <t>D1新高</t>
        </is>
      </c>
      <c r="H132" s="5" t="inlineStr">
        <is>
          <t>D2强势</t>
        </is>
      </c>
      <c r="I132" s="5" t="inlineStr">
        <is>
          <t>D3突破</t>
        </is>
      </c>
      <c r="J132" s="5" t="inlineStr">
        <is>
          <t>D4首板</t>
        </is>
      </c>
      <c r="K132" s="5" t="inlineStr">
        <is>
          <t>D5潜突</t>
        </is>
      </c>
      <c r="L132" s="5" t="inlineStr">
        <is>
          <t>D6连板</t>
        </is>
      </c>
      <c r="M132" s="5" t="inlineStr">
        <is>
          <t>D7一字</t>
        </is>
      </c>
      <c r="N132" s="5" t="inlineStr">
        <is>
          <t>D8活跃</t>
        </is>
      </c>
      <c r="O132" s="5" t="inlineStr">
        <is>
          <t>大成交额加分</t>
        </is>
      </c>
      <c r="P132" s="5" t="inlineStr">
        <is>
          <t>得分明细</t>
        </is>
      </c>
    </row>
    <row r="133">
      <c r="A133" t="n">
        <v>1</v>
      </c>
      <c r="B133" t="inlineStr">
        <is>
          <t>600110</t>
        </is>
      </c>
      <c r="C133" t="inlineStr">
        <is>
          <t>诺德股份</t>
        </is>
      </c>
      <c r="D133" t="n">
        <v>31</v>
      </c>
      <c r="E133" t="n">
        <v>10.03</v>
      </c>
      <c r="F133" t="n">
        <v>0</v>
      </c>
      <c r="G133" t="n">
        <v>8</v>
      </c>
      <c r="H133" t="n">
        <v>6</v>
      </c>
      <c r="I133" t="n">
        <v>0</v>
      </c>
      <c r="J133" t="n">
        <v>3</v>
      </c>
      <c r="K133" t="n">
        <v>0</v>
      </c>
      <c r="L133" t="n">
        <v>5</v>
      </c>
      <c r="M133" t="n">
        <v>6</v>
      </c>
      <c r="N133" t="n">
        <v>3</v>
      </c>
      <c r="O133" t="n">
        <v>0</v>
      </c>
      <c r="P133" t="inlineStr">
        <is>
          <t>D1新高=8,D2强势=6,D3突破=0,D4首板=3,D5潜突=0,D6连板=5,D7一字=6,D8活跃=3,bonus=0</t>
        </is>
      </c>
    </row>
    <row r="134">
      <c r="A134" t="n">
        <v>2</v>
      </c>
      <c r="B134" t="inlineStr">
        <is>
          <t>688388</t>
        </is>
      </c>
      <c r="C134" t="inlineStr">
        <is>
          <t>嘉元科技</t>
        </is>
      </c>
      <c r="D134" t="n">
        <v>3</v>
      </c>
      <c r="E134" t="n">
        <v>-33.07</v>
      </c>
      <c r="F134" t="n">
        <v>0.96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inlineStr">
        <is>
          <t>D1新高=0,D2强势=0,D3突破=0,D4首板=0,D5潜突=0,D6连板=0,D7一字=0,D8活跃=3,bonus=0</t>
        </is>
      </c>
    </row>
    <row r="135">
      <c r="A135" t="n">
        <v>3</v>
      </c>
      <c r="B135" t="inlineStr">
        <is>
          <t>301511</t>
        </is>
      </c>
      <c r="C135" t="inlineStr">
        <is>
          <t>德福科技</t>
        </is>
      </c>
      <c r="D135" t="n">
        <v>3</v>
      </c>
      <c r="E135" t="n">
        <v>-4.03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3</v>
      </c>
      <c r="O135" t="n">
        <v>0</v>
      </c>
      <c r="P135" t="inlineStr">
        <is>
          <t>D1新高=0,D2强势=0,D3突破=0,D4首板=0,D5潜突=0,D6连板=0,D7一字=0,D8活跃=3,bonus=0</t>
        </is>
      </c>
    </row>
    <row r="136"/>
    <row r="137">
      <c r="A137" s="4" t="inlineStr">
        <is>
          <t>--- 细分: 铜箔 ---</t>
        </is>
      </c>
    </row>
    <row r="138">
      <c r="A138" s="5" t="inlineStr">
        <is>
          <t>排名</t>
        </is>
      </c>
      <c r="B138" s="5" t="inlineStr">
        <is>
          <t>代码</t>
        </is>
      </c>
      <c r="C138" s="5" t="inlineStr">
        <is>
          <t>名称</t>
        </is>
      </c>
      <c r="D138" s="5" t="inlineStr">
        <is>
          <t>得分</t>
        </is>
      </c>
      <c r="E138" s="5" t="inlineStr">
        <is>
          <t>涨跌幅%</t>
        </is>
      </c>
      <c r="F138" s="5" t="inlineStr">
        <is>
          <t>成交额(亿)</t>
        </is>
      </c>
      <c r="G138" s="5" t="inlineStr">
        <is>
          <t>D1新高</t>
        </is>
      </c>
      <c r="H138" s="5" t="inlineStr">
        <is>
          <t>D2强势</t>
        </is>
      </c>
      <c r="I138" s="5" t="inlineStr">
        <is>
          <t>D3突破</t>
        </is>
      </c>
      <c r="J138" s="5" t="inlineStr">
        <is>
          <t>D4首板</t>
        </is>
      </c>
      <c r="K138" s="5" t="inlineStr">
        <is>
          <t>D5潜突</t>
        </is>
      </c>
      <c r="L138" s="5" t="inlineStr">
        <is>
          <t>D6连板</t>
        </is>
      </c>
      <c r="M138" s="5" t="inlineStr">
        <is>
          <t>D7一字</t>
        </is>
      </c>
      <c r="N138" s="5" t="inlineStr">
        <is>
          <t>D8活跃</t>
        </is>
      </c>
      <c r="O138" s="5" t="inlineStr">
        <is>
          <t>大成交额加分</t>
        </is>
      </c>
      <c r="P138" s="5" t="inlineStr">
        <is>
          <t>得分明细</t>
        </is>
      </c>
    </row>
    <row r="139">
      <c r="A139" t="n">
        <v>2</v>
      </c>
      <c r="B139" t="inlineStr">
        <is>
          <t>301150</t>
        </is>
      </c>
      <c r="C139" t="inlineStr">
        <is>
          <t>中一科技</t>
        </is>
      </c>
      <c r="D139" t="n">
        <v>8</v>
      </c>
      <c r="E139" t="n">
        <v>11.92</v>
      </c>
      <c r="F139" t="n">
        <v>0</v>
      </c>
      <c r="G139" t="n">
        <v>0</v>
      </c>
      <c r="H139" t="n">
        <v>0</v>
      </c>
      <c r="I139" t="n">
        <v>5</v>
      </c>
      <c r="J139" t="n">
        <v>3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D1新高=0,D2强势=0,D3突破=5,D4首板=3,D5潜突=0,D6连板=0,D7一字=0,D8活跃=0,bonus=0</t>
        </is>
      </c>
    </row>
    <row r="140">
      <c r="A140" t="n">
        <v>3</v>
      </c>
      <c r="B140" t="inlineStr">
        <is>
          <t>301217</t>
        </is>
      </c>
      <c r="C140" t="inlineStr">
        <is>
          <t>铜冠铜箔</t>
        </is>
      </c>
      <c r="D140" t="n">
        <v>3</v>
      </c>
      <c r="E140" t="n">
        <v>1.98</v>
      </c>
      <c r="F140" t="n">
        <v>0.01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3</v>
      </c>
      <c r="O140" t="n">
        <v>0</v>
      </c>
      <c r="P140" t="inlineStr">
        <is>
          <t>D1新高=0,D2强势=0,D3突破=0,D4首板=0,D5潜突=0,D6连板=0,D7一字=0,D8活跃=3,bonus=0</t>
        </is>
      </c>
    </row>
    <row r="141"/>
    <row r="142">
      <c r="A142" s="4" t="inlineStr">
        <is>
          <t>--- 细分: 英伟达 ---</t>
        </is>
      </c>
    </row>
    <row r="143">
      <c r="A143" s="5" t="inlineStr">
        <is>
          <t>排名</t>
        </is>
      </c>
      <c r="B143" s="5" t="inlineStr">
        <is>
          <t>代码</t>
        </is>
      </c>
      <c r="C143" s="5" t="inlineStr">
        <is>
          <t>名称</t>
        </is>
      </c>
      <c r="D143" s="5" t="inlineStr">
        <is>
          <t>得分</t>
        </is>
      </c>
      <c r="E143" s="5" t="inlineStr">
        <is>
          <t>涨跌幅%</t>
        </is>
      </c>
      <c r="F143" s="5" t="inlineStr">
        <is>
          <t>成交额(亿)</t>
        </is>
      </c>
      <c r="G143" s="5" t="inlineStr">
        <is>
          <t>D1新高</t>
        </is>
      </c>
      <c r="H143" s="5" t="inlineStr">
        <is>
          <t>D2强势</t>
        </is>
      </c>
      <c r="I143" s="5" t="inlineStr">
        <is>
          <t>D3突破</t>
        </is>
      </c>
      <c r="J143" s="5" t="inlineStr">
        <is>
          <t>D4首板</t>
        </is>
      </c>
      <c r="K143" s="5" t="inlineStr">
        <is>
          <t>D5潜突</t>
        </is>
      </c>
      <c r="L143" s="5" t="inlineStr">
        <is>
          <t>D6连板</t>
        </is>
      </c>
      <c r="M143" s="5" t="inlineStr">
        <is>
          <t>D7一字</t>
        </is>
      </c>
      <c r="N143" s="5" t="inlineStr">
        <is>
          <t>D8活跃</t>
        </is>
      </c>
      <c r="O143" s="5" t="inlineStr">
        <is>
          <t>大成交额加分</t>
        </is>
      </c>
      <c r="P143" s="5" t="inlineStr">
        <is>
          <t>得分明细</t>
        </is>
      </c>
    </row>
    <row r="144">
      <c r="A144" t="n">
        <v>3</v>
      </c>
      <c r="B144" t="inlineStr">
        <is>
          <t>300586</t>
        </is>
      </c>
      <c r="C144" t="inlineStr">
        <is>
          <t>美联新材</t>
        </is>
      </c>
      <c r="D144" t="n">
        <v>8</v>
      </c>
      <c r="E144" t="n">
        <v>2.36</v>
      </c>
      <c r="F144" t="n">
        <v>0.01</v>
      </c>
      <c r="G144" t="n">
        <v>8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D1新高=8,D2强势=0,D3突破=0,D4首板=0,D5潜突=0,D6连板=0,D7一字=0,D8活跃=0,bonus=0</t>
        </is>
      </c>
    </row>
    <row r="145">
      <c r="A145" t="n">
        <v>4</v>
      </c>
      <c r="B145" t="inlineStr">
        <is>
          <t>300758</t>
        </is>
      </c>
      <c r="C145" t="inlineStr">
        <is>
          <t>七彩化学</t>
        </is>
      </c>
      <c r="D145" t="n">
        <v>5</v>
      </c>
      <c r="E145" t="n">
        <v>4.91</v>
      </c>
      <c r="F145" t="n">
        <v>0</v>
      </c>
      <c r="G145" t="n">
        <v>0</v>
      </c>
      <c r="H145" t="n">
        <v>0</v>
      </c>
      <c r="I145" t="n">
        <v>5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D1新高=0,D2强势=0,D3突破=5,D4首板=0,D5潜突=0,D6连板=0,D7一字=0,D8活跃=0,bonus=0</t>
        </is>
      </c>
    </row>
    <row r="146">
      <c r="A146" t="n">
        <v>5</v>
      </c>
      <c r="B146" t="inlineStr">
        <is>
          <t>301041</t>
        </is>
      </c>
      <c r="C146" t="inlineStr">
        <is>
          <t>金百泽</t>
        </is>
      </c>
      <c r="D146" t="n">
        <v>0</v>
      </c>
      <c r="E146" t="n">
        <v>2.44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D1新高=0,D2强势=0,D3突破=0,D4首板=0,D5潜突=0,D6连板=0,D7一字=0,D8活跃=0,bonus=0</t>
        </is>
      </c>
    </row>
    <row r="147"/>
    <row r="148">
      <c r="A148" s="4" t="inlineStr">
        <is>
          <t>--- 细分: 钻孔 ---</t>
        </is>
      </c>
    </row>
    <row r="149">
      <c r="A149" s="5" t="inlineStr">
        <is>
          <t>排名</t>
        </is>
      </c>
      <c r="B149" s="5" t="inlineStr">
        <is>
          <t>代码</t>
        </is>
      </c>
      <c r="C149" s="5" t="inlineStr">
        <is>
          <t>名称</t>
        </is>
      </c>
      <c r="D149" s="5" t="inlineStr">
        <is>
          <t>得分</t>
        </is>
      </c>
      <c r="E149" s="5" t="inlineStr">
        <is>
          <t>涨跌幅%</t>
        </is>
      </c>
      <c r="F149" s="5" t="inlineStr">
        <is>
          <t>成交额(亿)</t>
        </is>
      </c>
      <c r="G149" s="5" t="inlineStr">
        <is>
          <t>D1新高</t>
        </is>
      </c>
      <c r="H149" s="5" t="inlineStr">
        <is>
          <t>D2强势</t>
        </is>
      </c>
      <c r="I149" s="5" t="inlineStr">
        <is>
          <t>D3突破</t>
        </is>
      </c>
      <c r="J149" s="5" t="inlineStr">
        <is>
          <t>D4首板</t>
        </is>
      </c>
      <c r="K149" s="5" t="inlineStr">
        <is>
          <t>D5潜突</t>
        </is>
      </c>
      <c r="L149" s="5" t="inlineStr">
        <is>
          <t>D6连板</t>
        </is>
      </c>
      <c r="M149" s="5" t="inlineStr">
        <is>
          <t>D7一字</t>
        </is>
      </c>
      <c r="N149" s="5" t="inlineStr">
        <is>
          <t>D8活跃</t>
        </is>
      </c>
      <c r="O149" s="5" t="inlineStr">
        <is>
          <t>大成交额加分</t>
        </is>
      </c>
      <c r="P149" s="5" t="inlineStr">
        <is>
          <t>得分明细</t>
        </is>
      </c>
    </row>
    <row r="150">
      <c r="A150" t="n">
        <v>1</v>
      </c>
      <c r="B150" t="inlineStr">
        <is>
          <t>301021</t>
        </is>
      </c>
      <c r="C150" t="inlineStr">
        <is>
          <t>英诺激光</t>
        </is>
      </c>
      <c r="D150" t="n">
        <v>22</v>
      </c>
      <c r="E150" t="n">
        <v>7.97</v>
      </c>
      <c r="F150" t="n">
        <v>0</v>
      </c>
      <c r="G150" t="n">
        <v>8</v>
      </c>
      <c r="H150" t="n">
        <v>6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3</v>
      </c>
      <c r="O150" t="n">
        <v>0</v>
      </c>
      <c r="P150" t="inlineStr">
        <is>
          <t>D1新高=8,D2强势=6,D3突破=5,D4首板=0,D5潜突=0,D6连板=0,D7一字=0,D8活跃=3,bonus=0</t>
        </is>
      </c>
    </row>
    <row r="151">
      <c r="A151" t="n">
        <v>2</v>
      </c>
      <c r="B151" t="inlineStr">
        <is>
          <t>688170</t>
        </is>
      </c>
      <c r="C151" t="inlineStr">
        <is>
          <t>德龙激光</t>
        </is>
      </c>
      <c r="D151" t="n">
        <v>8</v>
      </c>
      <c r="E151" t="n">
        <v>3.2</v>
      </c>
      <c r="F151" t="n">
        <v>0.11</v>
      </c>
      <c r="G151" t="n">
        <v>0</v>
      </c>
      <c r="H151" t="n">
        <v>0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inlineStr">
        <is>
          <t>D1新高=0,D2强势=0,D3突破=5,D4首板=0,D5潜突=0,D6连板=0,D7一字=0,D8活跃=3,bonus=0</t>
        </is>
      </c>
    </row>
    <row r="152">
      <c r="A152" t="n">
        <v>3</v>
      </c>
      <c r="B152" t="inlineStr">
        <is>
          <t>688003</t>
        </is>
      </c>
      <c r="C152" t="inlineStr">
        <is>
          <t>天准科技</t>
        </is>
      </c>
      <c r="D152" t="n">
        <v>8</v>
      </c>
      <c r="E152" t="n">
        <v>6.25</v>
      </c>
      <c r="F152" t="n">
        <v>0.12</v>
      </c>
      <c r="G152" t="n">
        <v>0</v>
      </c>
      <c r="H152" t="n">
        <v>0</v>
      </c>
      <c r="I152" t="n">
        <v>5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inlineStr">
        <is>
          <t>D1新高=0,D2强势=0,D3突破=5,D4首板=0,D5潜突=0,D6连板=0,D7一字=0,D8活跃=3,bonus=0</t>
        </is>
      </c>
    </row>
    <row r="153">
      <c r="A153" t="n">
        <v>4</v>
      </c>
      <c r="B153" t="inlineStr">
        <is>
          <t>301200</t>
        </is>
      </c>
      <c r="C153" t="inlineStr">
        <is>
          <t>大族数控</t>
        </is>
      </c>
      <c r="D153" t="n">
        <v>3</v>
      </c>
      <c r="E153" t="n">
        <v>0.64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3</v>
      </c>
      <c r="O153" t="n">
        <v>0</v>
      </c>
      <c r="P153" t="inlineStr">
        <is>
          <t>D1新高=0,D2强势=0,D3突破=0,D4首板=0,D5潜突=0,D6连板=0,D7一字=0,D8活跃=3,bonus=0</t>
        </is>
      </c>
    </row>
    <row r="154"/>
    <row r="155">
      <c r="A155" s="4" t="inlineStr">
        <is>
          <t>--- 细分: HVLP ---</t>
        </is>
      </c>
    </row>
    <row r="156">
      <c r="A156" s="5" t="inlineStr">
        <is>
          <t>排名</t>
        </is>
      </c>
      <c r="B156" s="5" t="inlineStr">
        <is>
          <t>代码</t>
        </is>
      </c>
      <c r="C156" s="5" t="inlineStr">
        <is>
          <t>名称</t>
        </is>
      </c>
      <c r="D156" s="5" t="inlineStr">
        <is>
          <t>得分</t>
        </is>
      </c>
      <c r="E156" s="5" t="inlineStr">
        <is>
          <t>涨跌幅%</t>
        </is>
      </c>
      <c r="F156" s="5" t="inlineStr">
        <is>
          <t>成交额(亿)</t>
        </is>
      </c>
      <c r="G156" s="5" t="inlineStr">
        <is>
          <t>D1新高</t>
        </is>
      </c>
      <c r="H156" s="5" t="inlineStr">
        <is>
          <t>D2强势</t>
        </is>
      </c>
      <c r="I156" s="5" t="inlineStr">
        <is>
          <t>D3突破</t>
        </is>
      </c>
      <c r="J156" s="5" t="inlineStr">
        <is>
          <t>D4首板</t>
        </is>
      </c>
      <c r="K156" s="5" t="inlineStr">
        <is>
          <t>D5潜突</t>
        </is>
      </c>
      <c r="L156" s="5" t="inlineStr">
        <is>
          <t>D6连板</t>
        </is>
      </c>
      <c r="M156" s="5" t="inlineStr">
        <is>
          <t>D7一字</t>
        </is>
      </c>
      <c r="N156" s="5" t="inlineStr">
        <is>
          <t>D8活跃</t>
        </is>
      </c>
      <c r="O156" s="5" t="inlineStr">
        <is>
          <t>大成交额加分</t>
        </is>
      </c>
      <c r="P156" s="5" t="inlineStr">
        <is>
          <t>得分明细</t>
        </is>
      </c>
    </row>
    <row r="157">
      <c r="A157" t="n">
        <v>3</v>
      </c>
      <c r="B157" t="inlineStr">
        <is>
          <t>301176</t>
        </is>
      </c>
      <c r="C157" t="inlineStr">
        <is>
          <t>逸豪新材</t>
        </is>
      </c>
      <c r="D157" t="n">
        <v>9</v>
      </c>
      <c r="E157" t="n">
        <v>-1.98</v>
      </c>
      <c r="F157" t="n">
        <v>0</v>
      </c>
      <c r="G157" t="n">
        <v>0</v>
      </c>
      <c r="H157" t="n">
        <v>6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0</v>
      </c>
      <c r="P157" t="inlineStr">
        <is>
          <t>D1新高=0,D2强势=6,D3突破=0,D4首板=0,D5潜突=0,D6连板=0,D7一字=0,D8活跃=3,bonus=0</t>
        </is>
      </c>
    </row>
    <row r="158">
      <c r="A158" t="n">
        <v>4</v>
      </c>
      <c r="B158" t="inlineStr">
        <is>
          <t>301389</t>
        </is>
      </c>
      <c r="C158" t="inlineStr">
        <is>
          <t>隆扬电子</t>
        </is>
      </c>
      <c r="D158" t="n">
        <v>3</v>
      </c>
      <c r="E158" t="n">
        <v>-5.69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</v>
      </c>
      <c r="O158" t="n">
        <v>0</v>
      </c>
      <c r="P158" t="inlineStr">
        <is>
          <t>D1新高=0,D2强势=0,D3突破=0,D4首板=0,D5潜突=0,D6连板=0,D7一字=0,D8活跃=3,bonus=0</t>
        </is>
      </c>
    </row>
    <row r="159"/>
    <row r="160">
      <c r="A160" s="4" t="inlineStr">
        <is>
          <t>--- 细分: 检测 ---</t>
        </is>
      </c>
    </row>
    <row r="161">
      <c r="A161" s="5" t="inlineStr">
        <is>
          <t>排名</t>
        </is>
      </c>
      <c r="B161" s="5" t="inlineStr">
        <is>
          <t>代码</t>
        </is>
      </c>
      <c r="C161" s="5" t="inlineStr">
        <is>
          <t>名称</t>
        </is>
      </c>
      <c r="D161" s="5" t="inlineStr">
        <is>
          <t>得分</t>
        </is>
      </c>
      <c r="E161" s="5" t="inlineStr">
        <is>
          <t>涨跌幅%</t>
        </is>
      </c>
      <c r="F161" s="5" t="inlineStr">
        <is>
          <t>成交额(亿)</t>
        </is>
      </c>
      <c r="G161" s="5" t="inlineStr">
        <is>
          <t>D1新高</t>
        </is>
      </c>
      <c r="H161" s="5" t="inlineStr">
        <is>
          <t>D2强势</t>
        </is>
      </c>
      <c r="I161" s="5" t="inlineStr">
        <is>
          <t>D3突破</t>
        </is>
      </c>
      <c r="J161" s="5" t="inlineStr">
        <is>
          <t>D4首板</t>
        </is>
      </c>
      <c r="K161" s="5" t="inlineStr">
        <is>
          <t>D5潜突</t>
        </is>
      </c>
      <c r="L161" s="5" t="inlineStr">
        <is>
          <t>D6连板</t>
        </is>
      </c>
      <c r="M161" s="5" t="inlineStr">
        <is>
          <t>D7一字</t>
        </is>
      </c>
      <c r="N161" s="5" t="inlineStr">
        <is>
          <t>D8活跃</t>
        </is>
      </c>
      <c r="O161" s="5" t="inlineStr">
        <is>
          <t>大成交额加分</t>
        </is>
      </c>
      <c r="P161" s="5" t="inlineStr">
        <is>
          <t>得分明细</t>
        </is>
      </c>
    </row>
    <row r="162">
      <c r="A162" t="n">
        <v>1</v>
      </c>
      <c r="B162" t="inlineStr">
        <is>
          <t>300410</t>
        </is>
      </c>
      <c r="C162" t="inlineStr">
        <is>
          <t>正业科技</t>
        </is>
      </c>
      <c r="D162" t="n">
        <v>11</v>
      </c>
      <c r="E162" t="n">
        <v>2.08</v>
      </c>
      <c r="F162" t="n">
        <v>0.01</v>
      </c>
      <c r="G162" t="n">
        <v>8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3</v>
      </c>
      <c r="O162" t="n">
        <v>0</v>
      </c>
      <c r="P162" t="inlineStr">
        <is>
          <t>D1新高=8,D2强势=0,D3突破=0,D4首板=0,D5潜突=0,D6连板=0,D7一字=0,D8活跃=3,bonus=0</t>
        </is>
      </c>
    </row>
    <row r="163">
      <c r="A163" t="n">
        <v>2</v>
      </c>
      <c r="B163" t="inlineStr">
        <is>
          <t>688312</t>
        </is>
      </c>
      <c r="C163" t="inlineStr">
        <is>
          <t>燕麦科技</t>
        </is>
      </c>
      <c r="D163" t="n">
        <v>8</v>
      </c>
      <c r="E163" t="n">
        <v>10.29</v>
      </c>
      <c r="F163" t="n">
        <v>0.11</v>
      </c>
      <c r="G163" t="n">
        <v>0</v>
      </c>
      <c r="H163" t="n">
        <v>0</v>
      </c>
      <c r="I163" t="n">
        <v>5</v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D1新高=0,D2强势=0,D3突破=5,D4首板=3,D5潜突=0,D6连板=0,D7一字=0,D8活跃=0,bonus=0</t>
        </is>
      </c>
    </row>
    <row r="164"/>
    <row r="165">
      <c r="A165" s="4" t="inlineStr">
        <is>
          <t>--- 细分: 隔膜 ---</t>
        </is>
      </c>
    </row>
    <row r="166">
      <c r="A166" s="5" t="inlineStr">
        <is>
          <t>排名</t>
        </is>
      </c>
      <c r="B166" s="5" t="inlineStr">
        <is>
          <t>代码</t>
        </is>
      </c>
      <c r="C166" s="5" t="inlineStr">
        <is>
          <t>名称</t>
        </is>
      </c>
      <c r="D166" s="5" t="inlineStr">
        <is>
          <t>得分</t>
        </is>
      </c>
      <c r="E166" s="5" t="inlineStr">
        <is>
          <t>涨跌幅%</t>
        </is>
      </c>
      <c r="F166" s="5" t="inlineStr">
        <is>
          <t>成交额(亿)</t>
        </is>
      </c>
      <c r="G166" s="5" t="inlineStr">
        <is>
          <t>D1新高</t>
        </is>
      </c>
      <c r="H166" s="5" t="inlineStr">
        <is>
          <t>D2强势</t>
        </is>
      </c>
      <c r="I166" s="5" t="inlineStr">
        <is>
          <t>D3突破</t>
        </is>
      </c>
      <c r="J166" s="5" t="inlineStr">
        <is>
          <t>D4首板</t>
        </is>
      </c>
      <c r="K166" s="5" t="inlineStr">
        <is>
          <t>D5潜突</t>
        </is>
      </c>
      <c r="L166" s="5" t="inlineStr">
        <is>
          <t>D6连板</t>
        </is>
      </c>
      <c r="M166" s="5" t="inlineStr">
        <is>
          <t>D7一字</t>
        </is>
      </c>
      <c r="N166" s="5" t="inlineStr">
        <is>
          <t>D8活跃</t>
        </is>
      </c>
      <c r="O166" s="5" t="inlineStr">
        <is>
          <t>大成交额加分</t>
        </is>
      </c>
      <c r="P166" s="5" t="inlineStr">
        <is>
          <t>得分明细</t>
        </is>
      </c>
    </row>
    <row r="167">
      <c r="A167" t="n">
        <v>1</v>
      </c>
      <c r="B167" t="inlineStr">
        <is>
          <t>002080</t>
        </is>
      </c>
      <c r="C167" t="inlineStr">
        <is>
          <t>中材科技</t>
        </is>
      </c>
      <c r="D167" t="n">
        <v>30</v>
      </c>
      <c r="E167" t="n">
        <v>10</v>
      </c>
      <c r="F167" t="n">
        <v>0.01</v>
      </c>
      <c r="G167" t="n">
        <v>8</v>
      </c>
      <c r="H167" t="n">
        <v>6</v>
      </c>
      <c r="I167" t="n">
        <v>5</v>
      </c>
      <c r="J167" t="n">
        <v>3</v>
      </c>
      <c r="K167" t="n">
        <v>0</v>
      </c>
      <c r="L167" t="n">
        <v>5</v>
      </c>
      <c r="M167" t="n">
        <v>0</v>
      </c>
      <c r="N167" t="n">
        <v>3</v>
      </c>
      <c r="O167" t="n">
        <v>0</v>
      </c>
      <c r="P167" t="inlineStr">
        <is>
          <t>D1新高=8,D2强势=6,D3突破=5,D4首板=3,D5潜突=0,D6连板=5,D7一字=0,D8活跃=3,bonus=0</t>
        </is>
      </c>
    </row>
    <row r="168">
      <c r="A168" t="n">
        <v>2</v>
      </c>
      <c r="B168" t="inlineStr">
        <is>
          <t>300568</t>
        </is>
      </c>
      <c r="C168" t="inlineStr">
        <is>
          <t>星源材质</t>
        </is>
      </c>
      <c r="D168" t="n">
        <v>8</v>
      </c>
      <c r="E168" t="n">
        <v>3.15</v>
      </c>
      <c r="F168" t="n">
        <v>0.01</v>
      </c>
      <c r="G168" t="n">
        <v>8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D1新高=8,D2强势=0,D3突破=0,D4首板=0,D5潜突=0,D6连板=0,D7一字=0,D8活跃=0,bonus=0</t>
        </is>
      </c>
    </row>
    <row r="169">
      <c r="A169" t="n">
        <v>3</v>
      </c>
      <c r="B169" t="inlineStr">
        <is>
          <t>002812</t>
        </is>
      </c>
      <c r="C169" t="inlineStr">
        <is>
          <t>恩捷股份</t>
        </is>
      </c>
      <c r="D169" t="n">
        <v>3</v>
      </c>
      <c r="E169" t="n">
        <v>0.87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</v>
      </c>
      <c r="O169" t="n">
        <v>0</v>
      </c>
      <c r="P169" t="inlineStr">
        <is>
          <t>D1新高=0,D2强势=0,D3突破=0,D4首板=0,D5潜突=0,D6连板=0,D7一字=0,D8活跃=3,bonus=0</t>
        </is>
      </c>
    </row>
    <row r="170">
      <c r="A170" t="n">
        <v>4</v>
      </c>
      <c r="B170" t="inlineStr">
        <is>
          <t>002108</t>
        </is>
      </c>
      <c r="C170" t="inlineStr">
        <is>
          <t>沧州明珠</t>
        </is>
      </c>
      <c r="D170" t="n">
        <v>0</v>
      </c>
      <c r="E170" t="n">
        <v>-2.67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inlineStr">
        <is>
          <t>D1新高=0,D2强势=0,D3突破=0,D4首板=0,D5潜突=0,D6连板=0,D7一字=0,D8活跃=0,bonus=0</t>
        </is>
      </c>
    </row>
    <row r="171">
      <c r="A171" t="n">
        <v>5</v>
      </c>
      <c r="B171" t="inlineStr">
        <is>
          <t>603659</t>
        </is>
      </c>
      <c r="C171" t="inlineStr">
        <is>
          <t>璞泰来</t>
        </is>
      </c>
      <c r="D171" t="n">
        <v>0</v>
      </c>
      <c r="E171" t="n">
        <v>-0.57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D1新高=0,D2强势=0,D3突破=0,D4首板=0,D5潜突=0,D6连板=0,D7一字=0,D8活跃=0,bonus=0</t>
        </is>
      </c>
    </row>
    <row r="172"/>
    <row r="173">
      <c r="A173" s="4" t="inlineStr">
        <is>
          <t>--- 细分: 树脂增韧剂 ---</t>
        </is>
      </c>
    </row>
    <row r="174">
      <c r="A174" s="5" t="inlineStr">
        <is>
          <t>排名</t>
        </is>
      </c>
      <c r="B174" s="5" t="inlineStr">
        <is>
          <t>代码</t>
        </is>
      </c>
      <c r="C174" s="5" t="inlineStr">
        <is>
          <t>名称</t>
        </is>
      </c>
      <c r="D174" s="5" t="inlineStr">
        <is>
          <t>得分</t>
        </is>
      </c>
      <c r="E174" s="5" t="inlineStr">
        <is>
          <t>涨跌幅%</t>
        </is>
      </c>
      <c r="F174" s="5" t="inlineStr">
        <is>
          <t>成交额(亿)</t>
        </is>
      </c>
      <c r="G174" s="5" t="inlineStr">
        <is>
          <t>D1新高</t>
        </is>
      </c>
      <c r="H174" s="5" t="inlineStr">
        <is>
          <t>D2强势</t>
        </is>
      </c>
      <c r="I174" s="5" t="inlineStr">
        <is>
          <t>D3突破</t>
        </is>
      </c>
      <c r="J174" s="5" t="inlineStr">
        <is>
          <t>D4首板</t>
        </is>
      </c>
      <c r="K174" s="5" t="inlineStr">
        <is>
          <t>D5潜突</t>
        </is>
      </c>
      <c r="L174" s="5" t="inlineStr">
        <is>
          <t>D6连板</t>
        </is>
      </c>
      <c r="M174" s="5" t="inlineStr">
        <is>
          <t>D7一字</t>
        </is>
      </c>
      <c r="N174" s="5" t="inlineStr">
        <is>
          <t>D8活跃</t>
        </is>
      </c>
      <c r="O174" s="5" t="inlineStr">
        <is>
          <t>大成交额加分</t>
        </is>
      </c>
      <c r="P174" s="5" t="inlineStr">
        <is>
          <t>得分明细</t>
        </is>
      </c>
    </row>
    <row r="175">
      <c r="A175" t="n">
        <v>1</v>
      </c>
      <c r="B175" t="inlineStr">
        <is>
          <t>300243</t>
        </is>
      </c>
      <c r="C175" t="inlineStr">
        <is>
          <t>瑞丰高材</t>
        </is>
      </c>
      <c r="D175" t="n">
        <v>8</v>
      </c>
      <c r="E175" t="n">
        <v>1.56</v>
      </c>
      <c r="F175" t="n">
        <v>0</v>
      </c>
      <c r="G175" t="n">
        <v>8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D1新高=8,D2强势=0,D3突破=0,D4首板=0,D5潜突=0,D6连板=0,D7一字=0,D8活跃=0,bonus=0</t>
        </is>
      </c>
    </row>
    <row r="176"/>
    <row r="177">
      <c r="A177" s="4" t="inlineStr">
        <is>
          <t>--- 细分: 电子特气 ---</t>
        </is>
      </c>
    </row>
    <row r="178">
      <c r="A178" s="5" t="inlineStr">
        <is>
          <t>排名</t>
        </is>
      </c>
      <c r="B178" s="5" t="inlineStr">
        <is>
          <t>代码</t>
        </is>
      </c>
      <c r="C178" s="5" t="inlineStr">
        <is>
          <t>名称</t>
        </is>
      </c>
      <c r="D178" s="5" t="inlineStr">
        <is>
          <t>得分</t>
        </is>
      </c>
      <c r="E178" s="5" t="inlineStr">
        <is>
          <t>涨跌幅%</t>
        </is>
      </c>
      <c r="F178" s="5" t="inlineStr">
        <is>
          <t>成交额(亿)</t>
        </is>
      </c>
      <c r="G178" s="5" t="inlineStr">
        <is>
          <t>D1新高</t>
        </is>
      </c>
      <c r="H178" s="5" t="inlineStr">
        <is>
          <t>D2强势</t>
        </is>
      </c>
      <c r="I178" s="5" t="inlineStr">
        <is>
          <t>D3突破</t>
        </is>
      </c>
      <c r="J178" s="5" t="inlineStr">
        <is>
          <t>D4首板</t>
        </is>
      </c>
      <c r="K178" s="5" t="inlineStr">
        <is>
          <t>D5潜突</t>
        </is>
      </c>
      <c r="L178" s="5" t="inlineStr">
        <is>
          <t>D6连板</t>
        </is>
      </c>
      <c r="M178" s="5" t="inlineStr">
        <is>
          <t>D7一字</t>
        </is>
      </c>
      <c r="N178" s="5" t="inlineStr">
        <is>
          <t>D8活跃</t>
        </is>
      </c>
      <c r="O178" s="5" t="inlineStr">
        <is>
          <t>大成交额加分</t>
        </is>
      </c>
      <c r="P178" s="5" t="inlineStr">
        <is>
          <t>得分明细</t>
        </is>
      </c>
    </row>
    <row r="179">
      <c r="A179" t="n">
        <v>2</v>
      </c>
      <c r="B179" t="inlineStr">
        <is>
          <t>002971</t>
        </is>
      </c>
      <c r="C179" t="inlineStr">
        <is>
          <t>和远气体</t>
        </is>
      </c>
      <c r="D179" t="n">
        <v>22</v>
      </c>
      <c r="E179" t="n">
        <v>3.39</v>
      </c>
      <c r="F179" t="n">
        <v>0</v>
      </c>
      <c r="G179" t="n">
        <v>8</v>
      </c>
      <c r="H179" t="n">
        <v>6</v>
      </c>
      <c r="I179" t="n">
        <v>5</v>
      </c>
      <c r="J179" t="n">
        <v>0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inlineStr">
        <is>
          <t>D1新高=8,D2强势=6,D3突破=5,D4首板=0,D5潜突=0,D6连板=0,D7一字=0,D8活跃=3,bonus=0</t>
        </is>
      </c>
    </row>
    <row r="180">
      <c r="A180" t="n">
        <v>3</v>
      </c>
      <c r="B180" t="inlineStr">
        <is>
          <t>688106</t>
        </is>
      </c>
      <c r="C180" t="inlineStr">
        <is>
          <t>金宏气体</t>
        </is>
      </c>
      <c r="D180" t="n">
        <v>8</v>
      </c>
      <c r="E180" t="n">
        <v>3.62</v>
      </c>
      <c r="F180" t="n">
        <v>0.42</v>
      </c>
      <c r="G180" t="n">
        <v>0</v>
      </c>
      <c r="H180" t="n">
        <v>0</v>
      </c>
      <c r="I180" t="n">
        <v>5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inlineStr">
        <is>
          <t>D1新高=0,D2强势=0,D3突破=5,D4首板=0,D5潜突=0,D6连板=0,D7一字=0,D8活跃=3,bonus=0</t>
        </is>
      </c>
    </row>
    <row r="181">
      <c r="A181" t="n">
        <v>4</v>
      </c>
      <c r="B181" t="inlineStr">
        <is>
          <t>603938</t>
        </is>
      </c>
      <c r="C181" t="inlineStr">
        <is>
          <t>三孚股份</t>
        </is>
      </c>
      <c r="D181" t="n">
        <v>3</v>
      </c>
      <c r="E181" t="n">
        <v>-3.55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inlineStr">
        <is>
          <t>D1新高=0,D2强势=0,D3突破=0,D4首板=0,D5潜突=0,D6连板=0,D7一字=0,D8活跃=3,bonus=0</t>
        </is>
      </c>
    </row>
    <row r="182">
      <c r="A182" t="n">
        <v>5</v>
      </c>
      <c r="B182" t="inlineStr">
        <is>
          <t>688268</t>
        </is>
      </c>
      <c r="C182" t="inlineStr">
        <is>
          <t>华特气体</t>
        </is>
      </c>
      <c r="D182" t="n">
        <v>3</v>
      </c>
      <c r="E182" t="n">
        <v>1.4</v>
      </c>
      <c r="F182" t="n">
        <v>0.11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inlineStr">
        <is>
          <t>D1新高=0,D2强势=0,D3突破=0,D4首板=0,D5潜突=0,D6连板=0,D7一字=0,D8活跃=3,bonus=0</t>
        </is>
      </c>
    </row>
    <row r="183">
      <c r="A183" t="n">
        <v>6</v>
      </c>
      <c r="B183" t="inlineStr">
        <is>
          <t>002549</t>
        </is>
      </c>
      <c r="C183" t="inlineStr">
        <is>
          <t>凯美特气</t>
        </is>
      </c>
      <c r="D183" t="n">
        <v>3</v>
      </c>
      <c r="E183" t="n">
        <v>-3.98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inlineStr">
        <is>
          <t>D1新高=0,D2强势=0,D3突破=0,D4首板=0,D5潜突=0,D6连板=0,D7一字=0,D8活跃=3,bonus=0</t>
        </is>
      </c>
    </row>
    <row r="184">
      <c r="A184" t="n">
        <v>7</v>
      </c>
      <c r="B184" t="inlineStr">
        <is>
          <t>300346</t>
        </is>
      </c>
      <c r="C184" t="inlineStr">
        <is>
          <t>南大光电</t>
        </is>
      </c>
      <c r="D184" t="n">
        <v>0</v>
      </c>
      <c r="E184" t="n">
        <v>3.19</v>
      </c>
      <c r="F184" t="n">
        <v>0.01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D1新高=0,D2强势=0,D3突破=0,D4首板=0,D5潜突=0,D6连板=0,D7一字=0,D8活跃=0,bonus=0</t>
        </is>
      </c>
    </row>
    <row r="185">
      <c r="A185" t="n">
        <v>8</v>
      </c>
      <c r="B185" t="inlineStr">
        <is>
          <t>300111</t>
        </is>
      </c>
      <c r="C185" t="inlineStr">
        <is>
          <t>向日葵</t>
        </is>
      </c>
      <c r="D185" t="n">
        <v>0</v>
      </c>
      <c r="E185" t="n">
        <v>-2.22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D1新高=0,D2强势=0,D3突破=0,D4首板=0,D5潜突=0,D6连板=0,D7一字=0,D8活跃=0,bonus=0</t>
        </is>
      </c>
    </row>
    <row r="186"/>
    <row r="187">
      <c r="A187" s="4" t="inlineStr">
        <is>
          <t>--- 细分: 湿法隔膜 ---</t>
        </is>
      </c>
    </row>
    <row r="188">
      <c r="A188" s="5" t="inlineStr">
        <is>
          <t>排名</t>
        </is>
      </c>
      <c r="B188" s="5" t="inlineStr">
        <is>
          <t>代码</t>
        </is>
      </c>
      <c r="C188" s="5" t="inlineStr">
        <is>
          <t>名称</t>
        </is>
      </c>
      <c r="D188" s="5" t="inlineStr">
        <is>
          <t>得分</t>
        </is>
      </c>
      <c r="E188" s="5" t="inlineStr">
        <is>
          <t>涨跌幅%</t>
        </is>
      </c>
      <c r="F188" s="5" t="inlineStr">
        <is>
          <t>成交额(亿)</t>
        </is>
      </c>
      <c r="G188" s="5" t="inlineStr">
        <is>
          <t>D1新高</t>
        </is>
      </c>
      <c r="H188" s="5" t="inlineStr">
        <is>
          <t>D2强势</t>
        </is>
      </c>
      <c r="I188" s="5" t="inlineStr">
        <is>
          <t>D3突破</t>
        </is>
      </c>
      <c r="J188" s="5" t="inlineStr">
        <is>
          <t>D4首板</t>
        </is>
      </c>
      <c r="K188" s="5" t="inlineStr">
        <is>
          <t>D5潜突</t>
        </is>
      </c>
      <c r="L188" s="5" t="inlineStr">
        <is>
          <t>D6连板</t>
        </is>
      </c>
      <c r="M188" s="5" t="inlineStr">
        <is>
          <t>D7一字</t>
        </is>
      </c>
      <c r="N188" s="5" t="inlineStr">
        <is>
          <t>D8活跃</t>
        </is>
      </c>
      <c r="O188" s="5" t="inlineStr">
        <is>
          <t>大成交额加分</t>
        </is>
      </c>
      <c r="P188" s="5" t="inlineStr">
        <is>
          <t>得分明细</t>
        </is>
      </c>
    </row>
    <row r="189">
      <c r="A189" t="n">
        <v>6</v>
      </c>
      <c r="B189" t="inlineStr">
        <is>
          <t>688219</t>
        </is>
      </c>
      <c r="C189" t="inlineStr">
        <is>
          <t>会通股份</t>
        </is>
      </c>
      <c r="D189" t="n">
        <v>0</v>
      </c>
      <c r="E189" t="n">
        <v>-1.87</v>
      </c>
      <c r="F189" t="n">
        <v>0.2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D1新高=0,D2强势=0,D3突破=0,D4首板=0,D5潜突=0,D6连板=0,D7一字=0,D8活跃=0,bonus=0</t>
        </is>
      </c>
    </row>
    <row r="190">
      <c r="A190" t="n">
        <v>7</v>
      </c>
      <c r="B190" t="inlineStr">
        <is>
          <t>000973</t>
        </is>
      </c>
      <c r="C190" t="inlineStr">
        <is>
          <t>佛塑科技</t>
        </is>
      </c>
      <c r="D190" t="n">
        <v>0</v>
      </c>
      <c r="E190" t="n">
        <v>-1.37</v>
      </c>
      <c r="F190" t="n">
        <v>0.01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D1新高=0,D2强势=0,D3突破=0,D4首板=0,D5潜突=0,D6连板=0,D7一字=0,D8活跃=0,bonus=0</t>
        </is>
      </c>
    </row>
    <row r="191">
      <c r="A191" t="n">
        <v>8</v>
      </c>
      <c r="B191" t="inlineStr">
        <is>
          <t>000570</t>
        </is>
      </c>
      <c r="C191" t="inlineStr">
        <is>
          <t>苏常柴Ａ</t>
        </is>
      </c>
      <c r="D191" t="n">
        <v>0</v>
      </c>
      <c r="E191" t="n">
        <v>-1.35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D1新高=0,D2强势=0,D3突破=0,D4首板=0,D5潜突=0,D6连板=0,D7一字=0,D8活跃=0,bonus=0</t>
        </is>
      </c>
    </row>
    <row r="192"/>
    <row r="193">
      <c r="A193" s="4" t="inlineStr">
        <is>
          <t>--- 细分: 曝光 ---</t>
        </is>
      </c>
    </row>
    <row r="194">
      <c r="A194" s="5" t="inlineStr">
        <is>
          <t>排名</t>
        </is>
      </c>
      <c r="B194" s="5" t="inlineStr">
        <is>
          <t>代码</t>
        </is>
      </c>
      <c r="C194" s="5" t="inlineStr">
        <is>
          <t>名称</t>
        </is>
      </c>
      <c r="D194" s="5" t="inlineStr">
        <is>
          <t>得分</t>
        </is>
      </c>
      <c r="E194" s="5" t="inlineStr">
        <is>
          <t>涨跌幅%</t>
        </is>
      </c>
      <c r="F194" s="5" t="inlineStr">
        <is>
          <t>成交额(亿)</t>
        </is>
      </c>
      <c r="G194" s="5" t="inlineStr">
        <is>
          <t>D1新高</t>
        </is>
      </c>
      <c r="H194" s="5" t="inlineStr">
        <is>
          <t>D2强势</t>
        </is>
      </c>
      <c r="I194" s="5" t="inlineStr">
        <is>
          <t>D3突破</t>
        </is>
      </c>
      <c r="J194" s="5" t="inlineStr">
        <is>
          <t>D4首板</t>
        </is>
      </c>
      <c r="K194" s="5" t="inlineStr">
        <is>
          <t>D5潜突</t>
        </is>
      </c>
      <c r="L194" s="5" t="inlineStr">
        <is>
          <t>D6连板</t>
        </is>
      </c>
      <c r="M194" s="5" t="inlineStr">
        <is>
          <t>D7一字</t>
        </is>
      </c>
      <c r="N194" s="5" t="inlineStr">
        <is>
          <t>D8活跃</t>
        </is>
      </c>
      <c r="O194" s="5" t="inlineStr">
        <is>
          <t>大成交额加分</t>
        </is>
      </c>
      <c r="P194" s="5" t="inlineStr">
        <is>
          <t>得分明细</t>
        </is>
      </c>
    </row>
    <row r="195">
      <c r="A195" t="n">
        <v>2</v>
      </c>
      <c r="B195" t="inlineStr">
        <is>
          <t>301678</t>
        </is>
      </c>
      <c r="C195" t="inlineStr">
        <is>
          <t>新恒汇</t>
        </is>
      </c>
      <c r="D195" t="n">
        <v>5</v>
      </c>
      <c r="E195" t="n">
        <v>7.62</v>
      </c>
      <c r="F195" t="n">
        <v>0</v>
      </c>
      <c r="G195" t="n">
        <v>0</v>
      </c>
      <c r="H195" t="n">
        <v>0</v>
      </c>
      <c r="I195" t="n">
        <v>5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D1新高=0,D2强势=0,D3突破=5,D4首板=0,D5潜突=0,D6连板=0,D7一字=0,D8活跃=0,bonus=0</t>
        </is>
      </c>
    </row>
    <row r="196">
      <c r="A196" t="n">
        <v>3</v>
      </c>
      <c r="B196" t="inlineStr">
        <is>
          <t>603800</t>
        </is>
      </c>
      <c r="C196" t="inlineStr">
        <is>
          <t>洪田股份</t>
        </is>
      </c>
      <c r="D196" t="n">
        <v>3</v>
      </c>
      <c r="E196" t="n">
        <v>0.91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3</v>
      </c>
      <c r="O196" t="n">
        <v>0</v>
      </c>
      <c r="P196" t="inlineStr">
        <is>
          <t>D1新高=0,D2强势=0,D3突破=0,D4首板=0,D5潜突=0,D6连板=0,D7一字=0,D8活跃=3,bonus=0</t>
        </is>
      </c>
    </row>
    <row r="197"/>
    <row r="198">
      <c r="A198" s="4" t="inlineStr">
        <is>
          <t>--- 细分: 贴片 ---</t>
        </is>
      </c>
    </row>
    <row r="199">
      <c r="A199" s="5" t="inlineStr">
        <is>
          <t>排名</t>
        </is>
      </c>
      <c r="B199" s="5" t="inlineStr">
        <is>
          <t>代码</t>
        </is>
      </c>
      <c r="C199" s="5" t="inlineStr">
        <is>
          <t>名称</t>
        </is>
      </c>
      <c r="D199" s="5" t="inlineStr">
        <is>
          <t>得分</t>
        </is>
      </c>
      <c r="E199" s="5" t="inlineStr">
        <is>
          <t>涨跌幅%</t>
        </is>
      </c>
      <c r="F199" s="5" t="inlineStr">
        <is>
          <t>成交额(亿)</t>
        </is>
      </c>
      <c r="G199" s="5" t="inlineStr">
        <is>
          <t>D1新高</t>
        </is>
      </c>
      <c r="H199" s="5" t="inlineStr">
        <is>
          <t>D2强势</t>
        </is>
      </c>
      <c r="I199" s="5" t="inlineStr">
        <is>
          <t>D3突破</t>
        </is>
      </c>
      <c r="J199" s="5" t="inlineStr">
        <is>
          <t>D4首板</t>
        </is>
      </c>
      <c r="K199" s="5" t="inlineStr">
        <is>
          <t>D5潜突</t>
        </is>
      </c>
      <c r="L199" s="5" t="inlineStr">
        <is>
          <t>D6连板</t>
        </is>
      </c>
      <c r="M199" s="5" t="inlineStr">
        <is>
          <t>D7一字</t>
        </is>
      </c>
      <c r="N199" s="5" t="inlineStr">
        <is>
          <t>D8活跃</t>
        </is>
      </c>
      <c r="O199" s="5" t="inlineStr">
        <is>
          <t>大成交额加分</t>
        </is>
      </c>
      <c r="P199" s="5" t="inlineStr">
        <is>
          <t>得分明细</t>
        </is>
      </c>
    </row>
    <row r="200">
      <c r="A200" t="n">
        <v>2</v>
      </c>
      <c r="B200" t="inlineStr">
        <is>
          <t>301338</t>
        </is>
      </c>
      <c r="C200" t="inlineStr">
        <is>
          <t>凯格精机</t>
        </is>
      </c>
      <c r="D200" t="n">
        <v>0</v>
      </c>
      <c r="E200" t="n">
        <v>0.7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D1新高=0,D2强势=0,D3突破=0,D4首板=0,D5潜突=0,D6连板=0,D7一字=0,D8活跃=0,bonus=0</t>
        </is>
      </c>
    </row>
    <row r="201"/>
    <row r="202">
      <c r="A202" s="4" t="inlineStr">
        <is>
          <t>--- 细分: 千帆星座 ---</t>
        </is>
      </c>
    </row>
    <row r="203">
      <c r="A203" s="5" t="inlineStr">
        <is>
          <t>排名</t>
        </is>
      </c>
      <c r="B203" s="5" t="inlineStr">
        <is>
          <t>代码</t>
        </is>
      </c>
      <c r="C203" s="5" t="inlineStr">
        <is>
          <t>名称</t>
        </is>
      </c>
      <c r="D203" s="5" t="inlineStr">
        <is>
          <t>得分</t>
        </is>
      </c>
      <c r="E203" s="5" t="inlineStr">
        <is>
          <t>涨跌幅%</t>
        </is>
      </c>
      <c r="F203" s="5" t="inlineStr">
        <is>
          <t>成交额(亿)</t>
        </is>
      </c>
      <c r="G203" s="5" t="inlineStr">
        <is>
          <t>D1新高</t>
        </is>
      </c>
      <c r="H203" s="5" t="inlineStr">
        <is>
          <t>D2强势</t>
        </is>
      </c>
      <c r="I203" s="5" t="inlineStr">
        <is>
          <t>D3突破</t>
        </is>
      </c>
      <c r="J203" s="5" t="inlineStr">
        <is>
          <t>D4首板</t>
        </is>
      </c>
      <c r="K203" s="5" t="inlineStr">
        <is>
          <t>D5潜突</t>
        </is>
      </c>
      <c r="L203" s="5" t="inlineStr">
        <is>
          <t>D6连板</t>
        </is>
      </c>
      <c r="M203" s="5" t="inlineStr">
        <is>
          <t>D7一字</t>
        </is>
      </c>
      <c r="N203" s="5" t="inlineStr">
        <is>
          <t>D8活跃</t>
        </is>
      </c>
      <c r="O203" s="5" t="inlineStr">
        <is>
          <t>大成交额加分</t>
        </is>
      </c>
      <c r="P203" s="5" t="inlineStr">
        <is>
          <t>得分明细</t>
        </is>
      </c>
    </row>
    <row r="204">
      <c r="A204" t="n">
        <v>2</v>
      </c>
      <c r="B204" t="inlineStr">
        <is>
          <t>605358</t>
        </is>
      </c>
      <c r="C204" t="inlineStr">
        <is>
          <t>立昂微</t>
        </is>
      </c>
      <c r="D204" t="n">
        <v>3</v>
      </c>
      <c r="E204" t="n">
        <v>4.11</v>
      </c>
      <c r="F204" t="n">
        <v>0.01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3</v>
      </c>
      <c r="O204" t="n">
        <v>0</v>
      </c>
      <c r="P204" t="inlineStr">
        <is>
          <t>D1新高=0,D2强势=0,D3突破=0,D4首板=0,D5潜突=0,D6连板=0,D7一字=0,D8活跃=3,bonus=0</t>
        </is>
      </c>
    </row>
    <row r="205">
      <c r="A205" t="n">
        <v>3</v>
      </c>
      <c r="B205" t="inlineStr">
        <is>
          <t>300102</t>
        </is>
      </c>
      <c r="C205" t="inlineStr">
        <is>
          <t>乾照光电</t>
        </is>
      </c>
      <c r="D205" t="n">
        <v>0</v>
      </c>
      <c r="E205" t="n">
        <v>1.51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D1新高=0,D2强势=0,D3突破=0,D4首板=0,D5潜突=0,D6连板=0,D7一字=0,D8活跃=0,bonus=0</t>
        </is>
      </c>
    </row>
    <row r="206"/>
    <row r="207">
      <c r="A207" s="4" t="inlineStr">
        <is>
          <t>--- 细分: PPO注塑改性塑料 ---</t>
        </is>
      </c>
    </row>
    <row r="208">
      <c r="A208" s="5" t="inlineStr">
        <is>
          <t>排名</t>
        </is>
      </c>
      <c r="B208" s="5" t="inlineStr">
        <is>
          <t>代码</t>
        </is>
      </c>
      <c r="C208" s="5" t="inlineStr">
        <is>
          <t>名称</t>
        </is>
      </c>
      <c r="D208" s="5" t="inlineStr">
        <is>
          <t>得分</t>
        </is>
      </c>
      <c r="E208" s="5" t="inlineStr">
        <is>
          <t>涨跌幅%</t>
        </is>
      </c>
      <c r="F208" s="5" t="inlineStr">
        <is>
          <t>成交额(亿)</t>
        </is>
      </c>
      <c r="G208" s="5" t="inlineStr">
        <is>
          <t>D1新高</t>
        </is>
      </c>
      <c r="H208" s="5" t="inlineStr">
        <is>
          <t>D2强势</t>
        </is>
      </c>
      <c r="I208" s="5" t="inlineStr">
        <is>
          <t>D3突破</t>
        </is>
      </c>
      <c r="J208" s="5" t="inlineStr">
        <is>
          <t>D4首板</t>
        </is>
      </c>
      <c r="K208" s="5" t="inlineStr">
        <is>
          <t>D5潜突</t>
        </is>
      </c>
      <c r="L208" s="5" t="inlineStr">
        <is>
          <t>D6连板</t>
        </is>
      </c>
      <c r="M208" s="5" t="inlineStr">
        <is>
          <t>D7一字</t>
        </is>
      </c>
      <c r="N208" s="5" t="inlineStr">
        <is>
          <t>D8活跃</t>
        </is>
      </c>
      <c r="O208" s="5" t="inlineStr">
        <is>
          <t>大成交额加分</t>
        </is>
      </c>
      <c r="P208" s="5" t="inlineStr">
        <is>
          <t>得分明细</t>
        </is>
      </c>
    </row>
    <row r="209">
      <c r="A209" t="n">
        <v>1</v>
      </c>
      <c r="B209" t="inlineStr">
        <is>
          <t>300221</t>
        </is>
      </c>
      <c r="C209" t="inlineStr">
        <is>
          <t>银禧科技</t>
        </is>
      </c>
      <c r="D209" t="n">
        <v>3</v>
      </c>
      <c r="E209" t="n">
        <v>0.63</v>
      </c>
      <c r="F209" t="n">
        <v>0.01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3</v>
      </c>
      <c r="O209" t="n">
        <v>0</v>
      </c>
      <c r="P209" t="inlineStr">
        <is>
          <t>D1新高=0,D2强势=0,D3突破=0,D4首板=0,D5潜突=0,D6连板=0,D7一字=0,D8活跃=3,bonus=0</t>
        </is>
      </c>
    </row>
    <row r="210"/>
    <row r="211">
      <c r="A211" s="4" t="inlineStr">
        <is>
          <t>--- 细分: 离型膜 ---</t>
        </is>
      </c>
    </row>
    <row r="212">
      <c r="A212" s="5" t="inlineStr">
        <is>
          <t>排名</t>
        </is>
      </c>
      <c r="B212" s="5" t="inlineStr">
        <is>
          <t>代码</t>
        </is>
      </c>
      <c r="C212" s="5" t="inlineStr">
        <is>
          <t>名称</t>
        </is>
      </c>
      <c r="D212" s="5" t="inlineStr">
        <is>
          <t>得分</t>
        </is>
      </c>
      <c r="E212" s="5" t="inlineStr">
        <is>
          <t>涨跌幅%</t>
        </is>
      </c>
      <c r="F212" s="5" t="inlineStr">
        <is>
          <t>成交额(亿)</t>
        </is>
      </c>
      <c r="G212" s="5" t="inlineStr">
        <is>
          <t>D1新高</t>
        </is>
      </c>
      <c r="H212" s="5" t="inlineStr">
        <is>
          <t>D2强势</t>
        </is>
      </c>
      <c r="I212" s="5" t="inlineStr">
        <is>
          <t>D3突破</t>
        </is>
      </c>
      <c r="J212" s="5" t="inlineStr">
        <is>
          <t>D4首板</t>
        </is>
      </c>
      <c r="K212" s="5" t="inlineStr">
        <is>
          <t>D5潜突</t>
        </is>
      </c>
      <c r="L212" s="5" t="inlineStr">
        <is>
          <t>D6连板</t>
        </is>
      </c>
      <c r="M212" s="5" t="inlineStr">
        <is>
          <t>D7一字</t>
        </is>
      </c>
      <c r="N212" s="5" t="inlineStr">
        <is>
          <t>D8活跃</t>
        </is>
      </c>
      <c r="O212" s="5" t="inlineStr">
        <is>
          <t>大成交额加分</t>
        </is>
      </c>
      <c r="P212" s="5" t="inlineStr">
        <is>
          <t>得分明细</t>
        </is>
      </c>
    </row>
    <row r="213">
      <c r="A213" t="n">
        <v>1</v>
      </c>
      <c r="B213" t="inlineStr">
        <is>
          <t>002859</t>
        </is>
      </c>
      <c r="C213" t="inlineStr">
        <is>
          <t>洁美科技</t>
        </is>
      </c>
      <c r="D213" t="n">
        <v>3</v>
      </c>
      <c r="E213" t="n">
        <v>1.87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3</v>
      </c>
      <c r="O213" t="n">
        <v>0</v>
      </c>
      <c r="P213" t="inlineStr">
        <is>
          <t>D1新高=0,D2强势=0,D3突破=0,D4首板=0,D5潜突=0,D6连板=0,D7一字=0,D8活跃=3,bonus=0</t>
        </is>
      </c>
    </row>
    <row r="214"/>
    <row r="215">
      <c r="A215" s="4" t="inlineStr">
        <is>
          <t>--- 细分: 镍粉 ---</t>
        </is>
      </c>
    </row>
    <row r="216">
      <c r="A216" s="5" t="inlineStr">
        <is>
          <t>排名</t>
        </is>
      </c>
      <c r="B216" s="5" t="inlineStr">
        <is>
          <t>代码</t>
        </is>
      </c>
      <c r="C216" s="5" t="inlineStr">
        <is>
          <t>名称</t>
        </is>
      </c>
      <c r="D216" s="5" t="inlineStr">
        <is>
          <t>得分</t>
        </is>
      </c>
      <c r="E216" s="5" t="inlineStr">
        <is>
          <t>涨跌幅%</t>
        </is>
      </c>
      <c r="F216" s="5" t="inlineStr">
        <is>
          <t>成交额(亿)</t>
        </is>
      </c>
      <c r="G216" s="5" t="inlineStr">
        <is>
          <t>D1新高</t>
        </is>
      </c>
      <c r="H216" s="5" t="inlineStr">
        <is>
          <t>D2强势</t>
        </is>
      </c>
      <c r="I216" s="5" t="inlineStr">
        <is>
          <t>D3突破</t>
        </is>
      </c>
      <c r="J216" s="5" t="inlineStr">
        <is>
          <t>D4首板</t>
        </is>
      </c>
      <c r="K216" s="5" t="inlineStr">
        <is>
          <t>D5潜突</t>
        </is>
      </c>
      <c r="L216" s="5" t="inlineStr">
        <is>
          <t>D6连板</t>
        </is>
      </c>
      <c r="M216" s="5" t="inlineStr">
        <is>
          <t>D7一字</t>
        </is>
      </c>
      <c r="N216" s="5" t="inlineStr">
        <is>
          <t>D8活跃</t>
        </is>
      </c>
      <c r="O216" s="5" t="inlineStr">
        <is>
          <t>大成交额加分</t>
        </is>
      </c>
      <c r="P216" s="5" t="inlineStr">
        <is>
          <t>得分明细</t>
        </is>
      </c>
    </row>
    <row r="217">
      <c r="A217" t="n">
        <v>1</v>
      </c>
      <c r="B217" t="inlineStr">
        <is>
          <t>605376</t>
        </is>
      </c>
      <c r="C217" t="inlineStr">
        <is>
          <t>博迁新材</t>
        </is>
      </c>
      <c r="D217" t="n">
        <v>3</v>
      </c>
      <c r="E217" t="n">
        <v>-1.28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3</v>
      </c>
      <c r="O217" t="n">
        <v>0</v>
      </c>
      <c r="P217" t="inlineStr">
        <is>
          <t>D1新高=0,D2强势=0,D3突破=0,D4首板=0,D5潜突=0,D6连板=0,D7一字=0,D8活跃=3,bonus=0</t>
        </is>
      </c>
    </row>
    <row r="218"/>
    <row r="219">
      <c r="A219" s="4" t="inlineStr">
        <is>
          <t>--- 细分: 改性聚苯醚 ---</t>
        </is>
      </c>
    </row>
    <row r="220">
      <c r="A220" s="5" t="inlineStr">
        <is>
          <t>排名</t>
        </is>
      </c>
      <c r="B220" s="5" t="inlineStr">
        <is>
          <t>代码</t>
        </is>
      </c>
      <c r="C220" s="5" t="inlineStr">
        <is>
          <t>名称</t>
        </is>
      </c>
      <c r="D220" s="5" t="inlineStr">
        <is>
          <t>得分</t>
        </is>
      </c>
      <c r="E220" s="5" t="inlineStr">
        <is>
          <t>涨跌幅%</t>
        </is>
      </c>
      <c r="F220" s="5" t="inlineStr">
        <is>
          <t>成交额(亿)</t>
        </is>
      </c>
      <c r="G220" s="5" t="inlineStr">
        <is>
          <t>D1新高</t>
        </is>
      </c>
      <c r="H220" s="5" t="inlineStr">
        <is>
          <t>D2强势</t>
        </is>
      </c>
      <c r="I220" s="5" t="inlineStr">
        <is>
          <t>D3突破</t>
        </is>
      </c>
      <c r="J220" s="5" t="inlineStr">
        <is>
          <t>D4首板</t>
        </is>
      </c>
      <c r="K220" s="5" t="inlineStr">
        <is>
          <t>D5潜突</t>
        </is>
      </c>
      <c r="L220" s="5" t="inlineStr">
        <is>
          <t>D6连板</t>
        </is>
      </c>
      <c r="M220" s="5" t="inlineStr">
        <is>
          <t>D7一字</t>
        </is>
      </c>
      <c r="N220" s="5" t="inlineStr">
        <is>
          <t>D8活跃</t>
        </is>
      </c>
      <c r="O220" s="5" t="inlineStr">
        <is>
          <t>大成交额加分</t>
        </is>
      </c>
      <c r="P220" s="5" t="inlineStr">
        <is>
          <t>得分明细</t>
        </is>
      </c>
    </row>
    <row r="221">
      <c r="A221" t="n">
        <v>1</v>
      </c>
      <c r="B221" t="inlineStr">
        <is>
          <t>002886</t>
        </is>
      </c>
      <c r="C221" t="inlineStr">
        <is>
          <t>沃特股份</t>
        </is>
      </c>
      <c r="D221" t="n">
        <v>0</v>
      </c>
      <c r="E221" t="n">
        <v>2.37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D1新高=0,D2强势=0,D3突破=0,D4首板=0,D5潜突=0,D6连板=0,D7一字=0,D8活跃=0,bonus=0</t>
        </is>
      </c>
    </row>
    <row r="222"/>
    <row r="223">
      <c r="A223" s="4" t="inlineStr">
        <is>
          <t>--- 细分: 改性PPO ---</t>
        </is>
      </c>
    </row>
    <row r="224">
      <c r="A224" s="5" t="inlineStr">
        <is>
          <t>排名</t>
        </is>
      </c>
      <c r="B224" s="5" t="inlineStr">
        <is>
          <t>代码</t>
        </is>
      </c>
      <c r="C224" s="5" t="inlineStr">
        <is>
          <t>名称</t>
        </is>
      </c>
      <c r="D224" s="5" t="inlineStr">
        <is>
          <t>得分</t>
        </is>
      </c>
      <c r="E224" s="5" t="inlineStr">
        <is>
          <t>涨跌幅%</t>
        </is>
      </c>
      <c r="F224" s="5" t="inlineStr">
        <is>
          <t>成交额(亿)</t>
        </is>
      </c>
      <c r="G224" s="5" t="inlineStr">
        <is>
          <t>D1新高</t>
        </is>
      </c>
      <c r="H224" s="5" t="inlineStr">
        <is>
          <t>D2强势</t>
        </is>
      </c>
      <c r="I224" s="5" t="inlineStr">
        <is>
          <t>D3突破</t>
        </is>
      </c>
      <c r="J224" s="5" t="inlineStr">
        <is>
          <t>D4首板</t>
        </is>
      </c>
      <c r="K224" s="5" t="inlineStr">
        <is>
          <t>D5潜突</t>
        </is>
      </c>
      <c r="L224" s="5" t="inlineStr">
        <is>
          <t>D6连板</t>
        </is>
      </c>
      <c r="M224" s="5" t="inlineStr">
        <is>
          <t>D7一字</t>
        </is>
      </c>
      <c r="N224" s="5" t="inlineStr">
        <is>
          <t>D8活跃</t>
        </is>
      </c>
      <c r="O224" s="5" t="inlineStr">
        <is>
          <t>大成交额加分</t>
        </is>
      </c>
      <c r="P224" s="5" t="inlineStr">
        <is>
          <t>得分明细</t>
        </is>
      </c>
    </row>
    <row r="225">
      <c r="A225" t="n">
        <v>1</v>
      </c>
      <c r="B225" t="inlineStr">
        <is>
          <t>002324</t>
        </is>
      </c>
      <c r="C225" t="inlineStr">
        <is>
          <t>普利特</t>
        </is>
      </c>
      <c r="D225" t="n">
        <v>0</v>
      </c>
      <c r="E225" t="n">
        <v>0.84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D1新高=0,D2强势=0,D3突破=0,D4首板=0,D5潜突=0,D6连板=0,D7一字=0,D8活跃=0,bonus=0</t>
        </is>
      </c>
    </row>
    <row r="226"/>
    <row r="227">
      <c r="A227" s="4" t="inlineStr">
        <is>
          <t>--- 细分: PPE ---</t>
        </is>
      </c>
    </row>
    <row r="228">
      <c r="A228" s="5" t="inlineStr">
        <is>
          <t>排名</t>
        </is>
      </c>
      <c r="B228" s="5" t="inlineStr">
        <is>
          <t>代码</t>
        </is>
      </c>
      <c r="C228" s="5" t="inlineStr">
        <is>
          <t>名称</t>
        </is>
      </c>
      <c r="D228" s="5" t="inlineStr">
        <is>
          <t>得分</t>
        </is>
      </c>
      <c r="E228" s="5" t="inlineStr">
        <is>
          <t>涨跌幅%</t>
        </is>
      </c>
      <c r="F228" s="5" t="inlineStr">
        <is>
          <t>成交额(亿)</t>
        </is>
      </c>
      <c r="G228" s="5" t="inlineStr">
        <is>
          <t>D1新高</t>
        </is>
      </c>
      <c r="H228" s="5" t="inlineStr">
        <is>
          <t>D2强势</t>
        </is>
      </c>
      <c r="I228" s="5" t="inlineStr">
        <is>
          <t>D3突破</t>
        </is>
      </c>
      <c r="J228" s="5" t="inlineStr">
        <is>
          <t>D4首板</t>
        </is>
      </c>
      <c r="K228" s="5" t="inlineStr">
        <is>
          <t>D5潜突</t>
        </is>
      </c>
      <c r="L228" s="5" t="inlineStr">
        <is>
          <t>D6连板</t>
        </is>
      </c>
      <c r="M228" s="5" t="inlineStr">
        <is>
          <t>D7一字</t>
        </is>
      </c>
      <c r="N228" s="5" t="inlineStr">
        <is>
          <t>D8活跃</t>
        </is>
      </c>
      <c r="O228" s="5" t="inlineStr">
        <is>
          <t>大成交额加分</t>
        </is>
      </c>
      <c r="P228" s="5" t="inlineStr">
        <is>
          <t>得分明细</t>
        </is>
      </c>
    </row>
    <row r="229">
      <c r="A229" t="n">
        <v>1</v>
      </c>
      <c r="B229" t="inlineStr">
        <is>
          <t>600143</t>
        </is>
      </c>
      <c r="C229" t="inlineStr">
        <is>
          <t>金发科技</t>
        </is>
      </c>
      <c r="D229" t="n">
        <v>0</v>
      </c>
      <c r="E229" t="n">
        <v>-2.06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2">
        <f>== 光通信/CPO 产业链全局看板 ===</f>
        <v/>
      </c>
    </row>
    <row r="2">
      <c r="A2" t="inlineStr">
        <is>
          <t>板块整体均分</t>
        </is>
      </c>
      <c r="B2" t="n">
        <v>8.039999999999999</v>
      </c>
      <c r="C2" t="inlineStr">
        <is>
          <t>最强细分</t>
        </is>
      </c>
      <c r="D2" t="inlineStr">
        <is>
          <t>光纤光缆 (22.0分)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11</v>
      </c>
      <c r="B6" t="inlineStr">
        <is>
          <t>光纤光缆</t>
        </is>
      </c>
      <c r="C6" t="n">
        <v>22</v>
      </c>
      <c r="D6" t="n">
        <v>22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>永鼎股份</t>
        </is>
      </c>
      <c r="K6" t="n">
        <v>22</v>
      </c>
    </row>
    <row r="7">
      <c r="A7" t="n">
        <v>20</v>
      </c>
      <c r="B7" t="inlineStr">
        <is>
          <t>调制器</t>
        </is>
      </c>
      <c r="C7" t="n">
        <v>17</v>
      </c>
      <c r="D7" t="n">
        <v>17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inlineStr">
        <is>
          <t>光库科技</t>
        </is>
      </c>
      <c r="K7" t="n">
        <v>17</v>
      </c>
    </row>
    <row r="8">
      <c r="A8" t="n">
        <v>21</v>
      </c>
      <c r="B8" t="inlineStr">
        <is>
          <t>插芯</t>
        </is>
      </c>
      <c r="C8" t="n">
        <v>17</v>
      </c>
      <c r="D8" t="n">
        <v>17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inlineStr">
        <is>
          <t>太晨光</t>
        </is>
      </c>
      <c r="K8" t="n">
        <v>17</v>
      </c>
    </row>
    <row r="9">
      <c r="A9" t="n">
        <v>28</v>
      </c>
      <c r="B9" t="inlineStr">
        <is>
          <t>光模块</t>
        </is>
      </c>
      <c r="C9" t="n">
        <v>16</v>
      </c>
      <c r="D9" t="n">
        <v>16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inlineStr">
        <is>
          <t>光讯科技</t>
        </is>
      </c>
      <c r="K9" t="n">
        <v>16</v>
      </c>
    </row>
    <row r="10">
      <c r="A10" t="n">
        <v>39</v>
      </c>
      <c r="B10" t="inlineStr">
        <is>
          <t>光纤光缆</t>
        </is>
      </c>
      <c r="C10" t="n">
        <v>14</v>
      </c>
      <c r="D10" t="n">
        <v>19</v>
      </c>
      <c r="E10" t="n">
        <v>6</v>
      </c>
      <c r="F10" t="n">
        <v>2</v>
      </c>
      <c r="G10" t="n">
        <v>2</v>
      </c>
      <c r="H10" t="n">
        <v>1</v>
      </c>
      <c r="I10" t="n">
        <v>1</v>
      </c>
      <c r="J10" t="inlineStr">
        <is>
          <t>烽火通信</t>
        </is>
      </c>
      <c r="K10" t="n">
        <v>19</v>
      </c>
    </row>
    <row r="11">
      <c r="A11" t="n">
        <v>85</v>
      </c>
      <c r="B11" t="inlineStr">
        <is>
          <t>铌酸锂</t>
        </is>
      </c>
      <c r="C11" t="n">
        <v>8</v>
      </c>
      <c r="D11" t="n">
        <v>8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inlineStr">
        <is>
          <t>天通股份</t>
        </is>
      </c>
      <c r="K11" t="n">
        <v>8</v>
      </c>
    </row>
    <row r="12">
      <c r="A12" t="n">
        <v>97</v>
      </c>
      <c r="B12" t="inlineStr">
        <is>
          <t>石英晶振</t>
        </is>
      </c>
      <c r="C12" t="n">
        <v>7.33</v>
      </c>
      <c r="D12" t="n">
        <v>22</v>
      </c>
      <c r="E12" t="n">
        <v>3</v>
      </c>
      <c r="F12" t="n">
        <v>1</v>
      </c>
      <c r="G12" t="n">
        <v>0</v>
      </c>
      <c r="H12" t="n">
        <v>0</v>
      </c>
      <c r="I12" t="n">
        <v>2</v>
      </c>
      <c r="J12" t="inlineStr">
        <is>
          <t>泰晶科技</t>
        </is>
      </c>
      <c r="K12" t="n">
        <v>22</v>
      </c>
    </row>
    <row r="13">
      <c r="A13" t="n">
        <v>163</v>
      </c>
      <c r="B13" t="inlineStr">
        <is>
          <t>光模块</t>
        </is>
      </c>
      <c r="C13" t="n">
        <v>3</v>
      </c>
      <c r="D13" t="n">
        <v>3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联特科技</t>
        </is>
      </c>
      <c r="K13" t="n">
        <v>3</v>
      </c>
    </row>
    <row r="14">
      <c r="A14" t="n">
        <v>167</v>
      </c>
      <c r="B14" t="inlineStr">
        <is>
          <t>插芯</t>
        </is>
      </c>
      <c r="C14" t="n">
        <v>3</v>
      </c>
      <c r="D14" t="n">
        <v>3</v>
      </c>
      <c r="E14" t="n">
        <v>1</v>
      </c>
      <c r="F14" t="n">
        <v>0</v>
      </c>
      <c r="G14" t="n">
        <v>0</v>
      </c>
      <c r="H14" t="n">
        <v>1</v>
      </c>
      <c r="I14" t="n">
        <v>0</v>
      </c>
      <c r="J14" t="inlineStr">
        <is>
          <t>仕佳光子</t>
        </is>
      </c>
      <c r="K14" t="n">
        <v>3</v>
      </c>
    </row>
    <row r="15">
      <c r="A15" t="n">
        <v>202</v>
      </c>
      <c r="B15" t="inlineStr">
        <is>
          <t>LPO</t>
        </is>
      </c>
      <c r="C15" t="n">
        <v>1.5</v>
      </c>
      <c r="D15" t="n">
        <v>3</v>
      </c>
      <c r="E15" t="n">
        <v>2</v>
      </c>
      <c r="F15" t="n">
        <v>1</v>
      </c>
      <c r="G15" t="n">
        <v>0</v>
      </c>
      <c r="H15" t="n">
        <v>0</v>
      </c>
      <c r="I15" t="n">
        <v>1</v>
      </c>
      <c r="J15" t="inlineStr">
        <is>
          <t>剑桥科技</t>
        </is>
      </c>
      <c r="K15" t="n">
        <v>3</v>
      </c>
    </row>
    <row r="16">
      <c r="A16" t="n">
        <v>203</v>
      </c>
      <c r="B16" t="inlineStr">
        <is>
          <t>光芯片</t>
        </is>
      </c>
      <c r="C16" t="n">
        <v>1.5</v>
      </c>
      <c r="D16" t="n">
        <v>3</v>
      </c>
      <c r="E16" t="n">
        <v>4</v>
      </c>
      <c r="F16" t="n">
        <v>1</v>
      </c>
      <c r="G16" t="n">
        <v>0</v>
      </c>
      <c r="H16" t="n">
        <v>1</v>
      </c>
      <c r="I16" t="n">
        <v>2</v>
      </c>
      <c r="J16" t="inlineStr">
        <is>
          <t>长芯博创</t>
        </is>
      </c>
      <c r="K16" t="n">
        <v>3</v>
      </c>
    </row>
    <row r="17">
      <c r="A17" t="n">
        <v>301</v>
      </c>
      <c r="B17" t="inlineStr">
        <is>
          <t>设备</t>
        </is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</v>
      </c>
      <c r="J17" t="inlineStr">
        <is>
          <t>罗博特科</t>
        </is>
      </c>
      <c r="K17" t="n">
        <v>0</v>
      </c>
    </row>
    <row r="18">
      <c r="A18" t="n">
        <v>303</v>
      </c>
      <c r="B18" t="inlineStr">
        <is>
          <t>LPO</t>
        </is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  <c r="J18" t="inlineStr">
        <is>
          <t>新易盛</t>
        </is>
      </c>
      <c r="K18" t="n">
        <v>0</v>
      </c>
    </row>
    <row r="19">
      <c r="A19" t="n">
        <v>305</v>
      </c>
      <c r="B19" t="inlineStr">
        <is>
          <t>光引擎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天孚通信</t>
        </is>
      </c>
      <c r="K19" t="n">
        <v>0</v>
      </c>
    </row>
    <row r="20"/>
    <row r="21">
      <c r="A21" s="4" t="inlineStr">
        <is>
          <t>--- 细分: 光纤光缆 ---</t>
        </is>
      </c>
    </row>
    <row r="22">
      <c r="A22" s="5" t="inlineStr">
        <is>
          <t>排名</t>
        </is>
      </c>
      <c r="B22" s="5" t="inlineStr">
        <is>
          <t>代码</t>
        </is>
      </c>
      <c r="C22" s="5" t="inlineStr">
        <is>
          <t>名称</t>
        </is>
      </c>
      <c r="D22" s="5" t="inlineStr">
        <is>
          <t>得分</t>
        </is>
      </c>
      <c r="E22" s="5" t="inlineStr">
        <is>
          <t>涨跌幅%</t>
        </is>
      </c>
      <c r="F22" s="5" t="inlineStr">
        <is>
          <t>成交额(亿)</t>
        </is>
      </c>
      <c r="G22" s="5" t="inlineStr">
        <is>
          <t>D1新高</t>
        </is>
      </c>
      <c r="H22" s="5" t="inlineStr">
        <is>
          <t>D2强势</t>
        </is>
      </c>
      <c r="I22" s="5" t="inlineStr">
        <is>
          <t>D3突破</t>
        </is>
      </c>
      <c r="J22" s="5" t="inlineStr">
        <is>
          <t>D4首板</t>
        </is>
      </c>
      <c r="K22" s="5" t="inlineStr">
        <is>
          <t>D5潜突</t>
        </is>
      </c>
      <c r="L22" s="5" t="inlineStr">
        <is>
          <t>D6连板</t>
        </is>
      </c>
      <c r="M22" s="5" t="inlineStr">
        <is>
          <t>D7一字</t>
        </is>
      </c>
      <c r="N22" s="5" t="inlineStr">
        <is>
          <t>D8活跃</t>
        </is>
      </c>
      <c r="O22" s="5" t="inlineStr">
        <is>
          <t>大成交额加分</t>
        </is>
      </c>
      <c r="P22" s="5" t="inlineStr">
        <is>
          <t>得分明细</t>
        </is>
      </c>
    </row>
    <row r="23">
      <c r="A23" t="n">
        <v>1</v>
      </c>
      <c r="B23" t="inlineStr">
        <is>
          <t>600105</t>
        </is>
      </c>
      <c r="C23" t="inlineStr">
        <is>
          <t>永鼎股份</t>
        </is>
      </c>
      <c r="D23" t="n">
        <v>22</v>
      </c>
      <c r="E23" t="n">
        <v>7.15</v>
      </c>
      <c r="F23" t="n">
        <v>0.02</v>
      </c>
      <c r="G23" t="n">
        <v>8</v>
      </c>
      <c r="H23" t="n">
        <v>6</v>
      </c>
      <c r="I23" t="n">
        <v>5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inlineStr">
        <is>
          <t>D1新高=8,D2强势=6,D3突破=5,D4首板=0,D5潜突=0,D6连板=0,D7一字=0,D8活跃=3,bonus=0</t>
        </is>
      </c>
    </row>
    <row r="24"/>
    <row r="25">
      <c r="A25" s="4" t="inlineStr">
        <is>
          <t>--- 细分: 调制器 ---</t>
        </is>
      </c>
    </row>
    <row r="26">
      <c r="A26" s="5" t="inlineStr">
        <is>
          <t>排名</t>
        </is>
      </c>
      <c r="B26" s="5" t="inlineStr">
        <is>
          <t>代码</t>
        </is>
      </c>
      <c r="C26" s="5" t="inlineStr">
        <is>
          <t>名称</t>
        </is>
      </c>
      <c r="D26" s="5" t="inlineStr">
        <is>
          <t>得分</t>
        </is>
      </c>
      <c r="E26" s="5" t="inlineStr">
        <is>
          <t>涨跌幅%</t>
        </is>
      </c>
      <c r="F26" s="5" t="inlineStr">
        <is>
          <t>成交额(亿)</t>
        </is>
      </c>
      <c r="G26" s="5" t="inlineStr">
        <is>
          <t>D1新高</t>
        </is>
      </c>
      <c r="H26" s="5" t="inlineStr">
        <is>
          <t>D2强势</t>
        </is>
      </c>
      <c r="I26" s="5" t="inlineStr">
        <is>
          <t>D3突破</t>
        </is>
      </c>
      <c r="J26" s="5" t="inlineStr">
        <is>
          <t>D4首板</t>
        </is>
      </c>
      <c r="K26" s="5" t="inlineStr">
        <is>
          <t>D5潜突</t>
        </is>
      </c>
      <c r="L26" s="5" t="inlineStr">
        <is>
          <t>D6连板</t>
        </is>
      </c>
      <c r="M26" s="5" t="inlineStr">
        <is>
          <t>D7一字</t>
        </is>
      </c>
      <c r="N26" s="5" t="inlineStr">
        <is>
          <t>D8活跃</t>
        </is>
      </c>
      <c r="O26" s="5" t="inlineStr">
        <is>
          <t>大成交额加分</t>
        </is>
      </c>
      <c r="P26" s="5" t="inlineStr">
        <is>
          <t>得分明细</t>
        </is>
      </c>
    </row>
    <row r="27">
      <c r="A27" t="n">
        <v>1</v>
      </c>
      <c r="B27" t="inlineStr">
        <is>
          <t>300620</t>
        </is>
      </c>
      <c r="C27" t="inlineStr">
        <is>
          <t>光库科技</t>
        </is>
      </c>
      <c r="D27" t="n">
        <v>17</v>
      </c>
      <c r="E27" t="n">
        <v>0.6899999999999999</v>
      </c>
      <c r="F27" t="n">
        <v>0</v>
      </c>
      <c r="G27" t="n">
        <v>8</v>
      </c>
      <c r="H27" t="n">
        <v>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</v>
      </c>
      <c r="O27" t="n">
        <v>0</v>
      </c>
      <c r="P27" t="inlineStr">
        <is>
          <t>D1新高=8,D2强势=6,D3突破=0,D4首板=0,D5潜突=0,D6连板=0,D7一字=0,D8活跃=3,bonus=0</t>
        </is>
      </c>
    </row>
    <row r="28"/>
    <row r="29">
      <c r="A29" s="4" t="inlineStr">
        <is>
          <t>--- 细分: 插芯 ---</t>
        </is>
      </c>
    </row>
    <row r="30">
      <c r="A30" s="5" t="inlineStr">
        <is>
          <t>排名</t>
        </is>
      </c>
      <c r="B30" s="5" t="inlineStr">
        <is>
          <t>代码</t>
        </is>
      </c>
      <c r="C30" s="5" t="inlineStr">
        <is>
          <t>名称</t>
        </is>
      </c>
      <c r="D30" s="5" t="inlineStr">
        <is>
          <t>得分</t>
        </is>
      </c>
      <c r="E30" s="5" t="inlineStr">
        <is>
          <t>涨跌幅%</t>
        </is>
      </c>
      <c r="F30" s="5" t="inlineStr">
        <is>
          <t>成交额(亿)</t>
        </is>
      </c>
      <c r="G30" s="5" t="inlineStr">
        <is>
          <t>D1新高</t>
        </is>
      </c>
      <c r="H30" s="5" t="inlineStr">
        <is>
          <t>D2强势</t>
        </is>
      </c>
      <c r="I30" s="5" t="inlineStr">
        <is>
          <t>D3突破</t>
        </is>
      </c>
      <c r="J30" s="5" t="inlineStr">
        <is>
          <t>D4首板</t>
        </is>
      </c>
      <c r="K30" s="5" t="inlineStr">
        <is>
          <t>D5潜突</t>
        </is>
      </c>
      <c r="L30" s="5" t="inlineStr">
        <is>
          <t>D6连板</t>
        </is>
      </c>
      <c r="M30" s="5" t="inlineStr">
        <is>
          <t>D7一字</t>
        </is>
      </c>
      <c r="N30" s="5" t="inlineStr">
        <is>
          <t>D8活跃</t>
        </is>
      </c>
      <c r="O30" s="5" t="inlineStr">
        <is>
          <t>大成交额加分</t>
        </is>
      </c>
      <c r="P30" s="5" t="inlineStr">
        <is>
          <t>得分明细</t>
        </is>
      </c>
    </row>
    <row r="31">
      <c r="A31" t="n">
        <v>1</v>
      </c>
      <c r="B31" t="inlineStr">
        <is>
          <t>300570</t>
        </is>
      </c>
      <c r="C31" t="inlineStr">
        <is>
          <t>太晨光</t>
        </is>
      </c>
      <c r="D31" t="n">
        <v>17</v>
      </c>
      <c r="E31" t="n">
        <v>1.03</v>
      </c>
      <c r="F31" t="n">
        <v>0</v>
      </c>
      <c r="G31" t="n">
        <v>8</v>
      </c>
      <c r="H31" t="n">
        <v>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inlineStr">
        <is>
          <t>D1新高=8,D2强势=6,D3突破=0,D4首板=0,D5潜突=0,D6连板=0,D7一字=0,D8活跃=3,bonus=0</t>
        </is>
      </c>
    </row>
    <row r="32"/>
    <row r="33">
      <c r="A33" s="4" t="inlineStr">
        <is>
          <t>--- 细分: 光模块 ---</t>
        </is>
      </c>
    </row>
    <row r="34">
      <c r="A34" s="5" t="inlineStr">
        <is>
          <t>排名</t>
        </is>
      </c>
      <c r="B34" s="5" t="inlineStr">
        <is>
          <t>代码</t>
        </is>
      </c>
      <c r="C34" s="5" t="inlineStr">
        <is>
          <t>名称</t>
        </is>
      </c>
      <c r="D34" s="5" t="inlineStr">
        <is>
          <t>得分</t>
        </is>
      </c>
      <c r="E34" s="5" t="inlineStr">
        <is>
          <t>涨跌幅%</t>
        </is>
      </c>
      <c r="F34" s="5" t="inlineStr">
        <is>
          <t>成交额(亿)</t>
        </is>
      </c>
      <c r="G34" s="5" t="inlineStr">
        <is>
          <t>D1新高</t>
        </is>
      </c>
      <c r="H34" s="5" t="inlineStr">
        <is>
          <t>D2强势</t>
        </is>
      </c>
      <c r="I34" s="5" t="inlineStr">
        <is>
          <t>D3突破</t>
        </is>
      </c>
      <c r="J34" s="5" t="inlineStr">
        <is>
          <t>D4首板</t>
        </is>
      </c>
      <c r="K34" s="5" t="inlineStr">
        <is>
          <t>D5潜突</t>
        </is>
      </c>
      <c r="L34" s="5" t="inlineStr">
        <is>
          <t>D6连板</t>
        </is>
      </c>
      <c r="M34" s="5" t="inlineStr">
        <is>
          <t>D7一字</t>
        </is>
      </c>
      <c r="N34" s="5" t="inlineStr">
        <is>
          <t>D8活跃</t>
        </is>
      </c>
      <c r="O34" s="5" t="inlineStr">
        <is>
          <t>大成交额加分</t>
        </is>
      </c>
      <c r="P34" s="5" t="inlineStr">
        <is>
          <t>得分明细</t>
        </is>
      </c>
    </row>
    <row r="35">
      <c r="A35" t="n">
        <v>1</v>
      </c>
      <c r="B35" t="inlineStr">
        <is>
          <t>002281</t>
        </is>
      </c>
      <c r="C35" t="inlineStr">
        <is>
          <t>光讯科技</t>
        </is>
      </c>
      <c r="D35" t="n">
        <v>16</v>
      </c>
      <c r="E35" t="n">
        <v>5.21</v>
      </c>
      <c r="F35" t="n">
        <v>0.01</v>
      </c>
      <c r="G35" t="n">
        <v>8</v>
      </c>
      <c r="H35" t="n">
        <v>0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3</v>
      </c>
      <c r="O35" t="n">
        <v>0</v>
      </c>
      <c r="P35" t="inlineStr">
        <is>
          <t>D1新高=8,D2强势=0,D3突破=5,D4首板=0,D5潜突=0,D6连板=0,D7一字=0,D8活跃=3,bonus=0</t>
        </is>
      </c>
    </row>
    <row r="36"/>
    <row r="37">
      <c r="A37" s="4" t="inlineStr">
        <is>
          <t>--- 细分: 光纤光缆 ---</t>
        </is>
      </c>
    </row>
    <row r="38">
      <c r="A38" s="5" t="inlineStr">
        <is>
          <t>排名</t>
        </is>
      </c>
      <c r="B38" s="5" t="inlineStr">
        <is>
          <t>代码</t>
        </is>
      </c>
      <c r="C38" s="5" t="inlineStr">
        <is>
          <t>名称</t>
        </is>
      </c>
      <c r="D38" s="5" t="inlineStr">
        <is>
          <t>得分</t>
        </is>
      </c>
      <c r="E38" s="5" t="inlineStr">
        <is>
          <t>涨跌幅%</t>
        </is>
      </c>
      <c r="F38" s="5" t="inlineStr">
        <is>
          <t>成交额(亿)</t>
        </is>
      </c>
      <c r="G38" s="5" t="inlineStr">
        <is>
          <t>D1新高</t>
        </is>
      </c>
      <c r="H38" s="5" t="inlineStr">
        <is>
          <t>D2强势</t>
        </is>
      </c>
      <c r="I38" s="5" t="inlineStr">
        <is>
          <t>D3突破</t>
        </is>
      </c>
      <c r="J38" s="5" t="inlineStr">
        <is>
          <t>D4首板</t>
        </is>
      </c>
      <c r="K38" s="5" t="inlineStr">
        <is>
          <t>D5潜突</t>
        </is>
      </c>
      <c r="L38" s="5" t="inlineStr">
        <is>
          <t>D6连板</t>
        </is>
      </c>
      <c r="M38" s="5" t="inlineStr">
        <is>
          <t>D7一字</t>
        </is>
      </c>
      <c r="N38" s="5" t="inlineStr">
        <is>
          <t>D8活跃</t>
        </is>
      </c>
      <c r="O38" s="5" t="inlineStr">
        <is>
          <t>大成交额加分</t>
        </is>
      </c>
      <c r="P38" s="5" t="inlineStr">
        <is>
          <t>得分明细</t>
        </is>
      </c>
    </row>
    <row r="39">
      <c r="A39" t="n">
        <v>1</v>
      </c>
      <c r="B39" t="inlineStr">
        <is>
          <t>600498</t>
        </is>
      </c>
      <c r="C39" t="inlineStr">
        <is>
          <t>烽火通信</t>
        </is>
      </c>
      <c r="D39" t="n">
        <v>19</v>
      </c>
      <c r="E39" t="n">
        <v>3.62</v>
      </c>
      <c r="F39" t="n">
        <v>0.02</v>
      </c>
      <c r="G39" t="n">
        <v>8</v>
      </c>
      <c r="H39" t="n">
        <v>6</v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D1新高=8,D2强势=6,D3突破=5,D4首板=0,D5潜突=0,D6连板=0,D7一字=0,D8活跃=0,bonus=0</t>
        </is>
      </c>
    </row>
    <row r="40">
      <c r="A40" t="n">
        <v>2</v>
      </c>
      <c r="B40" t="inlineStr">
        <is>
          <t>002491</t>
        </is>
      </c>
      <c r="C40" t="inlineStr">
        <is>
          <t>通鼎互联</t>
        </is>
      </c>
      <c r="D40" t="n">
        <v>19</v>
      </c>
      <c r="E40" t="n">
        <v>10</v>
      </c>
      <c r="F40" t="n">
        <v>0.02</v>
      </c>
      <c r="G40" t="n">
        <v>8</v>
      </c>
      <c r="H40" t="n">
        <v>0</v>
      </c>
      <c r="I40" t="n">
        <v>5</v>
      </c>
      <c r="J40" t="n">
        <v>3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inlineStr">
        <is>
          <t>D1新高=8,D2强势=0,D3突破=5,D4首板=3,D5潜突=0,D6连板=0,D7一字=0,D8活跃=3,bonus=0</t>
        </is>
      </c>
    </row>
    <row r="41">
      <c r="A41" t="n">
        <v>3</v>
      </c>
      <c r="B41" t="inlineStr">
        <is>
          <t>000070</t>
        </is>
      </c>
      <c r="C41" t="inlineStr">
        <is>
          <t>特发信息</t>
        </is>
      </c>
      <c r="D41" t="n">
        <v>16</v>
      </c>
      <c r="E41" t="n">
        <v>6</v>
      </c>
      <c r="F41" t="n">
        <v>0.01</v>
      </c>
      <c r="G41" t="n">
        <v>8</v>
      </c>
      <c r="H41" t="n">
        <v>0</v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inlineStr">
        <is>
          <t>D1新高=8,D2强势=0,D3突破=5,D4首板=0,D5潜突=0,D6连板=0,D7一字=0,D8活跃=3,bonus=0</t>
        </is>
      </c>
    </row>
    <row r="42">
      <c r="A42" t="n">
        <v>4</v>
      </c>
      <c r="B42" t="inlineStr">
        <is>
          <t>600487</t>
        </is>
      </c>
      <c r="C42" t="inlineStr">
        <is>
          <t>亨通光电</t>
        </is>
      </c>
      <c r="D42" t="n">
        <v>16</v>
      </c>
      <c r="E42" t="n">
        <v>3.26</v>
      </c>
      <c r="F42" t="n">
        <v>0.02</v>
      </c>
      <c r="G42" t="n">
        <v>8</v>
      </c>
      <c r="H42" t="n">
        <v>0</v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inlineStr">
        <is>
          <t>D1新高=8,D2强势=0,D3突破=5,D4首板=0,D5潜突=0,D6连板=0,D7一字=0,D8活跃=3,bonus=0</t>
        </is>
      </c>
    </row>
    <row r="43">
      <c r="A43" t="n">
        <v>5</v>
      </c>
      <c r="B43" t="inlineStr">
        <is>
          <t>600522</t>
        </is>
      </c>
      <c r="C43" t="inlineStr">
        <is>
          <t>中天科技</t>
        </is>
      </c>
      <c r="D43" t="n">
        <v>11</v>
      </c>
      <c r="E43" t="n">
        <v>1.4</v>
      </c>
      <c r="F43" t="n">
        <v>0.03</v>
      </c>
      <c r="G43" t="n">
        <v>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inlineStr">
        <is>
          <t>D1新高=8,D2强势=0,D3突破=0,D4首板=0,D5潜突=0,D6连板=0,D7一字=0,D8活跃=3,bonus=0</t>
        </is>
      </c>
    </row>
    <row r="44">
      <c r="A44" t="n">
        <v>6</v>
      </c>
      <c r="B44" t="inlineStr">
        <is>
          <t>601869</t>
        </is>
      </c>
      <c r="C44" t="inlineStr">
        <is>
          <t>长飞光纤</t>
        </is>
      </c>
      <c r="D44" t="n">
        <v>3</v>
      </c>
      <c r="E44" t="n">
        <v>-0.78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inlineStr">
        <is>
          <t>D1新高=0,D2强势=0,D3突破=0,D4首板=0,D5潜突=0,D6连板=0,D7一字=0,D8活跃=3,bonus=0</t>
        </is>
      </c>
    </row>
    <row r="45"/>
    <row r="46">
      <c r="A46" s="4" t="inlineStr">
        <is>
          <t>--- 细分: 铌酸锂 ---</t>
        </is>
      </c>
    </row>
    <row r="47">
      <c r="A47" s="5" t="inlineStr">
        <is>
          <t>排名</t>
        </is>
      </c>
      <c r="B47" s="5" t="inlineStr">
        <is>
          <t>代码</t>
        </is>
      </c>
      <c r="C47" s="5" t="inlineStr">
        <is>
          <t>名称</t>
        </is>
      </c>
      <c r="D47" s="5" t="inlineStr">
        <is>
          <t>得分</t>
        </is>
      </c>
      <c r="E47" s="5" t="inlineStr">
        <is>
          <t>涨跌幅%</t>
        </is>
      </c>
      <c r="F47" s="5" t="inlineStr">
        <is>
          <t>成交额(亿)</t>
        </is>
      </c>
      <c r="G47" s="5" t="inlineStr">
        <is>
          <t>D1新高</t>
        </is>
      </c>
      <c r="H47" s="5" t="inlineStr">
        <is>
          <t>D2强势</t>
        </is>
      </c>
      <c r="I47" s="5" t="inlineStr">
        <is>
          <t>D3突破</t>
        </is>
      </c>
      <c r="J47" s="5" t="inlineStr">
        <is>
          <t>D4首板</t>
        </is>
      </c>
      <c r="K47" s="5" t="inlineStr">
        <is>
          <t>D5潜突</t>
        </is>
      </c>
      <c r="L47" s="5" t="inlineStr">
        <is>
          <t>D6连板</t>
        </is>
      </c>
      <c r="M47" s="5" t="inlineStr">
        <is>
          <t>D7一字</t>
        </is>
      </c>
      <c r="N47" s="5" t="inlineStr">
        <is>
          <t>D8活跃</t>
        </is>
      </c>
      <c r="O47" s="5" t="inlineStr">
        <is>
          <t>大成交额加分</t>
        </is>
      </c>
      <c r="P47" s="5" t="inlineStr">
        <is>
          <t>得分明细</t>
        </is>
      </c>
    </row>
    <row r="48">
      <c r="A48" t="n">
        <v>1</v>
      </c>
      <c r="B48" t="inlineStr">
        <is>
          <t>600330</t>
        </is>
      </c>
      <c r="C48" t="inlineStr">
        <is>
          <t>天通股份</t>
        </is>
      </c>
      <c r="D48" t="n">
        <v>8</v>
      </c>
      <c r="E48" t="n">
        <v>3.15</v>
      </c>
      <c r="F48" t="n">
        <v>0.01</v>
      </c>
      <c r="G48" t="n">
        <v>0</v>
      </c>
      <c r="H48" t="n">
        <v>0</v>
      </c>
      <c r="I48" t="n">
        <v>5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inlineStr">
        <is>
          <t>D1新高=0,D2强势=0,D3突破=5,D4首板=0,D5潜突=0,D6连板=0,D7一字=0,D8活跃=3,bonus=0</t>
        </is>
      </c>
    </row>
    <row r="49"/>
    <row r="50">
      <c r="A50" s="4" t="inlineStr">
        <is>
          <t>--- 细分: 石英晶振 ---</t>
        </is>
      </c>
    </row>
    <row r="51">
      <c r="A51" s="5" t="inlineStr">
        <is>
          <t>排名</t>
        </is>
      </c>
      <c r="B51" s="5" t="inlineStr">
        <is>
          <t>代码</t>
        </is>
      </c>
      <c r="C51" s="5" t="inlineStr">
        <is>
          <t>名称</t>
        </is>
      </c>
      <c r="D51" s="5" t="inlineStr">
        <is>
          <t>得分</t>
        </is>
      </c>
      <c r="E51" s="5" t="inlineStr">
        <is>
          <t>涨跌幅%</t>
        </is>
      </c>
      <c r="F51" s="5" t="inlineStr">
        <is>
          <t>成交额(亿)</t>
        </is>
      </c>
      <c r="G51" s="5" t="inlineStr">
        <is>
          <t>D1新高</t>
        </is>
      </c>
      <c r="H51" s="5" t="inlineStr">
        <is>
          <t>D2强势</t>
        </is>
      </c>
      <c r="I51" s="5" t="inlineStr">
        <is>
          <t>D3突破</t>
        </is>
      </c>
      <c r="J51" s="5" t="inlineStr">
        <is>
          <t>D4首板</t>
        </is>
      </c>
      <c r="K51" s="5" t="inlineStr">
        <is>
          <t>D5潜突</t>
        </is>
      </c>
      <c r="L51" s="5" t="inlineStr">
        <is>
          <t>D6连板</t>
        </is>
      </c>
      <c r="M51" s="5" t="inlineStr">
        <is>
          <t>D7一字</t>
        </is>
      </c>
      <c r="N51" s="5" t="inlineStr">
        <is>
          <t>D8活跃</t>
        </is>
      </c>
      <c r="O51" s="5" t="inlineStr">
        <is>
          <t>大成交额加分</t>
        </is>
      </c>
      <c r="P51" s="5" t="inlineStr">
        <is>
          <t>得分明细</t>
        </is>
      </c>
    </row>
    <row r="52">
      <c r="A52" t="n">
        <v>1</v>
      </c>
      <c r="B52" t="inlineStr">
        <is>
          <t>603738</t>
        </is>
      </c>
      <c r="C52" t="inlineStr">
        <is>
          <t>泰晶科技</t>
        </is>
      </c>
      <c r="D52" t="n">
        <v>22</v>
      </c>
      <c r="E52" t="n">
        <v>6.29</v>
      </c>
      <c r="F52" t="n">
        <v>0.01</v>
      </c>
      <c r="G52" t="n">
        <v>8</v>
      </c>
      <c r="H52" t="n">
        <v>6</v>
      </c>
      <c r="I52" t="n">
        <v>5</v>
      </c>
      <c r="J52" t="n">
        <v>0</v>
      </c>
      <c r="K52" t="n">
        <v>0</v>
      </c>
      <c r="L52" t="n">
        <v>0</v>
      </c>
      <c r="M52" t="n">
        <v>0</v>
      </c>
      <c r="N52" t="n">
        <v>3</v>
      </c>
      <c r="O52" t="n">
        <v>0</v>
      </c>
      <c r="P52" t="inlineStr">
        <is>
          <t>D1新高=8,D2强势=6,D3突破=5,D4首板=0,D5潜突=0,D6连板=0,D7一字=0,D8活跃=3,bonus=0</t>
        </is>
      </c>
    </row>
    <row r="53">
      <c r="A53" t="n">
        <v>2</v>
      </c>
      <c r="B53" t="inlineStr">
        <is>
          <t>300460</t>
        </is>
      </c>
      <c r="C53" t="inlineStr">
        <is>
          <t>惠伦晶体</t>
        </is>
      </c>
      <c r="D53" t="n">
        <v>0</v>
      </c>
      <c r="E53" t="n">
        <v>1.4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D1新高=0,D2强势=0,D3突破=0,D4首板=0,D5潜突=0,D6连板=0,D7一字=0,D8活跃=0,bonus=0</t>
        </is>
      </c>
    </row>
    <row r="54">
      <c r="A54" t="n">
        <v>3</v>
      </c>
      <c r="B54" t="inlineStr">
        <is>
          <t>002199</t>
        </is>
      </c>
      <c r="C54" t="inlineStr">
        <is>
          <t>*ST东晶</t>
        </is>
      </c>
      <c r="D54" t="n">
        <v>0</v>
      </c>
      <c r="E54" t="n">
        <v>0.6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D1新高=0,D2强势=0,D3突破=0,D4首板=0,D5潜突=0,D6连板=0,D7一字=0,D8活跃=0,bonus=0</t>
        </is>
      </c>
    </row>
    <row r="55"/>
    <row r="56">
      <c r="A56" s="4" t="inlineStr">
        <is>
          <t>--- 细分: 光模块 ---</t>
        </is>
      </c>
    </row>
    <row r="57">
      <c r="A57" s="5" t="inlineStr">
        <is>
          <t>排名</t>
        </is>
      </c>
      <c r="B57" s="5" t="inlineStr">
        <is>
          <t>代码</t>
        </is>
      </c>
      <c r="C57" s="5" t="inlineStr">
        <is>
          <t>名称</t>
        </is>
      </c>
      <c r="D57" s="5" t="inlineStr">
        <is>
          <t>得分</t>
        </is>
      </c>
      <c r="E57" s="5" t="inlineStr">
        <is>
          <t>涨跌幅%</t>
        </is>
      </c>
      <c r="F57" s="5" t="inlineStr">
        <is>
          <t>成交额(亿)</t>
        </is>
      </c>
      <c r="G57" s="5" t="inlineStr">
        <is>
          <t>D1新高</t>
        </is>
      </c>
      <c r="H57" s="5" t="inlineStr">
        <is>
          <t>D2强势</t>
        </is>
      </c>
      <c r="I57" s="5" t="inlineStr">
        <is>
          <t>D3突破</t>
        </is>
      </c>
      <c r="J57" s="5" t="inlineStr">
        <is>
          <t>D4首板</t>
        </is>
      </c>
      <c r="K57" s="5" t="inlineStr">
        <is>
          <t>D5潜突</t>
        </is>
      </c>
      <c r="L57" s="5" t="inlineStr">
        <is>
          <t>D6连板</t>
        </is>
      </c>
      <c r="M57" s="5" t="inlineStr">
        <is>
          <t>D7一字</t>
        </is>
      </c>
      <c r="N57" s="5" t="inlineStr">
        <is>
          <t>D8活跃</t>
        </is>
      </c>
      <c r="O57" s="5" t="inlineStr">
        <is>
          <t>大成交额加分</t>
        </is>
      </c>
      <c r="P57" s="5" t="inlineStr">
        <is>
          <t>得分明细</t>
        </is>
      </c>
    </row>
    <row r="58">
      <c r="A58" t="n">
        <v>1</v>
      </c>
      <c r="B58" t="inlineStr">
        <is>
          <t>301205</t>
        </is>
      </c>
      <c r="C58" t="inlineStr">
        <is>
          <t>联特科技</t>
        </is>
      </c>
      <c r="D58" t="n">
        <v>3</v>
      </c>
      <c r="E58" t="n">
        <v>-0.24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inlineStr">
        <is>
          <t>D1新高=0,D2强势=0,D3突破=0,D4首板=0,D5潜突=0,D6连板=0,D7一字=0,D8活跃=3,bonus=0</t>
        </is>
      </c>
    </row>
    <row r="59"/>
    <row r="60">
      <c r="A60" s="4" t="inlineStr">
        <is>
          <t>--- 细分: 插芯 ---</t>
        </is>
      </c>
    </row>
    <row r="61">
      <c r="A61" s="5" t="inlineStr">
        <is>
          <t>排名</t>
        </is>
      </c>
      <c r="B61" s="5" t="inlineStr">
        <is>
          <t>代码</t>
        </is>
      </c>
      <c r="C61" s="5" t="inlineStr">
        <is>
          <t>名称</t>
        </is>
      </c>
      <c r="D61" s="5" t="inlineStr">
        <is>
          <t>得分</t>
        </is>
      </c>
      <c r="E61" s="5" t="inlineStr">
        <is>
          <t>涨跌幅%</t>
        </is>
      </c>
      <c r="F61" s="5" t="inlineStr">
        <is>
          <t>成交额(亿)</t>
        </is>
      </c>
      <c r="G61" s="5" t="inlineStr">
        <is>
          <t>D1新高</t>
        </is>
      </c>
      <c r="H61" s="5" t="inlineStr">
        <is>
          <t>D2强势</t>
        </is>
      </c>
      <c r="I61" s="5" t="inlineStr">
        <is>
          <t>D3突破</t>
        </is>
      </c>
      <c r="J61" s="5" t="inlineStr">
        <is>
          <t>D4首板</t>
        </is>
      </c>
      <c r="K61" s="5" t="inlineStr">
        <is>
          <t>D5潜突</t>
        </is>
      </c>
      <c r="L61" s="5" t="inlineStr">
        <is>
          <t>D6连板</t>
        </is>
      </c>
      <c r="M61" s="5" t="inlineStr">
        <is>
          <t>D7一字</t>
        </is>
      </c>
      <c r="N61" s="5" t="inlineStr">
        <is>
          <t>D8活跃</t>
        </is>
      </c>
      <c r="O61" s="5" t="inlineStr">
        <is>
          <t>大成交额加分</t>
        </is>
      </c>
      <c r="P61" s="5" t="inlineStr">
        <is>
          <t>得分明细</t>
        </is>
      </c>
    </row>
    <row r="62">
      <c r="A62" t="n">
        <v>1</v>
      </c>
      <c r="B62" t="inlineStr">
        <is>
          <t>688313</t>
        </is>
      </c>
      <c r="C62" t="inlineStr">
        <is>
          <t>仕佳光子</t>
        </is>
      </c>
      <c r="D62" t="n">
        <v>3</v>
      </c>
      <c r="E62" t="n">
        <v>-1.96</v>
      </c>
      <c r="F62" t="n">
        <v>0.32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</v>
      </c>
      <c r="O62" t="n">
        <v>0</v>
      </c>
      <c r="P62" t="inlineStr">
        <is>
          <t>D1新高=0,D2强势=0,D3突破=0,D4首板=0,D5潜突=0,D6连板=0,D7一字=0,D8活跃=3,bonus=0</t>
        </is>
      </c>
    </row>
    <row r="63"/>
    <row r="64">
      <c r="A64" s="4" t="inlineStr">
        <is>
          <t>--- 细分: LPO ---</t>
        </is>
      </c>
    </row>
    <row r="65">
      <c r="A65" s="5" t="inlineStr">
        <is>
          <t>排名</t>
        </is>
      </c>
      <c r="B65" s="5" t="inlineStr">
        <is>
          <t>代码</t>
        </is>
      </c>
      <c r="C65" s="5" t="inlineStr">
        <is>
          <t>名称</t>
        </is>
      </c>
      <c r="D65" s="5" t="inlineStr">
        <is>
          <t>得分</t>
        </is>
      </c>
      <c r="E65" s="5" t="inlineStr">
        <is>
          <t>涨跌幅%</t>
        </is>
      </c>
      <c r="F65" s="5" t="inlineStr">
        <is>
          <t>成交额(亿)</t>
        </is>
      </c>
      <c r="G65" s="5" t="inlineStr">
        <is>
          <t>D1新高</t>
        </is>
      </c>
      <c r="H65" s="5" t="inlineStr">
        <is>
          <t>D2强势</t>
        </is>
      </c>
      <c r="I65" s="5" t="inlineStr">
        <is>
          <t>D3突破</t>
        </is>
      </c>
      <c r="J65" s="5" t="inlineStr">
        <is>
          <t>D4首板</t>
        </is>
      </c>
      <c r="K65" s="5" t="inlineStr">
        <is>
          <t>D5潜突</t>
        </is>
      </c>
      <c r="L65" s="5" t="inlineStr">
        <is>
          <t>D6连板</t>
        </is>
      </c>
      <c r="M65" s="5" t="inlineStr">
        <is>
          <t>D7一字</t>
        </is>
      </c>
      <c r="N65" s="5" t="inlineStr">
        <is>
          <t>D8活跃</t>
        </is>
      </c>
      <c r="O65" s="5" t="inlineStr">
        <is>
          <t>大成交额加分</t>
        </is>
      </c>
      <c r="P65" s="5" t="inlineStr">
        <is>
          <t>得分明细</t>
        </is>
      </c>
    </row>
    <row r="66">
      <c r="A66" t="n">
        <v>1</v>
      </c>
      <c r="B66" t="inlineStr">
        <is>
          <t>603083</t>
        </is>
      </c>
      <c r="C66" t="inlineStr">
        <is>
          <t>剑桥科技</t>
        </is>
      </c>
      <c r="D66" t="n">
        <v>3</v>
      </c>
      <c r="E66" t="n">
        <v>2.64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3</v>
      </c>
      <c r="O66" t="n">
        <v>0</v>
      </c>
      <c r="P66" t="inlineStr">
        <is>
          <t>D1新高=0,D2强势=0,D3突破=0,D4首板=0,D5潜突=0,D6连板=0,D7一字=0,D8活跃=3,bonus=0</t>
        </is>
      </c>
    </row>
    <row r="67">
      <c r="A67" t="n">
        <v>2</v>
      </c>
      <c r="B67" t="inlineStr">
        <is>
          <t>300308</t>
        </is>
      </c>
      <c r="C67" t="inlineStr">
        <is>
          <t>中际旭创</t>
        </is>
      </c>
      <c r="D67" t="n">
        <v>0</v>
      </c>
      <c r="E67" t="n">
        <v>2.25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D1新高=0,D2强势=0,D3突破=0,D4首板=0,D5潜突=0,D6连板=0,D7一字=0,D8活跃=0,bonus=0</t>
        </is>
      </c>
    </row>
    <row r="68"/>
    <row r="69">
      <c r="A69" s="4" t="inlineStr">
        <is>
          <t>--- 细分: 光芯片 ---</t>
        </is>
      </c>
    </row>
    <row r="70">
      <c r="A70" s="5" t="inlineStr">
        <is>
          <t>排名</t>
        </is>
      </c>
      <c r="B70" s="5" t="inlineStr">
        <is>
          <t>代码</t>
        </is>
      </c>
      <c r="C70" s="5" t="inlineStr">
        <is>
          <t>名称</t>
        </is>
      </c>
      <c r="D70" s="5" t="inlineStr">
        <is>
          <t>得分</t>
        </is>
      </c>
      <c r="E70" s="5" t="inlineStr">
        <is>
          <t>涨跌幅%</t>
        </is>
      </c>
      <c r="F70" s="5" t="inlineStr">
        <is>
          <t>成交额(亿)</t>
        </is>
      </c>
      <c r="G70" s="5" t="inlineStr">
        <is>
          <t>D1新高</t>
        </is>
      </c>
      <c r="H70" s="5" t="inlineStr">
        <is>
          <t>D2强势</t>
        </is>
      </c>
      <c r="I70" s="5" t="inlineStr">
        <is>
          <t>D3突破</t>
        </is>
      </c>
      <c r="J70" s="5" t="inlineStr">
        <is>
          <t>D4首板</t>
        </is>
      </c>
      <c r="K70" s="5" t="inlineStr">
        <is>
          <t>D5潜突</t>
        </is>
      </c>
      <c r="L70" s="5" t="inlineStr">
        <is>
          <t>D6连板</t>
        </is>
      </c>
      <c r="M70" s="5" t="inlineStr">
        <is>
          <t>D7一字</t>
        </is>
      </c>
      <c r="N70" s="5" t="inlineStr">
        <is>
          <t>D8活跃</t>
        </is>
      </c>
      <c r="O70" s="5" t="inlineStr">
        <is>
          <t>大成交额加分</t>
        </is>
      </c>
      <c r="P70" s="5" t="inlineStr">
        <is>
          <t>得分明细</t>
        </is>
      </c>
    </row>
    <row r="71">
      <c r="A71" t="n">
        <v>1</v>
      </c>
      <c r="B71" t="inlineStr">
        <is>
          <t>300548</t>
        </is>
      </c>
      <c r="C71" t="inlineStr">
        <is>
          <t>长芯博创</t>
        </is>
      </c>
      <c r="D71" t="n">
        <v>3</v>
      </c>
      <c r="E71" t="n">
        <v>-4.74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3</v>
      </c>
      <c r="O71" t="n">
        <v>0</v>
      </c>
      <c r="P71" t="inlineStr">
        <is>
          <t>D1新高=0,D2强势=0,D3突破=0,D4首板=0,D5潜突=0,D6连板=0,D7一字=0,D8活跃=3,bonus=0</t>
        </is>
      </c>
    </row>
    <row r="72">
      <c r="A72" t="n">
        <v>2</v>
      </c>
      <c r="B72" t="inlineStr">
        <is>
          <t>688498</t>
        </is>
      </c>
      <c r="C72" t="inlineStr">
        <is>
          <t>源杰科技</t>
        </is>
      </c>
      <c r="D72" t="n">
        <v>3</v>
      </c>
      <c r="E72" t="n">
        <v>0.19</v>
      </c>
      <c r="F72" t="n">
        <v>0.04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D1新高=0,D2强势=0,D3突破=0,D4首板=0,D5潜突=0,D6连板=0,D7一字=0,D8活跃=3,bonus=0</t>
        </is>
      </c>
    </row>
    <row r="73">
      <c r="A73" t="n">
        <v>3</v>
      </c>
      <c r="B73" t="inlineStr">
        <is>
          <t>688048</t>
        </is>
      </c>
      <c r="C73" t="inlineStr">
        <is>
          <t>长光华芯</t>
        </is>
      </c>
      <c r="D73" t="n">
        <v>0</v>
      </c>
      <c r="E73" t="n">
        <v>-1.02</v>
      </c>
      <c r="F73" t="n">
        <v>0.14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D1新高=0,D2强势=0,D3突破=0,D4首板=0,D5潜突=0,D6连板=0,D7一字=0,D8活跃=0,bonus=0</t>
        </is>
      </c>
    </row>
    <row r="74">
      <c r="A74" t="n">
        <v>4</v>
      </c>
      <c r="B74" t="inlineStr">
        <is>
          <t>002725</t>
        </is>
      </c>
      <c r="C74" t="inlineStr">
        <is>
          <t>跃岭股份</t>
        </is>
      </c>
      <c r="D74" t="n">
        <v>0</v>
      </c>
      <c r="E74" t="n">
        <v>-2.84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D1新高=0,D2强势=0,D3突破=0,D4首板=0,D5潜突=0,D6连板=0,D7一字=0,D8活跃=0,bonus=0</t>
        </is>
      </c>
    </row>
    <row r="75"/>
    <row r="76">
      <c r="A76" s="4" t="inlineStr">
        <is>
          <t>--- 细分: 设备 ---</t>
        </is>
      </c>
    </row>
    <row r="77">
      <c r="A77" s="5" t="inlineStr">
        <is>
          <t>排名</t>
        </is>
      </c>
      <c r="B77" s="5" t="inlineStr">
        <is>
          <t>代码</t>
        </is>
      </c>
      <c r="C77" s="5" t="inlineStr">
        <is>
          <t>名称</t>
        </is>
      </c>
      <c r="D77" s="5" t="inlineStr">
        <is>
          <t>得分</t>
        </is>
      </c>
      <c r="E77" s="5" t="inlineStr">
        <is>
          <t>涨跌幅%</t>
        </is>
      </c>
      <c r="F77" s="5" t="inlineStr">
        <is>
          <t>成交额(亿)</t>
        </is>
      </c>
      <c r="G77" s="5" t="inlineStr">
        <is>
          <t>D1新高</t>
        </is>
      </c>
      <c r="H77" s="5" t="inlineStr">
        <is>
          <t>D2强势</t>
        </is>
      </c>
      <c r="I77" s="5" t="inlineStr">
        <is>
          <t>D3突破</t>
        </is>
      </c>
      <c r="J77" s="5" t="inlineStr">
        <is>
          <t>D4首板</t>
        </is>
      </c>
      <c r="K77" s="5" t="inlineStr">
        <is>
          <t>D5潜突</t>
        </is>
      </c>
      <c r="L77" s="5" t="inlineStr">
        <is>
          <t>D6连板</t>
        </is>
      </c>
      <c r="M77" s="5" t="inlineStr">
        <is>
          <t>D7一字</t>
        </is>
      </c>
      <c r="N77" s="5" t="inlineStr">
        <is>
          <t>D8活跃</t>
        </is>
      </c>
      <c r="O77" s="5" t="inlineStr">
        <is>
          <t>大成交额加分</t>
        </is>
      </c>
      <c r="P77" s="5" t="inlineStr">
        <is>
          <t>得分明细</t>
        </is>
      </c>
    </row>
    <row r="78">
      <c r="A78" t="n">
        <v>1</v>
      </c>
      <c r="B78" t="inlineStr">
        <is>
          <t>300757</t>
        </is>
      </c>
      <c r="C78" t="inlineStr">
        <is>
          <t>罗博特科</t>
        </is>
      </c>
      <c r="D78" t="n">
        <v>0</v>
      </c>
      <c r="E78" t="n">
        <v>1.57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D1新高=0,D2强势=0,D3突破=0,D4首板=0,D5潜突=0,D6连板=0,D7一字=0,D8活跃=0,bonus=0</t>
        </is>
      </c>
    </row>
    <row r="79"/>
    <row r="80">
      <c r="A80" s="4" t="inlineStr">
        <is>
          <t>--- 细分: LPO ---</t>
        </is>
      </c>
    </row>
    <row r="81">
      <c r="A81" s="5" t="inlineStr">
        <is>
          <t>排名</t>
        </is>
      </c>
      <c r="B81" s="5" t="inlineStr">
        <is>
          <t>代码</t>
        </is>
      </c>
      <c r="C81" s="5" t="inlineStr">
        <is>
          <t>名称</t>
        </is>
      </c>
      <c r="D81" s="5" t="inlineStr">
        <is>
          <t>得分</t>
        </is>
      </c>
      <c r="E81" s="5" t="inlineStr">
        <is>
          <t>涨跌幅%</t>
        </is>
      </c>
      <c r="F81" s="5" t="inlineStr">
        <is>
          <t>成交额(亿)</t>
        </is>
      </c>
      <c r="G81" s="5" t="inlineStr">
        <is>
          <t>D1新高</t>
        </is>
      </c>
      <c r="H81" s="5" t="inlineStr">
        <is>
          <t>D2强势</t>
        </is>
      </c>
      <c r="I81" s="5" t="inlineStr">
        <is>
          <t>D3突破</t>
        </is>
      </c>
      <c r="J81" s="5" t="inlineStr">
        <is>
          <t>D4首板</t>
        </is>
      </c>
      <c r="K81" s="5" t="inlineStr">
        <is>
          <t>D5潜突</t>
        </is>
      </c>
      <c r="L81" s="5" t="inlineStr">
        <is>
          <t>D6连板</t>
        </is>
      </c>
      <c r="M81" s="5" t="inlineStr">
        <is>
          <t>D7一字</t>
        </is>
      </c>
      <c r="N81" s="5" t="inlineStr">
        <is>
          <t>D8活跃</t>
        </is>
      </c>
      <c r="O81" s="5" t="inlineStr">
        <is>
          <t>大成交额加分</t>
        </is>
      </c>
      <c r="P81" s="5" t="inlineStr">
        <is>
          <t>得分明细</t>
        </is>
      </c>
    </row>
    <row r="82">
      <c r="A82" t="n">
        <v>1</v>
      </c>
      <c r="B82" t="inlineStr">
        <is>
          <t>300502</t>
        </is>
      </c>
      <c r="C82" t="inlineStr">
        <is>
          <t>新易盛</t>
        </is>
      </c>
      <c r="D82" t="n">
        <v>0</v>
      </c>
      <c r="E82" t="n">
        <v>1.62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D1新高=0,D2强势=0,D3突破=0,D4首板=0,D5潜突=0,D6连板=0,D7一字=0,D8活跃=0,bonus=0</t>
        </is>
      </c>
    </row>
    <row r="83"/>
    <row r="84">
      <c r="A84" s="4" t="inlineStr">
        <is>
          <t>--- 细分: 光引擎 ---</t>
        </is>
      </c>
    </row>
    <row r="85">
      <c r="A85" s="5" t="inlineStr">
        <is>
          <t>排名</t>
        </is>
      </c>
      <c r="B85" s="5" t="inlineStr">
        <is>
          <t>代码</t>
        </is>
      </c>
      <c r="C85" s="5" t="inlineStr">
        <is>
          <t>名称</t>
        </is>
      </c>
      <c r="D85" s="5" t="inlineStr">
        <is>
          <t>得分</t>
        </is>
      </c>
      <c r="E85" s="5" t="inlineStr">
        <is>
          <t>涨跌幅%</t>
        </is>
      </c>
      <c r="F85" s="5" t="inlineStr">
        <is>
          <t>成交额(亿)</t>
        </is>
      </c>
      <c r="G85" s="5" t="inlineStr">
        <is>
          <t>D1新高</t>
        </is>
      </c>
      <c r="H85" s="5" t="inlineStr">
        <is>
          <t>D2强势</t>
        </is>
      </c>
      <c r="I85" s="5" t="inlineStr">
        <is>
          <t>D3突破</t>
        </is>
      </c>
      <c r="J85" s="5" t="inlineStr">
        <is>
          <t>D4首板</t>
        </is>
      </c>
      <c r="K85" s="5" t="inlineStr">
        <is>
          <t>D5潜突</t>
        </is>
      </c>
      <c r="L85" s="5" t="inlineStr">
        <is>
          <t>D6连板</t>
        </is>
      </c>
      <c r="M85" s="5" t="inlineStr">
        <is>
          <t>D7一字</t>
        </is>
      </c>
      <c r="N85" s="5" t="inlineStr">
        <is>
          <t>D8活跃</t>
        </is>
      </c>
      <c r="O85" s="5" t="inlineStr">
        <is>
          <t>大成交额加分</t>
        </is>
      </c>
      <c r="P85" s="5" t="inlineStr">
        <is>
          <t>得分明细</t>
        </is>
      </c>
    </row>
    <row r="86">
      <c r="A86" t="n">
        <v>1</v>
      </c>
      <c r="B86" t="inlineStr">
        <is>
          <t>300394</t>
        </is>
      </c>
      <c r="C86" t="inlineStr">
        <is>
          <t>天孚通信</t>
        </is>
      </c>
      <c r="D86" t="n">
        <v>0</v>
      </c>
      <c r="E86" t="n">
        <v>1.42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610"/>
  <sheetViews>
    <sheetView workbookViewId="0">
      <selection activeCell="A1" sqref="A1"/>
    </sheetView>
  </sheetViews>
  <sheetFormatPr baseColWidth="8" defaultRowHeight="15"/>
  <sheetData>
    <row r="1">
      <c r="A1" s="2">
        <f>== 半导体 产业链全局看板 ===</f>
        <v/>
      </c>
    </row>
    <row r="2">
      <c r="A2" t="inlineStr">
        <is>
          <t>板块整体均分</t>
        </is>
      </c>
      <c r="B2" t="n">
        <v>6.62</v>
      </c>
      <c r="C2" t="inlineStr">
        <is>
          <t>最强细分</t>
        </is>
      </c>
      <c r="D2" t="inlineStr">
        <is>
          <t>芯片封装玻璃 (31.0分)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1</v>
      </c>
      <c r="B6" t="inlineStr">
        <is>
          <t>芯片封装玻璃</t>
        </is>
      </c>
      <c r="C6" t="n">
        <v>31</v>
      </c>
      <c r="D6" t="n">
        <v>31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>旗滨集团</t>
        </is>
      </c>
      <c r="K6" t="n">
        <v>31</v>
      </c>
    </row>
    <row r="7">
      <c r="A7" t="n">
        <v>2</v>
      </c>
      <c r="B7" t="inlineStr">
        <is>
          <t>高硼硅玻璃</t>
        </is>
      </c>
      <c r="C7" t="n">
        <v>25</v>
      </c>
      <c r="D7" t="n">
        <v>25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inlineStr">
        <is>
          <t>力诺药包</t>
        </is>
      </c>
      <c r="K7" t="n">
        <v>25</v>
      </c>
    </row>
    <row r="8">
      <c r="A8" t="n">
        <v>4</v>
      </c>
      <c r="B8" t="inlineStr">
        <is>
          <t>硼硅玻璃生产企业</t>
        </is>
      </c>
      <c r="C8" t="n">
        <v>25</v>
      </c>
      <c r="D8" t="n">
        <v>25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inlineStr">
        <is>
          <t>力诺药包</t>
        </is>
      </c>
      <c r="K8" t="n">
        <v>25</v>
      </c>
    </row>
    <row r="9">
      <c r="A9" t="n">
        <v>5</v>
      </c>
      <c r="B9" t="inlineStr">
        <is>
          <t>芯片用玻璃基板</t>
        </is>
      </c>
      <c r="C9" t="n">
        <v>24</v>
      </c>
      <c r="D9" t="n">
        <v>24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inlineStr">
        <is>
          <t>沃格光电</t>
        </is>
      </c>
      <c r="K9" t="n">
        <v>24</v>
      </c>
    </row>
    <row r="10">
      <c r="A10" t="n">
        <v>7</v>
      </c>
      <c r="B10" t="inlineStr">
        <is>
          <t>TSV电镀</t>
        </is>
      </c>
      <c r="C10" t="n">
        <v>22</v>
      </c>
      <c r="D10" t="n">
        <v>22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inlineStr">
        <is>
          <t>盛美上海</t>
        </is>
      </c>
      <c r="K10" t="n">
        <v>22</v>
      </c>
    </row>
    <row r="11">
      <c r="A11" t="n">
        <v>8</v>
      </c>
      <c r="B11" t="inlineStr">
        <is>
          <t>TGV工艺标准</t>
        </is>
      </c>
      <c r="C11" t="n">
        <v>22</v>
      </c>
      <c r="D11" t="n">
        <v>22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inlineStr">
        <is>
          <t>蓝思科技</t>
        </is>
      </c>
      <c r="K11" t="n">
        <v>22</v>
      </c>
    </row>
    <row r="12">
      <c r="A12" t="n">
        <v>9</v>
      </c>
      <c r="B12" t="inlineStr">
        <is>
          <t>玻璃基板工艺</t>
        </is>
      </c>
      <c r="C12" t="n">
        <v>22</v>
      </c>
      <c r="D12" t="n">
        <v>22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inlineStr">
        <is>
          <t>兴森科技</t>
        </is>
      </c>
      <c r="K12" t="n">
        <v>22</v>
      </c>
    </row>
    <row r="13">
      <c r="A13" t="n">
        <v>10</v>
      </c>
      <c r="B13" t="inlineStr">
        <is>
          <t>半导体玻璃基板激光打孔</t>
        </is>
      </c>
      <c r="C13" t="n">
        <v>22</v>
      </c>
      <c r="D13" t="n">
        <v>22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inlineStr">
        <is>
          <t>麦格米特</t>
        </is>
      </c>
      <c r="K13" t="n">
        <v>22</v>
      </c>
    </row>
    <row r="14">
      <c r="A14" t="n">
        <v>12</v>
      </c>
      <c r="B14" t="inlineStr">
        <is>
          <t>TGV玻璃技术</t>
        </is>
      </c>
      <c r="C14" t="n">
        <v>19</v>
      </c>
      <c r="D14" t="n">
        <v>19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inlineStr">
        <is>
          <t>凯盛科技</t>
        </is>
      </c>
      <c r="K14" t="n">
        <v>19</v>
      </c>
    </row>
    <row r="15">
      <c r="A15" t="n">
        <v>18</v>
      </c>
      <c r="B15" t="inlineStr">
        <is>
          <t>泛半导体直写光刻设备</t>
        </is>
      </c>
      <c r="C15" t="n">
        <v>17</v>
      </c>
      <c r="D15" t="n">
        <v>17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inlineStr">
        <is>
          <t>芯基微装</t>
        </is>
      </c>
      <c r="K15" t="n">
        <v>17</v>
      </c>
    </row>
    <row r="16">
      <c r="A16" t="n">
        <v>22</v>
      </c>
      <c r="B16" t="inlineStr">
        <is>
          <t>G5级</t>
        </is>
      </c>
      <c r="C16" t="n">
        <v>16.5</v>
      </c>
      <c r="D16" t="n">
        <v>30</v>
      </c>
      <c r="E16" t="n">
        <v>2</v>
      </c>
      <c r="F16" t="n">
        <v>1</v>
      </c>
      <c r="G16" t="n">
        <v>0</v>
      </c>
      <c r="H16" t="n">
        <v>0</v>
      </c>
      <c r="I16" t="n">
        <v>1</v>
      </c>
      <c r="J16" t="inlineStr">
        <is>
          <t>中巨芯-U</t>
        </is>
      </c>
      <c r="K16" t="n">
        <v>30</v>
      </c>
    </row>
    <row r="17">
      <c r="A17" t="n">
        <v>25</v>
      </c>
      <c r="B17" t="inlineStr">
        <is>
          <t>TGV技术</t>
        </is>
      </c>
      <c r="C17" t="n">
        <v>16</v>
      </c>
      <c r="D17" t="n">
        <v>16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inlineStr">
        <is>
          <t>莱宝高科</t>
        </is>
      </c>
      <c r="K17" t="n">
        <v>16</v>
      </c>
    </row>
    <row r="18">
      <c r="A18" t="n">
        <v>26</v>
      </c>
      <c r="B18" t="inlineStr">
        <is>
          <t>光纤涂料</t>
        </is>
      </c>
      <c r="C18" t="n">
        <v>16</v>
      </c>
      <c r="D18" t="n">
        <v>16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inlineStr">
        <is>
          <t>飞凯材料</t>
        </is>
      </c>
      <c r="K18" t="n">
        <v>16</v>
      </c>
    </row>
    <row r="19">
      <c r="A19" t="n">
        <v>27</v>
      </c>
      <c r="B19" t="inlineStr">
        <is>
          <t>基板玻璃产品</t>
        </is>
      </c>
      <c r="C19" t="n">
        <v>16</v>
      </c>
      <c r="D19" t="n">
        <v>16</v>
      </c>
      <c r="E19" t="n">
        <v>1</v>
      </c>
      <c r="F19" t="n">
        <v>0</v>
      </c>
      <c r="G19" t="n">
        <v>1</v>
      </c>
      <c r="H19" t="n">
        <v>0</v>
      </c>
      <c r="I19" t="n">
        <v>0</v>
      </c>
      <c r="J19" t="inlineStr">
        <is>
          <t>彩虹股份</t>
        </is>
      </c>
      <c r="K19" t="n">
        <v>16</v>
      </c>
    </row>
    <row r="20">
      <c r="A20" t="n">
        <v>29</v>
      </c>
      <c r="B20" t="inlineStr">
        <is>
          <t>玻璃基板(液晶领域)</t>
        </is>
      </c>
      <c r="C20" t="n">
        <v>16</v>
      </c>
      <c r="D20" t="n">
        <v>16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inlineStr">
        <is>
          <t>彩虹股份</t>
        </is>
      </c>
      <c r="K20" t="n">
        <v>16</v>
      </c>
    </row>
    <row r="21">
      <c r="A21" t="n">
        <v>30</v>
      </c>
      <c r="B21" t="inlineStr">
        <is>
          <t>TGV封装湿化学品</t>
        </is>
      </c>
      <c r="C21" t="n">
        <v>16</v>
      </c>
      <c r="D21" t="n">
        <v>16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  <c r="J21" t="inlineStr">
        <is>
          <t>飞凯材料</t>
        </is>
      </c>
      <c r="K21" t="n">
        <v>16</v>
      </c>
    </row>
    <row r="22">
      <c r="A22" t="n">
        <v>32</v>
      </c>
      <c r="B22" t="inlineStr">
        <is>
          <t>探针台</t>
        </is>
      </c>
      <c r="C22" t="n">
        <v>15</v>
      </c>
      <c r="D22" t="n">
        <v>25</v>
      </c>
      <c r="E22" t="n">
        <v>2</v>
      </c>
      <c r="F22" t="n">
        <v>1</v>
      </c>
      <c r="G22" t="n">
        <v>0</v>
      </c>
      <c r="H22" t="n">
        <v>0</v>
      </c>
      <c r="I22" t="n">
        <v>1</v>
      </c>
      <c r="J22" t="inlineStr">
        <is>
          <t>和林微纳</t>
        </is>
      </c>
      <c r="K22" t="n">
        <v>25</v>
      </c>
    </row>
    <row r="23">
      <c r="A23" t="n">
        <v>35</v>
      </c>
      <c r="B23" t="inlineStr">
        <is>
          <t>玻璃通孔(TGV)</t>
        </is>
      </c>
      <c r="C23" t="n">
        <v>14.88</v>
      </c>
      <c r="D23" t="n">
        <v>24</v>
      </c>
      <c r="E23" t="n">
        <v>8</v>
      </c>
      <c r="F23" t="n">
        <v>4</v>
      </c>
      <c r="G23" t="n">
        <v>1</v>
      </c>
      <c r="H23" t="n">
        <v>1</v>
      </c>
      <c r="I23" t="n">
        <v>2</v>
      </c>
      <c r="J23" t="inlineStr">
        <is>
          <t>沃格光电</t>
        </is>
      </c>
      <c r="K23" t="n">
        <v>24</v>
      </c>
    </row>
    <row r="24">
      <c r="A24" t="n">
        <v>37</v>
      </c>
      <c r="B24" t="inlineStr">
        <is>
          <t>基板</t>
        </is>
      </c>
      <c r="C24" t="n">
        <v>14.42</v>
      </c>
      <c r="D24" t="n">
        <v>30</v>
      </c>
      <c r="E24" t="n">
        <v>12</v>
      </c>
      <c r="F24" t="n">
        <v>4</v>
      </c>
      <c r="G24" t="n">
        <v>3</v>
      </c>
      <c r="H24" t="n">
        <v>1</v>
      </c>
      <c r="I24" t="n">
        <v>4</v>
      </c>
      <c r="J24" t="inlineStr">
        <is>
          <t>华正新材</t>
        </is>
      </c>
      <c r="K24" t="n">
        <v>30</v>
      </c>
    </row>
    <row r="25">
      <c r="A25" t="n">
        <v>40</v>
      </c>
      <c r="B25" t="inlineStr">
        <is>
          <t>玻璃基板封装设备</t>
        </is>
      </c>
      <c r="C25" t="n">
        <v>14</v>
      </c>
      <c r="D25" t="n">
        <v>14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新益昌</t>
        </is>
      </c>
      <c r="K25" t="n">
        <v>14</v>
      </c>
    </row>
    <row r="26">
      <c r="A26" t="n">
        <v>41</v>
      </c>
      <c r="B26" t="inlineStr">
        <is>
          <t>固晶</t>
        </is>
      </c>
      <c r="C26" t="n">
        <v>14</v>
      </c>
      <c r="D26" t="n">
        <v>14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  <c r="J26" t="inlineStr">
        <is>
          <t>新益昌</t>
        </is>
      </c>
      <c r="K26" t="n">
        <v>14</v>
      </c>
    </row>
    <row r="27">
      <c r="A27" t="n">
        <v>42</v>
      </c>
      <c r="B27" t="inlineStr">
        <is>
          <t>Meta</t>
        </is>
      </c>
      <c r="C27" t="n">
        <v>14</v>
      </c>
      <c r="D27" t="n">
        <v>16</v>
      </c>
      <c r="E27" t="n">
        <v>3</v>
      </c>
      <c r="F27" t="n">
        <v>0</v>
      </c>
      <c r="G27" t="n">
        <v>1</v>
      </c>
      <c r="H27" t="n">
        <v>2</v>
      </c>
      <c r="I27" t="n">
        <v>0</v>
      </c>
      <c r="J27" t="inlineStr">
        <is>
          <t>深南电路</t>
        </is>
      </c>
      <c r="K27" t="n">
        <v>16</v>
      </c>
    </row>
    <row r="28">
      <c r="A28" t="n">
        <v>45</v>
      </c>
      <c r="B28" t="inlineStr">
        <is>
          <t>封装基板</t>
        </is>
      </c>
      <c r="C28" t="n">
        <v>13.6</v>
      </c>
      <c r="D28" t="n">
        <v>25</v>
      </c>
      <c r="E28" t="n">
        <v>5</v>
      </c>
      <c r="F28" t="n">
        <v>2</v>
      </c>
      <c r="G28" t="n">
        <v>1</v>
      </c>
      <c r="H28" t="n">
        <v>0</v>
      </c>
      <c r="I28" t="n">
        <v>2</v>
      </c>
      <c r="J28" t="inlineStr">
        <is>
          <t>和林微纳</t>
        </is>
      </c>
      <c r="K28" t="n">
        <v>25</v>
      </c>
    </row>
    <row r="29">
      <c r="A29" t="n">
        <v>46</v>
      </c>
      <c r="B29" t="inlineStr">
        <is>
          <t>测试设备</t>
        </is>
      </c>
      <c r="C29" t="n">
        <v>13.33</v>
      </c>
      <c r="D29" t="n">
        <v>16</v>
      </c>
      <c r="E29" t="n">
        <v>3</v>
      </c>
      <c r="F29" t="n">
        <v>1</v>
      </c>
      <c r="G29" t="n">
        <v>0</v>
      </c>
      <c r="H29" t="n">
        <v>2</v>
      </c>
      <c r="I29" t="n">
        <v>0</v>
      </c>
      <c r="J29" t="inlineStr">
        <is>
          <t>长川科技</t>
        </is>
      </c>
      <c r="K29" t="n">
        <v>16</v>
      </c>
    </row>
    <row r="30">
      <c r="A30" t="n">
        <v>47</v>
      </c>
      <c r="B30" t="inlineStr">
        <is>
          <t>其他</t>
        </is>
      </c>
      <c r="C30" t="n">
        <v>13</v>
      </c>
      <c r="D30" t="n">
        <v>22</v>
      </c>
      <c r="E30" t="n">
        <v>4</v>
      </c>
      <c r="F30" t="n">
        <v>2</v>
      </c>
      <c r="G30" t="n">
        <v>0</v>
      </c>
      <c r="H30" t="n">
        <v>1</v>
      </c>
      <c r="I30" t="n">
        <v>1</v>
      </c>
      <c r="J30" t="inlineStr">
        <is>
          <t>麦格米特</t>
        </is>
      </c>
      <c r="K30" t="n">
        <v>22</v>
      </c>
    </row>
    <row r="31">
      <c r="A31" t="n">
        <v>53</v>
      </c>
      <c r="B31" t="inlineStr">
        <is>
          <t>抛光材料</t>
        </is>
      </c>
      <c r="C31" t="n">
        <v>12</v>
      </c>
      <c r="D31" t="n">
        <v>19</v>
      </c>
      <c r="E31" t="n">
        <v>2</v>
      </c>
      <c r="F31" t="n">
        <v>1</v>
      </c>
      <c r="G31" t="n">
        <v>0</v>
      </c>
      <c r="H31" t="n">
        <v>0</v>
      </c>
      <c r="I31" t="n">
        <v>1</v>
      </c>
      <c r="J31" t="inlineStr">
        <is>
          <t>鼎龙股份</t>
        </is>
      </c>
      <c r="K31" t="n">
        <v>19</v>
      </c>
    </row>
    <row r="32">
      <c r="A32" t="n">
        <v>56</v>
      </c>
      <c r="B32" t="inlineStr">
        <is>
          <t>TGV工艺</t>
        </is>
      </c>
      <c r="C32" t="n">
        <v>11</v>
      </c>
      <c r="D32" t="n">
        <v>11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inlineStr">
        <is>
          <t>美迪凯</t>
        </is>
      </c>
      <c r="K32" t="n">
        <v>11</v>
      </c>
    </row>
    <row r="33">
      <c r="A33" t="n">
        <v>57</v>
      </c>
      <c r="B33" t="inlineStr">
        <is>
          <t>电镀添加剂</t>
        </is>
      </c>
      <c r="C33" t="n">
        <v>11</v>
      </c>
      <c r="D33" t="n">
        <v>11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inlineStr">
        <is>
          <t>天承科技</t>
        </is>
      </c>
      <c r="K33" t="n">
        <v>11</v>
      </c>
    </row>
    <row r="34">
      <c r="A34" t="n">
        <v>58</v>
      </c>
      <c r="B34" t="inlineStr">
        <is>
          <t>TGV设备</t>
        </is>
      </c>
      <c r="C34" t="n">
        <v>11</v>
      </c>
      <c r="D34" t="n">
        <v>11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inlineStr">
        <is>
          <t>东威科技</t>
        </is>
      </c>
      <c r="K34" t="n">
        <v>11</v>
      </c>
    </row>
    <row r="35">
      <c r="A35" t="n">
        <v>60</v>
      </c>
      <c r="B35" t="inlineStr">
        <is>
          <t>其他</t>
        </is>
      </c>
      <c r="C35" t="n">
        <v>11</v>
      </c>
      <c r="D35" t="n">
        <v>11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inlineStr">
        <is>
          <t>四方光电</t>
        </is>
      </c>
      <c r="K35" t="n">
        <v>11</v>
      </c>
    </row>
    <row r="36">
      <c r="A36" t="n">
        <v>61</v>
      </c>
      <c r="B36" t="inlineStr">
        <is>
          <t>玻璃基板封装</t>
        </is>
      </c>
      <c r="C36" t="n">
        <v>11</v>
      </c>
      <c r="D36" t="n">
        <v>11</v>
      </c>
      <c r="E36" t="n">
        <v>1</v>
      </c>
      <c r="F36" t="n">
        <v>0</v>
      </c>
      <c r="G36" t="n">
        <v>1</v>
      </c>
      <c r="H36" t="n">
        <v>0</v>
      </c>
      <c r="I36" t="n">
        <v>0</v>
      </c>
      <c r="J36" t="inlineStr">
        <is>
          <t>京东方Ａ</t>
        </is>
      </c>
      <c r="K36" t="n">
        <v>11</v>
      </c>
    </row>
    <row r="37">
      <c r="A37" t="n">
        <v>64</v>
      </c>
      <c r="B37" t="inlineStr">
        <is>
          <t>蚀刻设备</t>
        </is>
      </c>
      <c r="C37" t="n">
        <v>10.75</v>
      </c>
      <c r="D37" t="n">
        <v>22</v>
      </c>
      <c r="E37" t="n">
        <v>4</v>
      </c>
      <c r="F37" t="n">
        <v>1</v>
      </c>
      <c r="G37" t="n">
        <v>0</v>
      </c>
      <c r="H37" t="n">
        <v>2</v>
      </c>
      <c r="I37" t="n">
        <v>1</v>
      </c>
      <c r="J37" t="inlineStr">
        <is>
          <t>神工股份</t>
        </is>
      </c>
      <c r="K37" t="n">
        <v>22</v>
      </c>
    </row>
    <row r="38">
      <c r="A38" t="n">
        <v>66</v>
      </c>
      <c r="B38" t="inlineStr">
        <is>
          <t>代工</t>
        </is>
      </c>
      <c r="C38" t="n">
        <v>9.890000000000001</v>
      </c>
      <c r="D38" t="n">
        <v>22</v>
      </c>
      <c r="E38" t="n">
        <v>9</v>
      </c>
      <c r="F38" t="n">
        <v>3</v>
      </c>
      <c r="G38" t="n">
        <v>0</v>
      </c>
      <c r="H38" t="n">
        <v>2</v>
      </c>
      <c r="I38" t="n">
        <v>4</v>
      </c>
      <c r="J38" t="inlineStr">
        <is>
          <t>新洁能</t>
        </is>
      </c>
      <c r="K38" t="n">
        <v>22</v>
      </c>
    </row>
    <row r="39">
      <c r="A39" t="n">
        <v>68</v>
      </c>
      <c r="B39" t="inlineStr">
        <is>
          <t>空气净化系统</t>
        </is>
      </c>
      <c r="C39" t="n">
        <v>9.800000000000001</v>
      </c>
      <c r="D39" t="n">
        <v>25</v>
      </c>
      <c r="E39" t="n">
        <v>5</v>
      </c>
      <c r="F39" t="n">
        <v>2</v>
      </c>
      <c r="G39" t="n">
        <v>0</v>
      </c>
      <c r="H39" t="n">
        <v>1</v>
      </c>
      <c r="I39" t="n">
        <v>2</v>
      </c>
      <c r="J39" t="inlineStr">
        <is>
          <t>盛剑科技</t>
        </is>
      </c>
      <c r="K39" t="n">
        <v>25</v>
      </c>
    </row>
    <row r="40">
      <c r="A40" t="n">
        <v>71</v>
      </c>
      <c r="B40" t="inlineStr">
        <is>
          <t>薄膜沉积设备</t>
        </is>
      </c>
      <c r="C40" t="n">
        <v>9.6</v>
      </c>
      <c r="D40" t="n">
        <v>19</v>
      </c>
      <c r="E40" t="n">
        <v>5</v>
      </c>
      <c r="F40" t="n">
        <v>1</v>
      </c>
      <c r="G40" t="n">
        <v>0</v>
      </c>
      <c r="H40" t="n">
        <v>3</v>
      </c>
      <c r="I40" t="n">
        <v>1</v>
      </c>
      <c r="J40" t="inlineStr">
        <is>
          <t>微导纳米</t>
        </is>
      </c>
      <c r="K40" t="n">
        <v>19</v>
      </c>
    </row>
    <row r="41">
      <c r="A41" t="n">
        <v>72</v>
      </c>
      <c r="B41" t="inlineStr">
        <is>
          <t>溅射靶材</t>
        </is>
      </c>
      <c r="C41" t="n">
        <v>9.6</v>
      </c>
      <c r="D41" t="n">
        <v>17</v>
      </c>
      <c r="E41" t="n">
        <v>5</v>
      </c>
      <c r="F41" t="n">
        <v>2</v>
      </c>
      <c r="G41" t="n">
        <v>0</v>
      </c>
      <c r="H41" t="n">
        <v>1</v>
      </c>
      <c r="I41" t="n">
        <v>2</v>
      </c>
      <c r="J41" t="inlineStr">
        <is>
          <t>隆华科技</t>
        </is>
      </c>
      <c r="K41" t="n">
        <v>17</v>
      </c>
    </row>
    <row r="42">
      <c r="A42" t="n">
        <v>74</v>
      </c>
      <c r="B42" t="inlineStr">
        <is>
          <t>洁净室</t>
        </is>
      </c>
      <c r="C42" t="n">
        <v>8.880000000000001</v>
      </c>
      <c r="D42" t="n">
        <v>17</v>
      </c>
      <c r="E42" t="n">
        <v>8</v>
      </c>
      <c r="F42" t="n">
        <v>4</v>
      </c>
      <c r="G42" t="n">
        <v>0</v>
      </c>
      <c r="H42" t="n">
        <v>1</v>
      </c>
      <c r="I42" t="n">
        <v>3</v>
      </c>
      <c r="J42" t="inlineStr">
        <is>
          <t>深桑达Ａ</t>
        </is>
      </c>
      <c r="K42" t="n">
        <v>17</v>
      </c>
    </row>
    <row r="43">
      <c r="A43" t="n">
        <v>77</v>
      </c>
      <c r="B43" t="inlineStr">
        <is>
          <t>分选机</t>
        </is>
      </c>
      <c r="C43" t="n">
        <v>8</v>
      </c>
      <c r="D43" t="n">
        <v>8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inlineStr">
        <is>
          <t>金海通</t>
        </is>
      </c>
      <c r="K43" t="n">
        <v>8</v>
      </c>
    </row>
    <row r="44">
      <c r="A44" t="n">
        <v>81</v>
      </c>
      <c r="B44" t="inlineStr">
        <is>
          <t>DPU</t>
        </is>
      </c>
      <c r="C44" t="n">
        <v>8</v>
      </c>
      <c r="D44" t="n">
        <v>8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inlineStr">
        <is>
          <t>致尚科技</t>
        </is>
      </c>
      <c r="K44" t="n">
        <v>8</v>
      </c>
    </row>
    <row r="45">
      <c r="A45" t="n">
        <v>82</v>
      </c>
      <c r="B45" t="inlineStr">
        <is>
          <t>化学机械抛光设备</t>
        </is>
      </c>
      <c r="C45" t="n">
        <v>8</v>
      </c>
      <c r="D45" t="n">
        <v>8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inlineStr">
        <is>
          <t>华海清科</t>
        </is>
      </c>
      <c r="K45" t="n">
        <v>8</v>
      </c>
    </row>
    <row r="46">
      <c r="A46" t="n">
        <v>83</v>
      </c>
      <c r="B46" t="inlineStr">
        <is>
          <t>TGV激光微孔设备</t>
        </is>
      </c>
      <c r="C46" t="n">
        <v>8</v>
      </c>
      <c r="D46" t="n">
        <v>8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inlineStr">
        <is>
          <t>帝尔激光</t>
        </is>
      </c>
      <c r="K46" t="n">
        <v>8</v>
      </c>
    </row>
    <row r="47">
      <c r="A47" t="n">
        <v>84</v>
      </c>
      <c r="B47" t="inlineStr">
        <is>
          <t>玻璃基板在Fanout等封装工艺上量产经验</t>
        </is>
      </c>
      <c r="C47" t="n">
        <v>8</v>
      </c>
      <c r="D47" t="n">
        <v>8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inlineStr">
        <is>
          <t>晶方科技</t>
        </is>
      </c>
      <c r="K47" t="n">
        <v>8</v>
      </c>
    </row>
    <row r="48">
      <c r="A48" t="n">
        <v>86</v>
      </c>
      <c r="B48" t="inlineStr">
        <is>
          <t>环氧塑封料</t>
        </is>
      </c>
      <c r="C48" t="n">
        <v>8</v>
      </c>
      <c r="D48" t="n">
        <v>8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inlineStr">
        <is>
          <t>华海诚科</t>
        </is>
      </c>
      <c r="K48" t="n">
        <v>8</v>
      </c>
    </row>
    <row r="49">
      <c r="A49" t="n">
        <v>87</v>
      </c>
      <c r="B49" t="inlineStr">
        <is>
          <t>HiPIMS设备</t>
        </is>
      </c>
      <c r="C49" t="n">
        <v>8</v>
      </c>
      <c r="D49" t="n">
        <v>8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inlineStr">
        <is>
          <t>汇成真空</t>
        </is>
      </c>
      <c r="K49" t="n">
        <v>8</v>
      </c>
    </row>
    <row r="50">
      <c r="A50" t="n">
        <v>88</v>
      </c>
      <c r="B50" t="inlineStr">
        <is>
          <t>玻璃通孔激光设备</t>
        </is>
      </c>
      <c r="C50" t="n">
        <v>8</v>
      </c>
      <c r="D50" t="n">
        <v>8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inlineStr">
        <is>
          <t>德龙激光</t>
        </is>
      </c>
      <c r="K50" t="n">
        <v>8</v>
      </c>
    </row>
    <row r="51">
      <c r="A51" t="n">
        <v>89</v>
      </c>
      <c r="B51" t="inlineStr">
        <is>
          <t>设计总包</t>
        </is>
      </c>
      <c r="C51" t="n">
        <v>8</v>
      </c>
      <c r="D51" t="n">
        <v>8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inlineStr">
        <is>
          <t>国投中鲁</t>
        </is>
      </c>
      <c r="K51" t="n">
        <v>8</v>
      </c>
    </row>
    <row r="52">
      <c r="A52" t="n">
        <v>90</v>
      </c>
      <c r="B52" t="inlineStr">
        <is>
          <t>设备</t>
        </is>
      </c>
      <c r="C52" t="n">
        <v>7.91</v>
      </c>
      <c r="D52" t="n">
        <v>22</v>
      </c>
      <c r="E52" t="n">
        <v>11</v>
      </c>
      <c r="F52" t="n">
        <v>3</v>
      </c>
      <c r="G52" t="n">
        <v>3</v>
      </c>
      <c r="H52" t="n">
        <v>2</v>
      </c>
      <c r="I52" t="n">
        <v>3</v>
      </c>
      <c r="J52" t="inlineStr">
        <is>
          <t>盛美上海</t>
        </is>
      </c>
      <c r="K52" t="n">
        <v>22</v>
      </c>
    </row>
    <row r="53">
      <c r="A53" t="n">
        <v>91</v>
      </c>
      <c r="B53" t="inlineStr">
        <is>
          <t>相关设备</t>
        </is>
      </c>
      <c r="C53" t="n">
        <v>7.75</v>
      </c>
      <c r="D53" t="n">
        <v>22</v>
      </c>
      <c r="E53" t="n">
        <v>12</v>
      </c>
      <c r="F53" t="n">
        <v>2</v>
      </c>
      <c r="G53" t="n">
        <v>4</v>
      </c>
      <c r="H53" t="n">
        <v>5</v>
      </c>
      <c r="I53" t="n">
        <v>1</v>
      </c>
      <c r="J53" t="inlineStr">
        <is>
          <t>盛美上海</t>
        </is>
      </c>
      <c r="K53" t="n">
        <v>22</v>
      </c>
    </row>
    <row r="54">
      <c r="A54" t="n">
        <v>92</v>
      </c>
      <c r="B54" t="inlineStr">
        <is>
          <t>溅射靶材</t>
        </is>
      </c>
      <c r="C54" t="n">
        <v>7.67</v>
      </c>
      <c r="D54" t="n">
        <v>17</v>
      </c>
      <c r="E54" t="n">
        <v>3</v>
      </c>
      <c r="F54" t="n">
        <v>1</v>
      </c>
      <c r="G54" t="n">
        <v>0</v>
      </c>
      <c r="H54" t="n">
        <v>0</v>
      </c>
      <c r="I54" t="n">
        <v>2</v>
      </c>
      <c r="J54" t="inlineStr">
        <is>
          <t>有研新材</t>
        </is>
      </c>
      <c r="K54" t="n">
        <v>17</v>
      </c>
    </row>
    <row r="55">
      <c r="A55" t="n">
        <v>94</v>
      </c>
      <c r="B55" t="inlineStr">
        <is>
          <t>相关耗材</t>
        </is>
      </c>
      <c r="C55" t="n">
        <v>7.64</v>
      </c>
      <c r="D55" t="n">
        <v>22</v>
      </c>
      <c r="E55" t="n">
        <v>14</v>
      </c>
      <c r="F55" t="n">
        <v>5</v>
      </c>
      <c r="G55" t="n">
        <v>1</v>
      </c>
      <c r="H55" t="n">
        <v>2</v>
      </c>
      <c r="I55" t="n">
        <v>6</v>
      </c>
      <c r="J55" t="inlineStr">
        <is>
          <t>联瑞新材</t>
        </is>
      </c>
      <c r="K55" t="n">
        <v>22</v>
      </c>
    </row>
    <row r="56">
      <c r="A56" t="n">
        <v>96</v>
      </c>
      <c r="B56" t="inlineStr">
        <is>
          <t>锆原料</t>
        </is>
      </c>
      <c r="C56" t="n">
        <v>7.33</v>
      </c>
      <c r="D56" t="n">
        <v>19</v>
      </c>
      <c r="E56" t="n">
        <v>3</v>
      </c>
      <c r="F56" t="n">
        <v>1</v>
      </c>
      <c r="G56" t="n">
        <v>0</v>
      </c>
      <c r="H56" t="n">
        <v>0</v>
      </c>
      <c r="I56" t="n">
        <v>2</v>
      </c>
      <c r="J56" t="inlineStr">
        <is>
          <t>凯盛科技</t>
        </is>
      </c>
      <c r="K56" t="n">
        <v>19</v>
      </c>
    </row>
    <row r="57">
      <c r="A57" t="n">
        <v>98</v>
      </c>
      <c r="B57" t="inlineStr">
        <is>
          <t>封装</t>
        </is>
      </c>
      <c r="C57" t="n">
        <v>7.25</v>
      </c>
      <c r="D57" t="n">
        <v>11</v>
      </c>
      <c r="E57" t="n">
        <v>4</v>
      </c>
      <c r="F57" t="n">
        <v>1</v>
      </c>
      <c r="G57" t="n">
        <v>1</v>
      </c>
      <c r="H57" t="n">
        <v>2</v>
      </c>
      <c r="I57" t="n">
        <v>0</v>
      </c>
      <c r="J57" t="inlineStr">
        <is>
          <t>美迪凯</t>
        </is>
      </c>
      <c r="K57" t="n">
        <v>11</v>
      </c>
    </row>
    <row r="58">
      <c r="A58" t="n">
        <v>99</v>
      </c>
      <c r="B58" t="inlineStr">
        <is>
          <t>光掩膜版</t>
        </is>
      </c>
      <c r="C58" t="n">
        <v>7</v>
      </c>
      <c r="D58" t="n">
        <v>16</v>
      </c>
      <c r="E58" t="n">
        <v>3</v>
      </c>
      <c r="F58" t="n">
        <v>1</v>
      </c>
      <c r="G58" t="n">
        <v>0</v>
      </c>
      <c r="H58" t="n">
        <v>1</v>
      </c>
      <c r="I58" t="n">
        <v>1</v>
      </c>
      <c r="J58" t="inlineStr">
        <is>
          <t>清溢光电</t>
        </is>
      </c>
      <c r="K58" t="n">
        <v>16</v>
      </c>
    </row>
    <row r="59">
      <c r="A59" t="n">
        <v>100</v>
      </c>
      <c r="B59" t="inlineStr">
        <is>
          <t>硅片</t>
        </is>
      </c>
      <c r="C59" t="n">
        <v>6.86</v>
      </c>
      <c r="D59" t="n">
        <v>22</v>
      </c>
      <c r="E59" t="n">
        <v>7</v>
      </c>
      <c r="F59" t="n">
        <v>1</v>
      </c>
      <c r="G59" t="n">
        <v>1</v>
      </c>
      <c r="H59" t="n">
        <v>1</v>
      </c>
      <c r="I59" t="n">
        <v>4</v>
      </c>
      <c r="J59" t="inlineStr">
        <is>
          <t>神工股份</t>
        </is>
      </c>
      <c r="K59" t="n">
        <v>22</v>
      </c>
    </row>
    <row r="60">
      <c r="A60" t="n">
        <v>101</v>
      </c>
      <c r="B60" t="inlineStr">
        <is>
          <t>前道检测设备</t>
        </is>
      </c>
      <c r="C60" t="n">
        <v>6.8</v>
      </c>
      <c r="D60" t="n">
        <v>13</v>
      </c>
      <c r="E60" t="n">
        <v>5</v>
      </c>
      <c r="F60" t="n">
        <v>1</v>
      </c>
      <c r="G60" t="n">
        <v>1</v>
      </c>
      <c r="H60" t="n">
        <v>2</v>
      </c>
      <c r="I60" t="n">
        <v>1</v>
      </c>
      <c r="J60" t="inlineStr">
        <is>
          <t>骄成超声</t>
        </is>
      </c>
      <c r="K60" t="n">
        <v>13</v>
      </c>
    </row>
    <row r="61">
      <c r="A61" t="n">
        <v>102</v>
      </c>
      <c r="B61" t="inlineStr">
        <is>
          <t>酚醛树脂</t>
        </is>
      </c>
      <c r="C61" t="n">
        <v>6.75</v>
      </c>
      <c r="D61" t="n">
        <v>13</v>
      </c>
      <c r="E61" t="n">
        <v>4</v>
      </c>
      <c r="F61" t="n">
        <v>2</v>
      </c>
      <c r="G61" t="n">
        <v>0</v>
      </c>
      <c r="H61" t="n">
        <v>0</v>
      </c>
      <c r="I61" t="n">
        <v>2</v>
      </c>
      <c r="J61" t="inlineStr">
        <is>
          <t>彤程新材</t>
        </is>
      </c>
      <c r="K61" t="n">
        <v>13</v>
      </c>
    </row>
    <row r="62">
      <c r="A62" t="n">
        <v>106</v>
      </c>
      <c r="B62" t="inlineStr">
        <is>
          <t>无水氢氟酸</t>
        </is>
      </c>
      <c r="C62" t="n">
        <v>6.5</v>
      </c>
      <c r="D62" t="n">
        <v>13</v>
      </c>
      <c r="E62" t="n">
        <v>2</v>
      </c>
      <c r="F62" t="n">
        <v>1</v>
      </c>
      <c r="G62" t="n">
        <v>0</v>
      </c>
      <c r="H62" t="n">
        <v>0</v>
      </c>
      <c r="I62" t="n">
        <v>1</v>
      </c>
      <c r="J62" t="inlineStr">
        <is>
          <t>永和股份</t>
        </is>
      </c>
      <c r="K62" t="n">
        <v>13</v>
      </c>
    </row>
    <row r="63">
      <c r="A63" t="n">
        <v>115</v>
      </c>
      <c r="B63" t="inlineStr">
        <is>
          <t>电镀</t>
        </is>
      </c>
      <c r="C63" t="n">
        <v>5.5</v>
      </c>
      <c r="D63" t="n">
        <v>11</v>
      </c>
      <c r="E63" t="n">
        <v>2</v>
      </c>
      <c r="F63" t="n">
        <v>1</v>
      </c>
      <c r="G63" t="n">
        <v>0</v>
      </c>
      <c r="H63" t="n">
        <v>0</v>
      </c>
      <c r="I63" t="n">
        <v>1</v>
      </c>
      <c r="J63" t="inlineStr">
        <is>
          <t>东威科技</t>
        </is>
      </c>
      <c r="K63" t="n">
        <v>11</v>
      </c>
    </row>
    <row r="64">
      <c r="A64" t="n">
        <v>116</v>
      </c>
      <c r="B64" t="inlineStr">
        <is>
          <t>塑封</t>
        </is>
      </c>
      <c r="C64" t="n">
        <v>5.5</v>
      </c>
      <c r="D64" t="n">
        <v>8</v>
      </c>
      <c r="E64" t="n">
        <v>2</v>
      </c>
      <c r="F64" t="n">
        <v>1</v>
      </c>
      <c r="G64" t="n">
        <v>0</v>
      </c>
      <c r="H64" t="n">
        <v>0</v>
      </c>
      <c r="I64" t="n">
        <v>1</v>
      </c>
      <c r="J64" t="inlineStr">
        <is>
          <t>耐科装备</t>
        </is>
      </c>
      <c r="K64" t="n">
        <v>8</v>
      </c>
    </row>
    <row r="65">
      <c r="A65" t="n">
        <v>118</v>
      </c>
      <c r="B65" t="inlineStr">
        <is>
          <t>无水氢氟酸</t>
        </is>
      </c>
      <c r="C65" t="n">
        <v>5.5</v>
      </c>
      <c r="D65" t="n">
        <v>11</v>
      </c>
      <c r="E65" t="n">
        <v>2</v>
      </c>
      <c r="F65" t="n">
        <v>1</v>
      </c>
      <c r="G65" t="n">
        <v>0</v>
      </c>
      <c r="H65" t="n">
        <v>0</v>
      </c>
      <c r="I65" t="n">
        <v>1</v>
      </c>
      <c r="J65" t="inlineStr">
        <is>
          <t>昊华科技</t>
        </is>
      </c>
      <c r="K65" t="n">
        <v>11</v>
      </c>
    </row>
    <row r="66">
      <c r="A66" t="n">
        <v>120</v>
      </c>
      <c r="B66" t="inlineStr">
        <is>
          <t>清洗设备</t>
        </is>
      </c>
      <c r="C66" t="n">
        <v>5.33</v>
      </c>
      <c r="D66" t="n">
        <v>22</v>
      </c>
      <c r="E66" t="n">
        <v>9</v>
      </c>
      <c r="F66" t="n">
        <v>3</v>
      </c>
      <c r="G66" t="n">
        <v>0</v>
      </c>
      <c r="H66" t="n">
        <v>2</v>
      </c>
      <c r="I66" t="n">
        <v>4</v>
      </c>
      <c r="J66" t="inlineStr">
        <is>
          <t>盛美上海</t>
        </is>
      </c>
      <c r="K66" t="n">
        <v>22</v>
      </c>
    </row>
    <row r="67">
      <c r="A67" t="n">
        <v>121</v>
      </c>
      <c r="B67" t="inlineStr">
        <is>
          <t>储备针对TGV的配套封装技术</t>
        </is>
      </c>
      <c r="C67" t="n">
        <v>5</v>
      </c>
      <c r="D67" t="n">
        <v>5</v>
      </c>
      <c r="E67" t="n">
        <v>1</v>
      </c>
      <c r="F67" t="n">
        <v>0</v>
      </c>
      <c r="G67" t="n">
        <v>1</v>
      </c>
      <c r="H67" t="n">
        <v>0</v>
      </c>
      <c r="I67" t="n">
        <v>0</v>
      </c>
      <c r="J67" t="inlineStr">
        <is>
          <t>长电科技</t>
        </is>
      </c>
      <c r="K67" t="n">
        <v>5</v>
      </c>
    </row>
    <row r="68">
      <c r="A68" t="n">
        <v>122</v>
      </c>
      <c r="B68" t="inlineStr">
        <is>
          <t>玻璃通孔TGV</t>
        </is>
      </c>
      <c r="C68" t="n">
        <v>5</v>
      </c>
      <c r="D68" t="n">
        <v>5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inlineStr">
        <is>
          <t>赛微电子</t>
        </is>
      </c>
      <c r="K68" t="n">
        <v>5</v>
      </c>
    </row>
    <row r="69">
      <c r="A69" t="n">
        <v>123</v>
      </c>
      <c r="B69" t="inlineStr">
        <is>
          <t>LPO</t>
        </is>
      </c>
      <c r="C69" t="n">
        <v>5</v>
      </c>
      <c r="D69" t="n">
        <v>5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inlineStr">
        <is>
          <t>华工科技</t>
        </is>
      </c>
      <c r="K69" t="n">
        <v>5</v>
      </c>
    </row>
    <row r="70">
      <c r="A70" t="n">
        <v>124</v>
      </c>
      <c r="B70" t="inlineStr">
        <is>
          <t>封测</t>
        </is>
      </c>
      <c r="C70" t="n">
        <v>5</v>
      </c>
      <c r="D70" t="n">
        <v>16</v>
      </c>
      <c r="E70" t="n">
        <v>12</v>
      </c>
      <c r="F70" t="n">
        <v>3</v>
      </c>
      <c r="G70" t="n">
        <v>5</v>
      </c>
      <c r="H70" t="n">
        <v>1</v>
      </c>
      <c r="I70" t="n">
        <v>3</v>
      </c>
      <c r="J70" t="inlineStr">
        <is>
          <t>汇成股份</t>
        </is>
      </c>
      <c r="K70" t="n">
        <v>16</v>
      </c>
    </row>
    <row r="71">
      <c r="A71" t="n">
        <v>125</v>
      </c>
      <c r="B71" t="inlineStr">
        <is>
          <t>涂胶显影机</t>
        </is>
      </c>
      <c r="C71" t="n">
        <v>5</v>
      </c>
      <c r="D71" t="n">
        <v>5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inlineStr">
        <is>
          <t>芯源微</t>
        </is>
      </c>
      <c r="K71" t="n">
        <v>5</v>
      </c>
    </row>
    <row r="72">
      <c r="A72" t="n">
        <v>126</v>
      </c>
      <c r="B72" t="inlineStr">
        <is>
          <t>划片机</t>
        </is>
      </c>
      <c r="C72" t="n">
        <v>5</v>
      </c>
      <c r="D72" t="n">
        <v>5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inlineStr">
        <is>
          <t>光力科技</t>
        </is>
      </c>
      <c r="K72" t="n">
        <v>5</v>
      </c>
    </row>
    <row r="73">
      <c r="A73" t="n">
        <v>127</v>
      </c>
      <c r="B73" t="inlineStr">
        <is>
          <t>GPU</t>
        </is>
      </c>
      <c r="C73" t="n">
        <v>5</v>
      </c>
      <c r="D73" t="n">
        <v>5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inlineStr">
        <is>
          <t>海光信息</t>
        </is>
      </c>
      <c r="K73" t="n">
        <v>5</v>
      </c>
    </row>
    <row r="74">
      <c r="A74" t="n">
        <v>129</v>
      </c>
      <c r="B74" t="inlineStr">
        <is>
          <t>TGV AOI量检测设备</t>
        </is>
      </c>
      <c r="C74" t="n">
        <v>5</v>
      </c>
      <c r="D74" t="n">
        <v>5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inlineStr">
        <is>
          <t>精测电子</t>
        </is>
      </c>
      <c r="K74" t="n">
        <v>5</v>
      </c>
    </row>
    <row r="75">
      <c r="A75" t="n">
        <v>130</v>
      </c>
      <c r="B75" t="inlineStr">
        <is>
          <t>使用TGV玻璃基板封装</t>
        </is>
      </c>
      <c r="C75" t="n">
        <v>5</v>
      </c>
      <c r="D75" t="n">
        <v>5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inlineStr">
        <is>
          <t>通富微电</t>
        </is>
      </c>
      <c r="K75" t="n">
        <v>5</v>
      </c>
    </row>
    <row r="76">
      <c r="A76" t="n">
        <v>131</v>
      </c>
      <c r="B76" t="inlineStr">
        <is>
          <t>TGV芯片玻璃载板激光装备</t>
        </is>
      </c>
      <c r="C76" t="n">
        <v>5</v>
      </c>
      <c r="D76" t="n">
        <v>5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inlineStr">
        <is>
          <t>华工科技</t>
        </is>
      </c>
      <c r="K76" t="n">
        <v>5</v>
      </c>
    </row>
    <row r="77">
      <c r="A77" t="n">
        <v>143</v>
      </c>
      <c r="B77" t="inlineStr">
        <is>
          <t>中段设备</t>
        </is>
      </c>
      <c r="C77" t="n">
        <v>4</v>
      </c>
      <c r="D77" t="n">
        <v>8</v>
      </c>
      <c r="E77" t="n">
        <v>2</v>
      </c>
      <c r="F77" t="n">
        <v>1</v>
      </c>
      <c r="G77" t="n">
        <v>0</v>
      </c>
      <c r="H77" t="n">
        <v>0</v>
      </c>
      <c r="I77" t="n">
        <v>1</v>
      </c>
      <c r="J77" t="inlineStr">
        <is>
          <t>德龙激光</t>
        </is>
      </c>
      <c r="K77" t="n">
        <v>8</v>
      </c>
    </row>
    <row r="78">
      <c r="A78" t="n">
        <v>146</v>
      </c>
      <c r="B78" t="inlineStr">
        <is>
          <t>AMHS</t>
        </is>
      </c>
      <c r="C78" t="n">
        <v>4</v>
      </c>
      <c r="D78" t="n">
        <v>8</v>
      </c>
      <c r="E78" t="n">
        <v>2</v>
      </c>
      <c r="F78" t="n">
        <v>1</v>
      </c>
      <c r="G78" t="n">
        <v>0</v>
      </c>
      <c r="H78" t="n">
        <v>0</v>
      </c>
      <c r="I78" t="n">
        <v>1</v>
      </c>
      <c r="J78" t="inlineStr">
        <is>
          <t>海晨股份</t>
        </is>
      </c>
      <c r="K78" t="n">
        <v>8</v>
      </c>
    </row>
    <row r="79">
      <c r="A79" t="n">
        <v>148</v>
      </c>
      <c r="B79" t="inlineStr">
        <is>
          <t>光刻胶</t>
        </is>
      </c>
      <c r="C79" t="n">
        <v>3.71</v>
      </c>
      <c r="D79" t="n">
        <v>13</v>
      </c>
      <c r="E79" t="n">
        <v>7</v>
      </c>
      <c r="F79" t="n">
        <v>3</v>
      </c>
      <c r="G79" t="n">
        <v>0</v>
      </c>
      <c r="H79" t="n">
        <v>1</v>
      </c>
      <c r="I79" t="n">
        <v>3</v>
      </c>
      <c r="J79" t="inlineStr">
        <is>
          <t>彤程新材</t>
        </is>
      </c>
      <c r="K79" t="n">
        <v>13</v>
      </c>
    </row>
    <row r="80">
      <c r="A80" t="n">
        <v>150</v>
      </c>
      <c r="B80" t="inlineStr">
        <is>
          <t>其他电子级</t>
        </is>
      </c>
      <c r="C80" t="n">
        <v>3.67</v>
      </c>
      <c r="D80" t="n">
        <v>11</v>
      </c>
      <c r="E80" t="n">
        <v>3</v>
      </c>
      <c r="F80" t="n">
        <v>1</v>
      </c>
      <c r="G80" t="n">
        <v>0</v>
      </c>
      <c r="H80" t="n">
        <v>0</v>
      </c>
      <c r="I80" t="n">
        <v>2</v>
      </c>
      <c r="J80" t="inlineStr">
        <is>
          <t>江化微</t>
        </is>
      </c>
      <c r="K80" t="n">
        <v>11</v>
      </c>
    </row>
    <row r="81">
      <c r="A81" t="n">
        <v>153</v>
      </c>
      <c r="B81" t="inlineStr">
        <is>
          <t>双氟磺酰亚胺锂</t>
        </is>
      </c>
      <c r="C81" t="n">
        <v>3.17</v>
      </c>
      <c r="D81" t="n">
        <v>16</v>
      </c>
      <c r="E81" t="n">
        <v>6</v>
      </c>
      <c r="F81" t="n">
        <v>1</v>
      </c>
      <c r="G81" t="n">
        <v>0</v>
      </c>
      <c r="H81" t="n">
        <v>1</v>
      </c>
      <c r="I81" t="n">
        <v>4</v>
      </c>
      <c r="J81" t="inlineStr">
        <is>
          <t>新宙邦</t>
        </is>
      </c>
      <c r="K81" t="n">
        <v>16</v>
      </c>
    </row>
    <row r="82">
      <c r="A82" t="n">
        <v>154</v>
      </c>
      <c r="B82" t="inlineStr">
        <is>
          <t>GPU股权</t>
        </is>
      </c>
      <c r="C82" t="n">
        <v>3.11</v>
      </c>
      <c r="D82" t="n">
        <v>9</v>
      </c>
      <c r="E82" t="n">
        <v>9</v>
      </c>
      <c r="F82" t="n">
        <v>2</v>
      </c>
      <c r="G82" t="n">
        <v>0</v>
      </c>
      <c r="H82" t="n">
        <v>3</v>
      </c>
      <c r="I82" t="n">
        <v>4</v>
      </c>
      <c r="J82" t="inlineStr">
        <is>
          <t>星宸科技</t>
        </is>
      </c>
      <c r="K82" t="n">
        <v>9</v>
      </c>
    </row>
    <row r="83">
      <c r="A83" t="n">
        <v>157</v>
      </c>
      <c r="B83" t="inlineStr">
        <is>
          <t>微纳激光直写光刻设备</t>
        </is>
      </c>
      <c r="C83" t="n">
        <v>3</v>
      </c>
      <c r="D83" t="n">
        <v>3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inlineStr">
        <is>
          <t>洪田股份</t>
        </is>
      </c>
      <c r="K83" t="n">
        <v>3</v>
      </c>
    </row>
    <row r="84">
      <c r="A84" t="n">
        <v>158</v>
      </c>
      <c r="B84" t="inlineStr">
        <is>
          <t>玻璃基成套解决方案</t>
        </is>
      </c>
      <c r="C84" t="n">
        <v>3</v>
      </c>
      <c r="D84" t="n">
        <v>3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inlineStr">
        <is>
          <t>大族数控</t>
        </is>
      </c>
      <c r="K84" t="n">
        <v>3</v>
      </c>
    </row>
    <row r="85">
      <c r="A85" t="n">
        <v>160</v>
      </c>
      <c r="B85" t="inlineStr">
        <is>
          <t>G5级</t>
        </is>
      </c>
      <c r="C85" t="n">
        <v>3</v>
      </c>
      <c r="D85" t="n">
        <v>3</v>
      </c>
      <c r="E85" t="n">
        <v>1</v>
      </c>
      <c r="F85" t="n">
        <v>0</v>
      </c>
      <c r="G85" t="n">
        <v>1</v>
      </c>
      <c r="H85" t="n">
        <v>0</v>
      </c>
      <c r="I85" t="n">
        <v>0</v>
      </c>
      <c r="J85" t="inlineStr">
        <is>
          <t>巨化股份</t>
        </is>
      </c>
      <c r="K85" t="n">
        <v>3</v>
      </c>
    </row>
    <row r="86">
      <c r="A86" t="n">
        <v>168</v>
      </c>
      <c r="B86" t="inlineStr">
        <is>
          <t>基于玻璃基板进行镀膜</t>
        </is>
      </c>
      <c r="C86" t="n">
        <v>3</v>
      </c>
      <c r="D86" t="n">
        <v>3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inlineStr">
        <is>
          <t>阿石创</t>
        </is>
      </c>
      <c r="K86" t="n">
        <v>3</v>
      </c>
    </row>
    <row r="87">
      <c r="A87" t="n">
        <v>170</v>
      </c>
      <c r="B87" t="inlineStr">
        <is>
          <t>PCIe交换芯片</t>
        </is>
      </c>
      <c r="C87" t="n">
        <v>3</v>
      </c>
      <c r="D87" t="n">
        <v>3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inlineStr">
        <is>
          <t>万通发展</t>
        </is>
      </c>
      <c r="K87" t="n">
        <v>3</v>
      </c>
    </row>
    <row r="88">
      <c r="A88" t="n">
        <v>171</v>
      </c>
      <c r="B88" t="inlineStr">
        <is>
          <t>G5级</t>
        </is>
      </c>
      <c r="C88" t="n">
        <v>3</v>
      </c>
      <c r="D88" t="n">
        <v>3</v>
      </c>
      <c r="E88" t="n">
        <v>1</v>
      </c>
      <c r="F88" t="n">
        <v>0</v>
      </c>
      <c r="G88" t="n">
        <v>0</v>
      </c>
      <c r="H88" t="n">
        <v>1</v>
      </c>
      <c r="I88" t="n">
        <v>0</v>
      </c>
      <c r="J88" t="inlineStr">
        <is>
          <t>多氟多</t>
        </is>
      </c>
      <c r="K88" t="n">
        <v>3</v>
      </c>
    </row>
    <row r="89">
      <c r="A89" t="n">
        <v>177</v>
      </c>
      <c r="B89" t="inlineStr">
        <is>
          <t>其他硫化物</t>
        </is>
      </c>
      <c r="C89" t="n">
        <v>3</v>
      </c>
      <c r="D89" t="n">
        <v>3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inlineStr">
        <is>
          <t>兴发集团</t>
        </is>
      </c>
      <c r="K89" t="n">
        <v>3</v>
      </c>
    </row>
    <row r="90">
      <c r="A90" t="n">
        <v>186</v>
      </c>
      <c r="B90" t="inlineStr">
        <is>
          <t>其他电子级</t>
        </is>
      </c>
      <c r="C90" t="n">
        <v>2.75</v>
      </c>
      <c r="D90" t="n">
        <v>8</v>
      </c>
      <c r="E90" t="n">
        <v>4</v>
      </c>
      <c r="F90" t="n">
        <v>1</v>
      </c>
      <c r="G90" t="n">
        <v>0</v>
      </c>
      <c r="H90" t="n">
        <v>1</v>
      </c>
      <c r="I90" t="n">
        <v>2</v>
      </c>
      <c r="J90" t="inlineStr">
        <is>
          <t>三美股份</t>
        </is>
      </c>
      <c r="K90" t="n">
        <v>8</v>
      </c>
    </row>
    <row r="91">
      <c r="A91" t="n">
        <v>189</v>
      </c>
      <c r="B91" t="inlineStr">
        <is>
          <t>ASIC</t>
        </is>
      </c>
      <c r="C91" t="n">
        <v>2.5</v>
      </c>
      <c r="D91" t="n">
        <v>5</v>
      </c>
      <c r="E91" t="n">
        <v>2</v>
      </c>
      <c r="F91" t="n">
        <v>1</v>
      </c>
      <c r="G91" t="n">
        <v>0</v>
      </c>
      <c r="H91" t="n">
        <v>0</v>
      </c>
      <c r="I91" t="n">
        <v>1</v>
      </c>
      <c r="J91" t="inlineStr">
        <is>
          <t>灿芯股份</t>
        </is>
      </c>
      <c r="K91" t="n">
        <v>5</v>
      </c>
    </row>
    <row r="92">
      <c r="A92" t="n">
        <v>190</v>
      </c>
      <c r="B92" t="inlineStr">
        <is>
          <t>CPU</t>
        </is>
      </c>
      <c r="C92" t="n">
        <v>2.5</v>
      </c>
      <c r="D92" t="n">
        <v>5</v>
      </c>
      <c r="E92" t="n">
        <v>2</v>
      </c>
      <c r="F92" t="n">
        <v>1</v>
      </c>
      <c r="G92" t="n">
        <v>0</v>
      </c>
      <c r="H92" t="n">
        <v>0</v>
      </c>
      <c r="I92" t="n">
        <v>1</v>
      </c>
      <c r="J92" t="inlineStr">
        <is>
          <t>中国长城</t>
        </is>
      </c>
      <c r="K92" t="n">
        <v>5</v>
      </c>
    </row>
    <row r="93">
      <c r="A93" t="n">
        <v>191</v>
      </c>
      <c r="B93" t="inlineStr">
        <is>
          <t>GPU</t>
        </is>
      </c>
      <c r="C93" t="n">
        <v>2.5</v>
      </c>
      <c r="D93" t="n">
        <v>5</v>
      </c>
      <c r="E93" t="n">
        <v>2</v>
      </c>
      <c r="F93" t="n">
        <v>1</v>
      </c>
      <c r="G93" t="n">
        <v>0</v>
      </c>
      <c r="H93" t="n">
        <v>0</v>
      </c>
      <c r="I93" t="n">
        <v>1</v>
      </c>
      <c r="J93" t="inlineStr">
        <is>
          <t>国芯科技</t>
        </is>
      </c>
      <c r="K93" t="n">
        <v>5</v>
      </c>
    </row>
    <row r="94">
      <c r="A94" t="n">
        <v>196</v>
      </c>
      <c r="B94" t="inlineStr">
        <is>
          <t>GPU股东</t>
        </is>
      </c>
      <c r="C94" t="n">
        <v>2.15</v>
      </c>
      <c r="D94" t="n">
        <v>22</v>
      </c>
      <c r="E94" t="n">
        <v>41</v>
      </c>
      <c r="F94" t="n">
        <v>6</v>
      </c>
      <c r="G94" t="n">
        <v>0</v>
      </c>
      <c r="H94" t="n">
        <v>4</v>
      </c>
      <c r="I94" t="n">
        <v>31</v>
      </c>
      <c r="J94" t="inlineStr">
        <is>
          <t>香农芯创</t>
        </is>
      </c>
      <c r="K94" t="n">
        <v>22</v>
      </c>
    </row>
    <row r="95">
      <c r="A95" t="n">
        <v>199</v>
      </c>
      <c r="B95" t="inlineStr">
        <is>
          <t>XPU</t>
        </is>
      </c>
      <c r="C95" t="n">
        <v>2</v>
      </c>
      <c r="D95" t="n">
        <v>8</v>
      </c>
      <c r="E95" t="n">
        <v>4</v>
      </c>
      <c r="F95" t="n">
        <v>1</v>
      </c>
      <c r="G95" t="n">
        <v>0</v>
      </c>
      <c r="H95" t="n">
        <v>0</v>
      </c>
      <c r="I95" t="n">
        <v>3</v>
      </c>
      <c r="J95" t="inlineStr">
        <is>
          <t>北京君正</t>
        </is>
      </c>
      <c r="K95" t="n">
        <v>8</v>
      </c>
    </row>
    <row r="96">
      <c r="A96" t="n">
        <v>208</v>
      </c>
      <c r="B96" t="inlineStr">
        <is>
          <t>PVDF</t>
        </is>
      </c>
      <c r="C96" t="n">
        <v>1.5</v>
      </c>
      <c r="D96" t="n">
        <v>3</v>
      </c>
      <c r="E96" t="n">
        <v>2</v>
      </c>
      <c r="F96" t="n">
        <v>1</v>
      </c>
      <c r="G96" t="n">
        <v>0</v>
      </c>
      <c r="H96" t="n">
        <v>0</v>
      </c>
      <c r="I96" t="n">
        <v>1</v>
      </c>
      <c r="J96" t="inlineStr">
        <is>
          <t>巨化股份</t>
        </is>
      </c>
      <c r="K96" t="n">
        <v>3</v>
      </c>
    </row>
    <row r="97">
      <c r="A97" t="n">
        <v>218</v>
      </c>
      <c r="B97" t="inlineStr">
        <is>
          <t>TPU</t>
        </is>
      </c>
      <c r="C97" t="n">
        <v>1.2</v>
      </c>
      <c r="D97" t="n">
        <v>3</v>
      </c>
      <c r="E97" t="n">
        <v>5</v>
      </c>
      <c r="F97" t="n">
        <v>0</v>
      </c>
      <c r="G97" t="n">
        <v>0</v>
      </c>
      <c r="H97" t="n">
        <v>2</v>
      </c>
      <c r="I97" t="n">
        <v>3</v>
      </c>
      <c r="J97" t="inlineStr">
        <is>
          <t>艾布鲁</t>
        </is>
      </c>
      <c r="K97" t="n">
        <v>3</v>
      </c>
    </row>
    <row r="98">
      <c r="A98" t="n">
        <v>219</v>
      </c>
      <c r="B98" t="inlineStr">
        <is>
          <t>其他算力芯片</t>
        </is>
      </c>
      <c r="C98" t="n">
        <v>1</v>
      </c>
      <c r="D98" t="n">
        <v>3</v>
      </c>
      <c r="E98" t="n">
        <v>6</v>
      </c>
      <c r="F98" t="n">
        <v>0</v>
      </c>
      <c r="G98" t="n">
        <v>0</v>
      </c>
      <c r="H98" t="n">
        <v>2</v>
      </c>
      <c r="I98" t="n">
        <v>4</v>
      </c>
      <c r="J98" t="inlineStr">
        <is>
          <t>品高股份</t>
        </is>
      </c>
      <c r="K98" t="n">
        <v>3</v>
      </c>
    </row>
    <row r="99">
      <c r="A99" t="n">
        <v>226</v>
      </c>
      <c r="B99" t="inlineStr">
        <is>
          <t>六氟磷酸锂</t>
        </is>
      </c>
      <c r="C99" t="n">
        <v>0.75</v>
      </c>
      <c r="D99" t="n">
        <v>3</v>
      </c>
      <c r="E99" t="n">
        <v>4</v>
      </c>
      <c r="F99" t="n">
        <v>0</v>
      </c>
      <c r="G99" t="n">
        <v>0</v>
      </c>
      <c r="H99" t="n">
        <v>1</v>
      </c>
      <c r="I99" t="n">
        <v>3</v>
      </c>
      <c r="J99" t="inlineStr">
        <is>
          <t>多氟多</t>
        </is>
      </c>
      <c r="K99" t="n">
        <v>3</v>
      </c>
    </row>
    <row r="100">
      <c r="A100" t="n">
        <v>241</v>
      </c>
      <c r="B100" t="inlineStr">
        <is>
          <t>合作</t>
        </is>
      </c>
      <c r="C100" t="n">
        <v>0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inlineStr">
        <is>
          <t>安孚科技</t>
        </is>
      </c>
      <c r="K100" t="n">
        <v>0</v>
      </c>
    </row>
    <row r="101">
      <c r="A101" t="n">
        <v>256</v>
      </c>
      <c r="B101" t="inlineStr">
        <is>
          <t>长光所</t>
        </is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1</v>
      </c>
      <c r="I101" t="n">
        <v>0</v>
      </c>
      <c r="J101" t="inlineStr">
        <is>
          <t>奥普光电</t>
        </is>
      </c>
      <c r="K101" t="n">
        <v>0</v>
      </c>
    </row>
    <row r="102">
      <c r="A102" t="n">
        <v>257</v>
      </c>
      <c r="B102" t="inlineStr">
        <is>
          <t>上海微电子</t>
        </is>
      </c>
      <c r="C102" t="n">
        <v>0</v>
      </c>
      <c r="D102" t="n">
        <v>0</v>
      </c>
      <c r="E102" t="n">
        <v>7</v>
      </c>
      <c r="F102" t="n">
        <v>1</v>
      </c>
      <c r="G102" t="n">
        <v>0</v>
      </c>
      <c r="H102" t="n">
        <v>6</v>
      </c>
      <c r="I102" t="n">
        <v>0</v>
      </c>
      <c r="J102" t="inlineStr">
        <is>
          <t>电气风电</t>
        </is>
      </c>
      <c r="K102" t="n">
        <v>0</v>
      </c>
    </row>
    <row r="103">
      <c r="A103" t="n">
        <v>272</v>
      </c>
      <c r="B103" t="inlineStr">
        <is>
          <t>车企布局</t>
        </is>
      </c>
      <c r="C103" t="n">
        <v>0</v>
      </c>
      <c r="D103" t="n">
        <v>0</v>
      </c>
      <c r="E103" t="n">
        <v>4</v>
      </c>
      <c r="F103" t="n">
        <v>0</v>
      </c>
      <c r="G103" t="n">
        <v>0</v>
      </c>
      <c r="H103" t="n">
        <v>4</v>
      </c>
      <c r="I103" t="n">
        <v>0</v>
      </c>
      <c r="J103" t="inlineStr">
        <is>
          <t>比亚迪</t>
        </is>
      </c>
      <c r="K103" t="n">
        <v>0</v>
      </c>
    </row>
    <row r="104">
      <c r="A104" t="n">
        <v>285</v>
      </c>
      <c r="B104" t="inlineStr">
        <is>
          <t>MLU</t>
        </is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inlineStr">
        <is>
          <t>寒武纪</t>
        </is>
      </c>
      <c r="K104" t="n">
        <v>0</v>
      </c>
    </row>
    <row r="105">
      <c r="A105" t="n">
        <v>286</v>
      </c>
      <c r="B105" t="inlineStr">
        <is>
          <t>DPU</t>
        </is>
      </c>
      <c r="C105" t="n">
        <v>0</v>
      </c>
      <c r="D105" t="n">
        <v>0</v>
      </c>
      <c r="E105" t="n">
        <v>1</v>
      </c>
      <c r="F105" t="n">
        <v>0</v>
      </c>
      <c r="G105" t="n">
        <v>0</v>
      </c>
      <c r="H105" t="n">
        <v>1</v>
      </c>
      <c r="I105" t="n">
        <v>0</v>
      </c>
      <c r="J105" t="inlineStr">
        <is>
          <t>中兴通讯</t>
        </is>
      </c>
      <c r="K105" t="n">
        <v>0</v>
      </c>
    </row>
    <row r="106">
      <c r="A106" t="n">
        <v>287</v>
      </c>
      <c r="B106" t="inlineStr">
        <is>
          <t>CPU股权</t>
        </is>
      </c>
      <c r="C106" t="n">
        <v>0</v>
      </c>
      <c r="D106" t="n">
        <v>0</v>
      </c>
      <c r="E106" t="n">
        <v>4</v>
      </c>
      <c r="F106" t="n">
        <v>3</v>
      </c>
      <c r="G106" t="n">
        <v>0</v>
      </c>
      <c r="H106" t="n">
        <v>1</v>
      </c>
      <c r="I106" t="n">
        <v>0</v>
      </c>
      <c r="J106" t="inlineStr">
        <is>
          <t>中文传媒</t>
        </is>
      </c>
      <c r="K106" t="n">
        <v>0</v>
      </c>
    </row>
    <row r="107">
      <c r="A107" t="n">
        <v>289</v>
      </c>
      <c r="B107" t="inlineStr">
        <is>
          <t>其他</t>
        </is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</v>
      </c>
      <c r="J107" t="inlineStr">
        <is>
          <t>奥特维</t>
        </is>
      </c>
      <c r="K107" t="n">
        <v>0</v>
      </c>
    </row>
    <row r="108">
      <c r="A108" t="n">
        <v>293</v>
      </c>
      <c r="B108" t="inlineStr">
        <is>
          <t>垣信卫星</t>
        </is>
      </c>
      <c r="C108" t="n">
        <v>0</v>
      </c>
      <c r="D108" t="n">
        <v>0</v>
      </c>
      <c r="E108" t="n">
        <v>3</v>
      </c>
      <c r="F108" t="n">
        <v>0</v>
      </c>
      <c r="G108" t="n">
        <v>0</v>
      </c>
      <c r="H108" t="n">
        <v>3</v>
      </c>
      <c r="I108" t="n">
        <v>0</v>
      </c>
      <c r="J108" t="inlineStr">
        <is>
          <t>东方明珠</t>
        </is>
      </c>
      <c r="K108" t="n">
        <v>0</v>
      </c>
    </row>
    <row r="109">
      <c r="A109" t="n">
        <v>298</v>
      </c>
      <c r="B109" t="inlineStr">
        <is>
          <t>TGV玻璃基板清洗设备</t>
        </is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</v>
      </c>
      <c r="J109" t="inlineStr">
        <is>
          <t>捷佳伟创</t>
        </is>
      </c>
      <c r="K109" t="n">
        <v>0</v>
      </c>
    </row>
    <row r="110">
      <c r="A110" t="n">
        <v>299</v>
      </c>
      <c r="B110" t="inlineStr">
        <is>
          <t>TGV加工能力</t>
        </is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</v>
      </c>
      <c r="J110" t="inlineStr">
        <is>
          <t>五方光电</t>
        </is>
      </c>
      <c r="K110" t="n">
        <v>0</v>
      </c>
    </row>
    <row r="111"/>
    <row r="112">
      <c r="A112" s="4" t="inlineStr">
        <is>
          <t>--- 细分: 芯片封装玻璃 ---</t>
        </is>
      </c>
    </row>
    <row r="113">
      <c r="A113" s="5" t="inlineStr">
        <is>
          <t>排名</t>
        </is>
      </c>
      <c r="B113" s="5" t="inlineStr">
        <is>
          <t>代码</t>
        </is>
      </c>
      <c r="C113" s="5" t="inlineStr">
        <is>
          <t>名称</t>
        </is>
      </c>
      <c r="D113" s="5" t="inlineStr">
        <is>
          <t>得分</t>
        </is>
      </c>
      <c r="E113" s="5" t="inlineStr">
        <is>
          <t>涨跌幅%</t>
        </is>
      </c>
      <c r="F113" s="5" t="inlineStr">
        <is>
          <t>成交额(亿)</t>
        </is>
      </c>
      <c r="G113" s="5" t="inlineStr">
        <is>
          <t>D1新高</t>
        </is>
      </c>
      <c r="H113" s="5" t="inlineStr">
        <is>
          <t>D2强势</t>
        </is>
      </c>
      <c r="I113" s="5" t="inlineStr">
        <is>
          <t>D3突破</t>
        </is>
      </c>
      <c r="J113" s="5" t="inlineStr">
        <is>
          <t>D4首板</t>
        </is>
      </c>
      <c r="K113" s="5" t="inlineStr">
        <is>
          <t>D5潜突</t>
        </is>
      </c>
      <c r="L113" s="5" t="inlineStr">
        <is>
          <t>D6连板</t>
        </is>
      </c>
      <c r="M113" s="5" t="inlineStr">
        <is>
          <t>D7一字</t>
        </is>
      </c>
      <c r="N113" s="5" t="inlineStr">
        <is>
          <t>D8活跃</t>
        </is>
      </c>
      <c r="O113" s="5" t="inlineStr">
        <is>
          <t>大成交额加分</t>
        </is>
      </c>
      <c r="P113" s="5" t="inlineStr">
        <is>
          <t>得分明细</t>
        </is>
      </c>
    </row>
    <row r="114">
      <c r="A114" t="n">
        <v>1</v>
      </c>
      <c r="B114" t="inlineStr">
        <is>
          <t>601636</t>
        </is>
      </c>
      <c r="C114" t="inlineStr">
        <is>
          <t>旗滨集团</t>
        </is>
      </c>
      <c r="D114" t="n">
        <v>31</v>
      </c>
      <c r="E114" t="n">
        <v>10.03</v>
      </c>
      <c r="F114" t="n">
        <v>0.01</v>
      </c>
      <c r="G114" t="n">
        <v>8</v>
      </c>
      <c r="H114" t="n">
        <v>6</v>
      </c>
      <c r="I114" t="n">
        <v>0</v>
      </c>
      <c r="J114" t="n">
        <v>3</v>
      </c>
      <c r="K114" t="n">
        <v>0</v>
      </c>
      <c r="L114" t="n">
        <v>5</v>
      </c>
      <c r="M114" t="n">
        <v>6</v>
      </c>
      <c r="N114" t="n">
        <v>3</v>
      </c>
      <c r="O114" t="n">
        <v>0</v>
      </c>
      <c r="P114" t="inlineStr">
        <is>
          <t>D1新高=8,D2强势=6,D3突破=0,D4首板=3,D5潜突=0,D6连板=5,D7一字=6,D8活跃=3,bonus=0</t>
        </is>
      </c>
    </row>
    <row r="115"/>
    <row r="116">
      <c r="A116" s="4" t="inlineStr">
        <is>
          <t>--- 细分: 高硼硅玻璃 ---</t>
        </is>
      </c>
    </row>
    <row r="117">
      <c r="A117" s="5" t="inlineStr">
        <is>
          <t>排名</t>
        </is>
      </c>
      <c r="B117" s="5" t="inlineStr">
        <is>
          <t>代码</t>
        </is>
      </c>
      <c r="C117" s="5" t="inlineStr">
        <is>
          <t>名称</t>
        </is>
      </c>
      <c r="D117" s="5" t="inlineStr">
        <is>
          <t>得分</t>
        </is>
      </c>
      <c r="E117" s="5" t="inlineStr">
        <is>
          <t>涨跌幅%</t>
        </is>
      </c>
      <c r="F117" s="5" t="inlineStr">
        <is>
          <t>成交额(亿)</t>
        </is>
      </c>
      <c r="G117" s="5" t="inlineStr">
        <is>
          <t>D1新高</t>
        </is>
      </c>
      <c r="H117" s="5" t="inlineStr">
        <is>
          <t>D2强势</t>
        </is>
      </c>
      <c r="I117" s="5" t="inlineStr">
        <is>
          <t>D3突破</t>
        </is>
      </c>
      <c r="J117" s="5" t="inlineStr">
        <is>
          <t>D4首板</t>
        </is>
      </c>
      <c r="K117" s="5" t="inlineStr">
        <is>
          <t>D5潜突</t>
        </is>
      </c>
      <c r="L117" s="5" t="inlineStr">
        <is>
          <t>D6连板</t>
        </is>
      </c>
      <c r="M117" s="5" t="inlineStr">
        <is>
          <t>D7一字</t>
        </is>
      </c>
      <c r="N117" s="5" t="inlineStr">
        <is>
          <t>D8活跃</t>
        </is>
      </c>
      <c r="O117" s="5" t="inlineStr">
        <is>
          <t>大成交额加分</t>
        </is>
      </c>
      <c r="P117" s="5" t="inlineStr">
        <is>
          <t>得分明细</t>
        </is>
      </c>
    </row>
    <row r="118">
      <c r="A118" t="n">
        <v>1</v>
      </c>
      <c r="B118" t="inlineStr">
        <is>
          <t>301188</t>
        </is>
      </c>
      <c r="C118" t="inlineStr">
        <is>
          <t>力诺药包</t>
        </is>
      </c>
      <c r="D118" t="n">
        <v>25</v>
      </c>
      <c r="E118" t="n">
        <v>13.44</v>
      </c>
      <c r="F118" t="n">
        <v>0</v>
      </c>
      <c r="G118" t="n">
        <v>8</v>
      </c>
      <c r="H118" t="n">
        <v>6</v>
      </c>
      <c r="I118" t="n">
        <v>5</v>
      </c>
      <c r="J118" t="n">
        <v>3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inlineStr">
        <is>
          <t>D1新高=8,D2强势=6,D3突破=5,D4首板=3,D5潜突=0,D6连板=0,D7一字=0,D8活跃=3,bonus=0</t>
        </is>
      </c>
    </row>
    <row r="119"/>
    <row r="120">
      <c r="A120" s="4" t="inlineStr">
        <is>
          <t>--- 细分: 芯片用玻璃基板 ---</t>
        </is>
      </c>
    </row>
    <row r="121">
      <c r="A121" s="5" t="inlineStr">
        <is>
          <t>排名</t>
        </is>
      </c>
      <c r="B121" s="5" t="inlineStr">
        <is>
          <t>代码</t>
        </is>
      </c>
      <c r="C121" s="5" t="inlineStr">
        <is>
          <t>名称</t>
        </is>
      </c>
      <c r="D121" s="5" t="inlineStr">
        <is>
          <t>得分</t>
        </is>
      </c>
      <c r="E121" s="5" t="inlineStr">
        <is>
          <t>涨跌幅%</t>
        </is>
      </c>
      <c r="F121" s="5" t="inlineStr">
        <is>
          <t>成交额(亿)</t>
        </is>
      </c>
      <c r="G121" s="5" t="inlineStr">
        <is>
          <t>D1新高</t>
        </is>
      </c>
      <c r="H121" s="5" t="inlineStr">
        <is>
          <t>D2强势</t>
        </is>
      </c>
      <c r="I121" s="5" t="inlineStr">
        <is>
          <t>D3突破</t>
        </is>
      </c>
      <c r="J121" s="5" t="inlineStr">
        <is>
          <t>D4首板</t>
        </is>
      </c>
      <c r="K121" s="5" t="inlineStr">
        <is>
          <t>D5潜突</t>
        </is>
      </c>
      <c r="L121" s="5" t="inlineStr">
        <is>
          <t>D6连板</t>
        </is>
      </c>
      <c r="M121" s="5" t="inlineStr">
        <is>
          <t>D7一字</t>
        </is>
      </c>
      <c r="N121" s="5" t="inlineStr">
        <is>
          <t>D8活跃</t>
        </is>
      </c>
      <c r="O121" s="5" t="inlineStr">
        <is>
          <t>大成交额加分</t>
        </is>
      </c>
      <c r="P121" s="5" t="inlineStr">
        <is>
          <t>得分明细</t>
        </is>
      </c>
    </row>
    <row r="122">
      <c r="A122" t="n">
        <v>1</v>
      </c>
      <c r="B122" t="inlineStr">
        <is>
          <t>603773</t>
        </is>
      </c>
      <c r="C122" t="inlineStr">
        <is>
          <t>沃格光电</t>
        </is>
      </c>
      <c r="D122" t="n">
        <v>24</v>
      </c>
      <c r="E122" t="n">
        <v>10</v>
      </c>
      <c r="F122" t="n">
        <v>0</v>
      </c>
      <c r="G122" t="n">
        <v>8</v>
      </c>
      <c r="H122" t="n">
        <v>0</v>
      </c>
      <c r="I122" t="n">
        <v>5</v>
      </c>
      <c r="J122" t="n">
        <v>3</v>
      </c>
      <c r="K122" t="n">
        <v>0</v>
      </c>
      <c r="L122" t="n">
        <v>5</v>
      </c>
      <c r="M122" t="n">
        <v>0</v>
      </c>
      <c r="N122" t="n">
        <v>3</v>
      </c>
      <c r="O122" t="n">
        <v>0</v>
      </c>
      <c r="P122" t="inlineStr">
        <is>
          <t>D1新高=8,D2强势=0,D3突破=5,D4首板=3,D5潜突=0,D6连板=5,D7一字=0,D8活跃=3,bonus=0</t>
        </is>
      </c>
    </row>
    <row r="123"/>
    <row r="124">
      <c r="A124" s="4" t="inlineStr">
        <is>
          <t>--- 细分: TSV电镀 ---</t>
        </is>
      </c>
    </row>
    <row r="125">
      <c r="A125" s="5" t="inlineStr">
        <is>
          <t>排名</t>
        </is>
      </c>
      <c r="B125" s="5" t="inlineStr">
        <is>
          <t>代码</t>
        </is>
      </c>
      <c r="C125" s="5" t="inlineStr">
        <is>
          <t>名称</t>
        </is>
      </c>
      <c r="D125" s="5" t="inlineStr">
        <is>
          <t>得分</t>
        </is>
      </c>
      <c r="E125" s="5" t="inlineStr">
        <is>
          <t>涨跌幅%</t>
        </is>
      </c>
      <c r="F125" s="5" t="inlineStr">
        <is>
          <t>成交额(亿)</t>
        </is>
      </c>
      <c r="G125" s="5" t="inlineStr">
        <is>
          <t>D1新高</t>
        </is>
      </c>
      <c r="H125" s="5" t="inlineStr">
        <is>
          <t>D2强势</t>
        </is>
      </c>
      <c r="I125" s="5" t="inlineStr">
        <is>
          <t>D3突破</t>
        </is>
      </c>
      <c r="J125" s="5" t="inlineStr">
        <is>
          <t>D4首板</t>
        </is>
      </c>
      <c r="K125" s="5" t="inlineStr">
        <is>
          <t>D5潜突</t>
        </is>
      </c>
      <c r="L125" s="5" t="inlineStr">
        <is>
          <t>D6连板</t>
        </is>
      </c>
      <c r="M125" s="5" t="inlineStr">
        <is>
          <t>D7一字</t>
        </is>
      </c>
      <c r="N125" s="5" t="inlineStr">
        <is>
          <t>D8活跃</t>
        </is>
      </c>
      <c r="O125" s="5" t="inlineStr">
        <is>
          <t>大成交额加分</t>
        </is>
      </c>
      <c r="P125" s="5" t="inlineStr">
        <is>
          <t>得分明细</t>
        </is>
      </c>
    </row>
    <row r="126">
      <c r="A126" t="n">
        <v>1</v>
      </c>
      <c r="B126" t="inlineStr">
        <is>
          <t>688082</t>
        </is>
      </c>
      <c r="C126" t="inlineStr">
        <is>
          <t>盛美上海</t>
        </is>
      </c>
      <c r="D126" t="n">
        <v>22</v>
      </c>
      <c r="E126" t="n">
        <v>20</v>
      </c>
      <c r="F126" t="n">
        <v>0.12</v>
      </c>
      <c r="G126" t="n">
        <v>8</v>
      </c>
      <c r="H126" t="n">
        <v>6</v>
      </c>
      <c r="I126" t="n">
        <v>5</v>
      </c>
      <c r="J126" t="n">
        <v>3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D1新高=8,D2强势=6,D3突破=5,D4首板=3,D5潜突=0,D6连板=0,D7一字=0,D8活跃=0,bonus=0</t>
        </is>
      </c>
    </row>
    <row r="127"/>
    <row r="128">
      <c r="A128" s="4" t="inlineStr">
        <is>
          <t>--- 细分: TGV工艺标准 ---</t>
        </is>
      </c>
    </row>
    <row r="129">
      <c r="A129" s="5" t="inlineStr">
        <is>
          <t>排名</t>
        </is>
      </c>
      <c r="B129" s="5" t="inlineStr">
        <is>
          <t>代码</t>
        </is>
      </c>
      <c r="C129" s="5" t="inlineStr">
        <is>
          <t>名称</t>
        </is>
      </c>
      <c r="D129" s="5" t="inlineStr">
        <is>
          <t>得分</t>
        </is>
      </c>
      <c r="E129" s="5" t="inlineStr">
        <is>
          <t>涨跌幅%</t>
        </is>
      </c>
      <c r="F129" s="5" t="inlineStr">
        <is>
          <t>成交额(亿)</t>
        </is>
      </c>
      <c r="G129" s="5" t="inlineStr">
        <is>
          <t>D1新高</t>
        </is>
      </c>
      <c r="H129" s="5" t="inlineStr">
        <is>
          <t>D2强势</t>
        </is>
      </c>
      <c r="I129" s="5" t="inlineStr">
        <is>
          <t>D3突破</t>
        </is>
      </c>
      <c r="J129" s="5" t="inlineStr">
        <is>
          <t>D4首板</t>
        </is>
      </c>
      <c r="K129" s="5" t="inlineStr">
        <is>
          <t>D5潜突</t>
        </is>
      </c>
      <c r="L129" s="5" t="inlineStr">
        <is>
          <t>D6连板</t>
        </is>
      </c>
      <c r="M129" s="5" t="inlineStr">
        <is>
          <t>D7一字</t>
        </is>
      </c>
      <c r="N129" s="5" t="inlineStr">
        <is>
          <t>D8活跃</t>
        </is>
      </c>
      <c r="O129" s="5" t="inlineStr">
        <is>
          <t>大成交额加分</t>
        </is>
      </c>
      <c r="P129" s="5" t="inlineStr">
        <is>
          <t>得分明细</t>
        </is>
      </c>
    </row>
    <row r="130">
      <c r="A130" t="n">
        <v>1</v>
      </c>
      <c r="B130" t="inlineStr">
        <is>
          <t>300433</t>
        </is>
      </c>
      <c r="C130" t="inlineStr">
        <is>
          <t>蓝思科技</t>
        </is>
      </c>
      <c r="D130" t="n">
        <v>22</v>
      </c>
      <c r="E130" t="n">
        <v>5.92</v>
      </c>
      <c r="F130" t="n">
        <v>0.02</v>
      </c>
      <c r="G130" t="n">
        <v>8</v>
      </c>
      <c r="H130" t="n">
        <v>6</v>
      </c>
      <c r="I130" t="n">
        <v>5</v>
      </c>
      <c r="J130" t="n">
        <v>0</v>
      </c>
      <c r="K130" t="n">
        <v>0</v>
      </c>
      <c r="L130" t="n">
        <v>0</v>
      </c>
      <c r="M130" t="n">
        <v>0</v>
      </c>
      <c r="N130" t="n">
        <v>3</v>
      </c>
      <c r="O130" t="n">
        <v>0</v>
      </c>
      <c r="P130" t="inlineStr">
        <is>
          <t>D1新高=8,D2强势=6,D3突破=5,D4首板=0,D5潜突=0,D6连板=0,D7一字=0,D8活跃=3,bonus=0</t>
        </is>
      </c>
    </row>
    <row r="131"/>
    <row r="132">
      <c r="A132" s="4" t="inlineStr">
        <is>
          <t>--- 细分: 玻璃基板工艺 ---</t>
        </is>
      </c>
    </row>
    <row r="133">
      <c r="A133" s="5" t="inlineStr">
        <is>
          <t>排名</t>
        </is>
      </c>
      <c r="B133" s="5" t="inlineStr">
        <is>
          <t>代码</t>
        </is>
      </c>
      <c r="C133" s="5" t="inlineStr">
        <is>
          <t>名称</t>
        </is>
      </c>
      <c r="D133" s="5" t="inlineStr">
        <is>
          <t>得分</t>
        </is>
      </c>
      <c r="E133" s="5" t="inlineStr">
        <is>
          <t>涨跌幅%</t>
        </is>
      </c>
      <c r="F133" s="5" t="inlineStr">
        <is>
          <t>成交额(亿)</t>
        </is>
      </c>
      <c r="G133" s="5" t="inlineStr">
        <is>
          <t>D1新高</t>
        </is>
      </c>
      <c r="H133" s="5" t="inlineStr">
        <is>
          <t>D2强势</t>
        </is>
      </c>
      <c r="I133" s="5" t="inlineStr">
        <is>
          <t>D3突破</t>
        </is>
      </c>
      <c r="J133" s="5" t="inlineStr">
        <is>
          <t>D4首板</t>
        </is>
      </c>
      <c r="K133" s="5" t="inlineStr">
        <is>
          <t>D5潜突</t>
        </is>
      </c>
      <c r="L133" s="5" t="inlineStr">
        <is>
          <t>D6连板</t>
        </is>
      </c>
      <c r="M133" s="5" t="inlineStr">
        <is>
          <t>D7一字</t>
        </is>
      </c>
      <c r="N133" s="5" t="inlineStr">
        <is>
          <t>D8活跃</t>
        </is>
      </c>
      <c r="O133" s="5" t="inlineStr">
        <is>
          <t>大成交额加分</t>
        </is>
      </c>
      <c r="P133" s="5" t="inlineStr">
        <is>
          <t>得分明细</t>
        </is>
      </c>
    </row>
    <row r="134">
      <c r="A134" t="n">
        <v>1</v>
      </c>
      <c r="B134" t="inlineStr">
        <is>
          <t>002436</t>
        </is>
      </c>
      <c r="C134" t="inlineStr">
        <is>
          <t>兴森科技</t>
        </is>
      </c>
      <c r="D134" t="n">
        <v>22</v>
      </c>
      <c r="E134" t="n">
        <v>8.390000000000001</v>
      </c>
      <c r="F134" t="n">
        <v>0.03</v>
      </c>
      <c r="G134" t="n">
        <v>8</v>
      </c>
      <c r="H134" t="n">
        <v>6</v>
      </c>
      <c r="I134" t="n">
        <v>5</v>
      </c>
      <c r="J134" t="n">
        <v>0</v>
      </c>
      <c r="K134" t="n">
        <v>0</v>
      </c>
      <c r="L134" t="n">
        <v>0</v>
      </c>
      <c r="M134" t="n">
        <v>0</v>
      </c>
      <c r="N134" t="n">
        <v>3</v>
      </c>
      <c r="O134" t="n">
        <v>0</v>
      </c>
      <c r="P134" t="inlineStr">
        <is>
          <t>D1新高=8,D2强势=6,D3突破=5,D4首板=0,D5潜突=0,D6连板=0,D7一字=0,D8活跃=3,bonus=0</t>
        </is>
      </c>
    </row>
    <row r="135"/>
    <row r="136">
      <c r="A136" s="4" t="inlineStr">
        <is>
          <t>--- 细分: 半导体玻璃基板激光打孔 ---</t>
        </is>
      </c>
    </row>
    <row r="137">
      <c r="A137" s="5" t="inlineStr">
        <is>
          <t>排名</t>
        </is>
      </c>
      <c r="B137" s="5" t="inlineStr">
        <is>
          <t>代码</t>
        </is>
      </c>
      <c r="C137" s="5" t="inlineStr">
        <is>
          <t>名称</t>
        </is>
      </c>
      <c r="D137" s="5" t="inlineStr">
        <is>
          <t>得分</t>
        </is>
      </c>
      <c r="E137" s="5" t="inlineStr">
        <is>
          <t>涨跌幅%</t>
        </is>
      </c>
      <c r="F137" s="5" t="inlineStr">
        <is>
          <t>成交额(亿)</t>
        </is>
      </c>
      <c r="G137" s="5" t="inlineStr">
        <is>
          <t>D1新高</t>
        </is>
      </c>
      <c r="H137" s="5" t="inlineStr">
        <is>
          <t>D2强势</t>
        </is>
      </c>
      <c r="I137" s="5" t="inlineStr">
        <is>
          <t>D3突破</t>
        </is>
      </c>
      <c r="J137" s="5" t="inlineStr">
        <is>
          <t>D4首板</t>
        </is>
      </c>
      <c r="K137" s="5" t="inlineStr">
        <is>
          <t>D5潜突</t>
        </is>
      </c>
      <c r="L137" s="5" t="inlineStr">
        <is>
          <t>D6连板</t>
        </is>
      </c>
      <c r="M137" s="5" t="inlineStr">
        <is>
          <t>D7一字</t>
        </is>
      </c>
      <c r="N137" s="5" t="inlineStr">
        <is>
          <t>D8活跃</t>
        </is>
      </c>
      <c r="O137" s="5" t="inlineStr">
        <is>
          <t>大成交额加分</t>
        </is>
      </c>
      <c r="P137" s="5" t="inlineStr">
        <is>
          <t>得分明细</t>
        </is>
      </c>
    </row>
    <row r="138">
      <c r="A138" t="n">
        <v>1</v>
      </c>
      <c r="B138" t="inlineStr">
        <is>
          <t>002851</t>
        </is>
      </c>
      <c r="C138" t="inlineStr">
        <is>
          <t>麦格米特</t>
        </is>
      </c>
      <c r="D138" t="n">
        <v>22</v>
      </c>
      <c r="E138" t="n">
        <v>9.33</v>
      </c>
      <c r="F138" t="n">
        <v>0.01</v>
      </c>
      <c r="G138" t="n">
        <v>8</v>
      </c>
      <c r="H138" t="n">
        <v>6</v>
      </c>
      <c r="I138" t="n">
        <v>5</v>
      </c>
      <c r="J138" t="n">
        <v>0</v>
      </c>
      <c r="K138" t="n">
        <v>0</v>
      </c>
      <c r="L138" t="n">
        <v>0</v>
      </c>
      <c r="M138" t="n">
        <v>0</v>
      </c>
      <c r="N138" t="n">
        <v>3</v>
      </c>
      <c r="O138" t="n">
        <v>0</v>
      </c>
      <c r="P138" t="inlineStr">
        <is>
          <t>D1新高=8,D2强势=6,D3突破=5,D4首板=0,D5潜突=0,D6连板=0,D7一字=0,D8活跃=3,bonus=0</t>
        </is>
      </c>
    </row>
    <row r="139"/>
    <row r="140">
      <c r="A140" s="4" t="inlineStr">
        <is>
          <t>--- 细分: TGV玻璃技术 ---</t>
        </is>
      </c>
    </row>
    <row r="141">
      <c r="A141" s="5" t="inlineStr">
        <is>
          <t>排名</t>
        </is>
      </c>
      <c r="B141" s="5" t="inlineStr">
        <is>
          <t>代码</t>
        </is>
      </c>
      <c r="C141" s="5" t="inlineStr">
        <is>
          <t>名称</t>
        </is>
      </c>
      <c r="D141" s="5" t="inlineStr">
        <is>
          <t>得分</t>
        </is>
      </c>
      <c r="E141" s="5" t="inlineStr">
        <is>
          <t>涨跌幅%</t>
        </is>
      </c>
      <c r="F141" s="5" t="inlineStr">
        <is>
          <t>成交额(亿)</t>
        </is>
      </c>
      <c r="G141" s="5" t="inlineStr">
        <is>
          <t>D1新高</t>
        </is>
      </c>
      <c r="H141" s="5" t="inlineStr">
        <is>
          <t>D2强势</t>
        </is>
      </c>
      <c r="I141" s="5" t="inlineStr">
        <is>
          <t>D3突破</t>
        </is>
      </c>
      <c r="J141" s="5" t="inlineStr">
        <is>
          <t>D4首板</t>
        </is>
      </c>
      <c r="K141" s="5" t="inlineStr">
        <is>
          <t>D5潜突</t>
        </is>
      </c>
      <c r="L141" s="5" t="inlineStr">
        <is>
          <t>D6连板</t>
        </is>
      </c>
      <c r="M141" s="5" t="inlineStr">
        <is>
          <t>D7一字</t>
        </is>
      </c>
      <c r="N141" s="5" t="inlineStr">
        <is>
          <t>D8活跃</t>
        </is>
      </c>
      <c r="O141" s="5" t="inlineStr">
        <is>
          <t>大成交额加分</t>
        </is>
      </c>
      <c r="P141" s="5" t="inlineStr">
        <is>
          <t>得分明细</t>
        </is>
      </c>
    </row>
    <row r="142">
      <c r="A142" t="n">
        <v>1</v>
      </c>
      <c r="B142" t="inlineStr">
        <is>
          <t>600552</t>
        </is>
      </c>
      <c r="C142" t="inlineStr">
        <is>
          <t>凯盛科技</t>
        </is>
      </c>
      <c r="D142" t="n">
        <v>19</v>
      </c>
      <c r="E142" t="n">
        <v>9.98</v>
      </c>
      <c r="F142" t="n">
        <v>0.01</v>
      </c>
      <c r="G142" t="n">
        <v>8</v>
      </c>
      <c r="H142" t="n">
        <v>0</v>
      </c>
      <c r="I142" t="n">
        <v>5</v>
      </c>
      <c r="J142" t="n">
        <v>3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inlineStr">
        <is>
          <t>D1新高=8,D2强势=0,D3突破=5,D4首板=3,D5潜突=0,D6连板=0,D7一字=0,D8活跃=3,bonus=0</t>
        </is>
      </c>
    </row>
    <row r="143"/>
    <row r="144">
      <c r="A144" s="4" t="inlineStr">
        <is>
          <t>--- 细分: 泛半导体直写光刻设备 ---</t>
        </is>
      </c>
    </row>
    <row r="145">
      <c r="A145" s="5" t="inlineStr">
        <is>
          <t>排名</t>
        </is>
      </c>
      <c r="B145" s="5" t="inlineStr">
        <is>
          <t>代码</t>
        </is>
      </c>
      <c r="C145" s="5" t="inlineStr">
        <is>
          <t>名称</t>
        </is>
      </c>
      <c r="D145" s="5" t="inlineStr">
        <is>
          <t>得分</t>
        </is>
      </c>
      <c r="E145" s="5" t="inlineStr">
        <is>
          <t>涨跌幅%</t>
        </is>
      </c>
      <c r="F145" s="5" t="inlineStr">
        <is>
          <t>成交额(亿)</t>
        </is>
      </c>
      <c r="G145" s="5" t="inlineStr">
        <is>
          <t>D1新高</t>
        </is>
      </c>
      <c r="H145" s="5" t="inlineStr">
        <is>
          <t>D2强势</t>
        </is>
      </c>
      <c r="I145" s="5" t="inlineStr">
        <is>
          <t>D3突破</t>
        </is>
      </c>
      <c r="J145" s="5" t="inlineStr">
        <is>
          <t>D4首板</t>
        </is>
      </c>
      <c r="K145" s="5" t="inlineStr">
        <is>
          <t>D5潜突</t>
        </is>
      </c>
      <c r="L145" s="5" t="inlineStr">
        <is>
          <t>D6连板</t>
        </is>
      </c>
      <c r="M145" s="5" t="inlineStr">
        <is>
          <t>D7一字</t>
        </is>
      </c>
      <c r="N145" s="5" t="inlineStr">
        <is>
          <t>D8活跃</t>
        </is>
      </c>
      <c r="O145" s="5" t="inlineStr">
        <is>
          <t>大成交额加分</t>
        </is>
      </c>
      <c r="P145" s="5" t="inlineStr">
        <is>
          <t>得分明细</t>
        </is>
      </c>
    </row>
    <row r="146">
      <c r="A146" t="n">
        <v>1</v>
      </c>
      <c r="B146" t="inlineStr">
        <is>
          <t>688630</t>
        </is>
      </c>
      <c r="C146" t="inlineStr">
        <is>
          <t>芯基微装</t>
        </is>
      </c>
      <c r="D146" t="n">
        <v>17</v>
      </c>
      <c r="E146" t="n">
        <v>2.58</v>
      </c>
      <c r="F146" t="n">
        <v>0.06</v>
      </c>
      <c r="G146" t="n">
        <v>8</v>
      </c>
      <c r="H146" t="n">
        <v>6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3</v>
      </c>
      <c r="O146" t="n">
        <v>0</v>
      </c>
      <c r="P146" t="inlineStr">
        <is>
          <t>D1新高=8,D2强势=6,D3突破=0,D4首板=0,D5潜突=0,D6连板=0,D7一字=0,D8活跃=3,bonus=0</t>
        </is>
      </c>
    </row>
    <row r="147"/>
    <row r="148">
      <c r="A148" s="4" t="inlineStr">
        <is>
          <t>--- 细分: G5级 ---</t>
        </is>
      </c>
    </row>
    <row r="149">
      <c r="A149" s="5" t="inlineStr">
        <is>
          <t>排名</t>
        </is>
      </c>
      <c r="B149" s="5" t="inlineStr">
        <is>
          <t>代码</t>
        </is>
      </c>
      <c r="C149" s="5" t="inlineStr">
        <is>
          <t>名称</t>
        </is>
      </c>
      <c r="D149" s="5" t="inlineStr">
        <is>
          <t>得分</t>
        </is>
      </c>
      <c r="E149" s="5" t="inlineStr">
        <is>
          <t>涨跌幅%</t>
        </is>
      </c>
      <c r="F149" s="5" t="inlineStr">
        <is>
          <t>成交额(亿)</t>
        </is>
      </c>
      <c r="G149" s="5" t="inlineStr">
        <is>
          <t>D1新高</t>
        </is>
      </c>
      <c r="H149" s="5" t="inlineStr">
        <is>
          <t>D2强势</t>
        </is>
      </c>
      <c r="I149" s="5" t="inlineStr">
        <is>
          <t>D3突破</t>
        </is>
      </c>
      <c r="J149" s="5" t="inlineStr">
        <is>
          <t>D4首板</t>
        </is>
      </c>
      <c r="K149" s="5" t="inlineStr">
        <is>
          <t>D5潜突</t>
        </is>
      </c>
      <c r="L149" s="5" t="inlineStr">
        <is>
          <t>D6连板</t>
        </is>
      </c>
      <c r="M149" s="5" t="inlineStr">
        <is>
          <t>D7一字</t>
        </is>
      </c>
      <c r="N149" s="5" t="inlineStr">
        <is>
          <t>D8活跃</t>
        </is>
      </c>
      <c r="O149" s="5" t="inlineStr">
        <is>
          <t>大成交额加分</t>
        </is>
      </c>
      <c r="P149" s="5" t="inlineStr">
        <is>
          <t>得分明细</t>
        </is>
      </c>
    </row>
    <row r="150">
      <c r="A150" t="n">
        <v>1</v>
      </c>
      <c r="B150" t="inlineStr">
        <is>
          <t>688549</t>
        </is>
      </c>
      <c r="C150" t="inlineStr">
        <is>
          <t>中巨芯-U</t>
        </is>
      </c>
      <c r="D150" t="n">
        <v>30</v>
      </c>
      <c r="E150" t="n">
        <v>13.62</v>
      </c>
      <c r="F150" t="n">
        <v>1.19</v>
      </c>
      <c r="G150" t="n">
        <v>8</v>
      </c>
      <c r="H150" t="n">
        <v>6</v>
      </c>
      <c r="I150" t="n">
        <v>5</v>
      </c>
      <c r="J150" t="n">
        <v>3</v>
      </c>
      <c r="K150" t="n">
        <v>0</v>
      </c>
      <c r="L150" t="n">
        <v>5</v>
      </c>
      <c r="M150" t="n">
        <v>0</v>
      </c>
      <c r="N150" t="n">
        <v>3</v>
      </c>
      <c r="O150" t="n">
        <v>0</v>
      </c>
      <c r="P150" t="inlineStr">
        <is>
          <t>D1新高=8,D2强势=6,D3突破=5,D4首板=3,D5潜突=0,D6连板=5,D7一字=0,D8活跃=3,bonus=0</t>
        </is>
      </c>
    </row>
    <row r="151">
      <c r="A151" t="n">
        <v>2</v>
      </c>
      <c r="B151" t="inlineStr">
        <is>
          <t>601678</t>
        </is>
      </c>
      <c r="C151" t="inlineStr">
        <is>
          <t>滨化股份</t>
        </is>
      </c>
      <c r="D151" t="n">
        <v>3</v>
      </c>
      <c r="E151" t="n">
        <v>-0.65</v>
      </c>
      <c r="F151" t="n">
        <v>0.02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3</v>
      </c>
      <c r="O151" t="n">
        <v>0</v>
      </c>
      <c r="P151" t="inlineStr">
        <is>
          <t>D1新高=0,D2强势=0,D3突破=0,D4首板=0,D5潜突=0,D6连板=0,D7一字=0,D8活跃=3,bonus=0</t>
        </is>
      </c>
    </row>
    <row r="152"/>
    <row r="153">
      <c r="A153" s="4" t="inlineStr">
        <is>
          <t>--- 细分: TGV技术 ---</t>
        </is>
      </c>
    </row>
    <row r="154">
      <c r="A154" s="5" t="inlineStr">
        <is>
          <t>排名</t>
        </is>
      </c>
      <c r="B154" s="5" t="inlineStr">
        <is>
          <t>代码</t>
        </is>
      </c>
      <c r="C154" s="5" t="inlineStr">
        <is>
          <t>名称</t>
        </is>
      </c>
      <c r="D154" s="5" t="inlineStr">
        <is>
          <t>得分</t>
        </is>
      </c>
      <c r="E154" s="5" t="inlineStr">
        <is>
          <t>涨跌幅%</t>
        </is>
      </c>
      <c r="F154" s="5" t="inlineStr">
        <is>
          <t>成交额(亿)</t>
        </is>
      </c>
      <c r="G154" s="5" t="inlineStr">
        <is>
          <t>D1新高</t>
        </is>
      </c>
      <c r="H154" s="5" t="inlineStr">
        <is>
          <t>D2强势</t>
        </is>
      </c>
      <c r="I154" s="5" t="inlineStr">
        <is>
          <t>D3突破</t>
        </is>
      </c>
      <c r="J154" s="5" t="inlineStr">
        <is>
          <t>D4首板</t>
        </is>
      </c>
      <c r="K154" s="5" t="inlineStr">
        <is>
          <t>D5潜突</t>
        </is>
      </c>
      <c r="L154" s="5" t="inlineStr">
        <is>
          <t>D6连板</t>
        </is>
      </c>
      <c r="M154" s="5" t="inlineStr">
        <is>
          <t>D7一字</t>
        </is>
      </c>
      <c r="N154" s="5" t="inlineStr">
        <is>
          <t>D8活跃</t>
        </is>
      </c>
      <c r="O154" s="5" t="inlineStr">
        <is>
          <t>大成交额加分</t>
        </is>
      </c>
      <c r="P154" s="5" t="inlineStr">
        <is>
          <t>得分明细</t>
        </is>
      </c>
    </row>
    <row r="155">
      <c r="A155" t="n">
        <v>1</v>
      </c>
      <c r="B155" t="inlineStr">
        <is>
          <t>002106</t>
        </is>
      </c>
      <c r="C155" t="inlineStr">
        <is>
          <t>莱宝高科</t>
        </is>
      </c>
      <c r="D155" t="n">
        <v>16</v>
      </c>
      <c r="E155" t="n">
        <v>9.16</v>
      </c>
      <c r="F155" t="n">
        <v>0</v>
      </c>
      <c r="G155" t="n">
        <v>8</v>
      </c>
      <c r="H155" t="n">
        <v>0</v>
      </c>
      <c r="I155" t="n">
        <v>5</v>
      </c>
      <c r="J155" t="n">
        <v>0</v>
      </c>
      <c r="K155" t="n">
        <v>0</v>
      </c>
      <c r="L155" t="n">
        <v>0</v>
      </c>
      <c r="M155" t="n">
        <v>0</v>
      </c>
      <c r="N155" t="n">
        <v>3</v>
      </c>
      <c r="O155" t="n">
        <v>0</v>
      </c>
      <c r="P155" t="inlineStr">
        <is>
          <t>D1新高=8,D2强势=0,D3突破=5,D4首板=0,D5潜突=0,D6连板=0,D7一字=0,D8活跃=3,bonus=0</t>
        </is>
      </c>
    </row>
    <row r="156"/>
    <row r="157">
      <c r="A157" s="4" t="inlineStr">
        <is>
          <t>--- 细分: 光纤涂料 ---</t>
        </is>
      </c>
    </row>
    <row r="158">
      <c r="A158" s="5" t="inlineStr">
        <is>
          <t>排名</t>
        </is>
      </c>
      <c r="B158" s="5" t="inlineStr">
        <is>
          <t>代码</t>
        </is>
      </c>
      <c r="C158" s="5" t="inlineStr">
        <is>
          <t>名称</t>
        </is>
      </c>
      <c r="D158" s="5" t="inlineStr">
        <is>
          <t>得分</t>
        </is>
      </c>
      <c r="E158" s="5" t="inlineStr">
        <is>
          <t>涨跌幅%</t>
        </is>
      </c>
      <c r="F158" s="5" t="inlineStr">
        <is>
          <t>成交额(亿)</t>
        </is>
      </c>
      <c r="G158" s="5" t="inlineStr">
        <is>
          <t>D1新高</t>
        </is>
      </c>
      <c r="H158" s="5" t="inlineStr">
        <is>
          <t>D2强势</t>
        </is>
      </c>
      <c r="I158" s="5" t="inlineStr">
        <is>
          <t>D3突破</t>
        </is>
      </c>
      <c r="J158" s="5" t="inlineStr">
        <is>
          <t>D4首板</t>
        </is>
      </c>
      <c r="K158" s="5" t="inlineStr">
        <is>
          <t>D5潜突</t>
        </is>
      </c>
      <c r="L158" s="5" t="inlineStr">
        <is>
          <t>D6连板</t>
        </is>
      </c>
      <c r="M158" s="5" t="inlineStr">
        <is>
          <t>D7一字</t>
        </is>
      </c>
      <c r="N158" s="5" t="inlineStr">
        <is>
          <t>D8活跃</t>
        </is>
      </c>
      <c r="O158" s="5" t="inlineStr">
        <is>
          <t>大成交额加分</t>
        </is>
      </c>
      <c r="P158" s="5" t="inlineStr">
        <is>
          <t>得分明细</t>
        </is>
      </c>
    </row>
    <row r="159">
      <c r="A159" t="n">
        <v>1</v>
      </c>
      <c r="B159" t="inlineStr">
        <is>
          <t>300398</t>
        </is>
      </c>
      <c r="C159" t="inlineStr">
        <is>
          <t>飞凯材料</t>
        </is>
      </c>
      <c r="D159" t="n">
        <v>16</v>
      </c>
      <c r="E159" t="n">
        <v>3.92</v>
      </c>
      <c r="F159" t="n">
        <v>0.01</v>
      </c>
      <c r="G159" t="n">
        <v>8</v>
      </c>
      <c r="H159" t="n">
        <v>0</v>
      </c>
      <c r="I159" t="n">
        <v>5</v>
      </c>
      <c r="J159" t="n">
        <v>0</v>
      </c>
      <c r="K159" t="n">
        <v>0</v>
      </c>
      <c r="L159" t="n">
        <v>0</v>
      </c>
      <c r="M159" t="n">
        <v>0</v>
      </c>
      <c r="N159" t="n">
        <v>3</v>
      </c>
      <c r="O159" t="n">
        <v>0</v>
      </c>
      <c r="P159" t="inlineStr">
        <is>
          <t>D1新高=8,D2强势=0,D3突破=5,D4首板=0,D5潜突=0,D6连板=0,D7一字=0,D8活跃=3,bonus=0</t>
        </is>
      </c>
    </row>
    <row r="160"/>
    <row r="161">
      <c r="A161" s="4" t="inlineStr">
        <is>
          <t>--- 细分: 基板玻璃产品 ---</t>
        </is>
      </c>
    </row>
    <row r="162">
      <c r="A162" s="5" t="inlineStr">
        <is>
          <t>排名</t>
        </is>
      </c>
      <c r="B162" s="5" t="inlineStr">
        <is>
          <t>代码</t>
        </is>
      </c>
      <c r="C162" s="5" t="inlineStr">
        <is>
          <t>名称</t>
        </is>
      </c>
      <c r="D162" s="5" t="inlineStr">
        <is>
          <t>得分</t>
        </is>
      </c>
      <c r="E162" s="5" t="inlineStr">
        <is>
          <t>涨跌幅%</t>
        </is>
      </c>
      <c r="F162" s="5" t="inlineStr">
        <is>
          <t>成交额(亿)</t>
        </is>
      </c>
      <c r="G162" s="5" t="inlineStr">
        <is>
          <t>D1新高</t>
        </is>
      </c>
      <c r="H162" s="5" t="inlineStr">
        <is>
          <t>D2强势</t>
        </is>
      </c>
      <c r="I162" s="5" t="inlineStr">
        <is>
          <t>D3突破</t>
        </is>
      </c>
      <c r="J162" s="5" t="inlineStr">
        <is>
          <t>D4首板</t>
        </is>
      </c>
      <c r="K162" s="5" t="inlineStr">
        <is>
          <t>D5潜突</t>
        </is>
      </c>
      <c r="L162" s="5" t="inlineStr">
        <is>
          <t>D6连板</t>
        </is>
      </c>
      <c r="M162" s="5" t="inlineStr">
        <is>
          <t>D7一字</t>
        </is>
      </c>
      <c r="N162" s="5" t="inlineStr">
        <is>
          <t>D8活跃</t>
        </is>
      </c>
      <c r="O162" s="5" t="inlineStr">
        <is>
          <t>大成交额加分</t>
        </is>
      </c>
      <c r="P162" s="5" t="inlineStr">
        <is>
          <t>得分明细</t>
        </is>
      </c>
    </row>
    <row r="163">
      <c r="A163" t="n">
        <v>1</v>
      </c>
      <c r="B163" t="inlineStr">
        <is>
          <t>600707</t>
        </is>
      </c>
      <c r="C163" t="inlineStr">
        <is>
          <t>彩虹股份</t>
        </is>
      </c>
      <c r="D163" t="n">
        <v>16</v>
      </c>
      <c r="E163" t="n">
        <v>9.99</v>
      </c>
      <c r="F163" t="n">
        <v>0.02</v>
      </c>
      <c r="G163" t="n">
        <v>0</v>
      </c>
      <c r="H163" t="n">
        <v>0</v>
      </c>
      <c r="I163" t="n">
        <v>5</v>
      </c>
      <c r="J163" t="n">
        <v>3</v>
      </c>
      <c r="K163" t="n">
        <v>0</v>
      </c>
      <c r="L163" t="n">
        <v>5</v>
      </c>
      <c r="M163" t="n">
        <v>0</v>
      </c>
      <c r="N163" t="n">
        <v>3</v>
      </c>
      <c r="O163" t="n">
        <v>0</v>
      </c>
      <c r="P163" t="inlineStr">
        <is>
          <t>D1新高=0,D2强势=0,D3突破=5,D4首板=3,D5潜突=0,D6连板=5,D7一字=0,D8活跃=3,bonus=0</t>
        </is>
      </c>
    </row>
    <row r="164"/>
    <row r="165">
      <c r="A165" s="4" t="inlineStr">
        <is>
          <t>--- 细分: 探针台 ---</t>
        </is>
      </c>
    </row>
    <row r="166">
      <c r="A166" s="5" t="inlineStr">
        <is>
          <t>排名</t>
        </is>
      </c>
      <c r="B166" s="5" t="inlineStr">
        <is>
          <t>代码</t>
        </is>
      </c>
      <c r="C166" s="5" t="inlineStr">
        <is>
          <t>名称</t>
        </is>
      </c>
      <c r="D166" s="5" t="inlineStr">
        <is>
          <t>得分</t>
        </is>
      </c>
      <c r="E166" s="5" t="inlineStr">
        <is>
          <t>涨跌幅%</t>
        </is>
      </c>
      <c r="F166" s="5" t="inlineStr">
        <is>
          <t>成交额(亿)</t>
        </is>
      </c>
      <c r="G166" s="5" t="inlineStr">
        <is>
          <t>D1新高</t>
        </is>
      </c>
      <c r="H166" s="5" t="inlineStr">
        <is>
          <t>D2强势</t>
        </is>
      </c>
      <c r="I166" s="5" t="inlineStr">
        <is>
          <t>D3突破</t>
        </is>
      </c>
      <c r="J166" s="5" t="inlineStr">
        <is>
          <t>D4首板</t>
        </is>
      </c>
      <c r="K166" s="5" t="inlineStr">
        <is>
          <t>D5潜突</t>
        </is>
      </c>
      <c r="L166" s="5" t="inlineStr">
        <is>
          <t>D6连板</t>
        </is>
      </c>
      <c r="M166" s="5" t="inlineStr">
        <is>
          <t>D7一字</t>
        </is>
      </c>
      <c r="N166" s="5" t="inlineStr">
        <is>
          <t>D8活跃</t>
        </is>
      </c>
      <c r="O166" s="5" t="inlineStr">
        <is>
          <t>大成交额加分</t>
        </is>
      </c>
      <c r="P166" s="5" t="inlineStr">
        <is>
          <t>得分明细</t>
        </is>
      </c>
    </row>
    <row r="167">
      <c r="A167" t="n">
        <v>1</v>
      </c>
      <c r="B167" t="inlineStr">
        <is>
          <t>688661</t>
        </is>
      </c>
      <c r="C167" t="inlineStr">
        <is>
          <t>和林微纳</t>
        </is>
      </c>
      <c r="D167" t="n">
        <v>25</v>
      </c>
      <c r="E167" t="n">
        <v>14.51</v>
      </c>
      <c r="F167" t="n">
        <v>0.1</v>
      </c>
      <c r="G167" t="n">
        <v>8</v>
      </c>
      <c r="H167" t="n">
        <v>6</v>
      </c>
      <c r="I167" t="n">
        <v>5</v>
      </c>
      <c r="J167" t="n">
        <v>3</v>
      </c>
      <c r="K167" t="n">
        <v>0</v>
      </c>
      <c r="L167" t="n">
        <v>0</v>
      </c>
      <c r="M167" t="n">
        <v>0</v>
      </c>
      <c r="N167" t="n">
        <v>3</v>
      </c>
      <c r="O167" t="n">
        <v>0</v>
      </c>
      <c r="P167" t="inlineStr">
        <is>
          <t>D1新高=8,D2强势=6,D3突破=5,D4首板=3,D5潜突=0,D6连板=0,D7一字=0,D8活跃=3,bonus=0</t>
        </is>
      </c>
    </row>
    <row r="168">
      <c r="A168" t="n">
        <v>2</v>
      </c>
      <c r="B168" t="inlineStr">
        <is>
          <t>301629</t>
        </is>
      </c>
      <c r="C168" t="inlineStr">
        <is>
          <t>矽电股份</t>
        </is>
      </c>
      <c r="D168" t="n">
        <v>5</v>
      </c>
      <c r="E168" t="n">
        <v>4.87</v>
      </c>
      <c r="F168" t="n">
        <v>0</v>
      </c>
      <c r="G168" t="n">
        <v>0</v>
      </c>
      <c r="H168" t="n">
        <v>0</v>
      </c>
      <c r="I168" t="n">
        <v>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D1新高=0,D2强势=0,D3突破=5,D4首板=0,D5潜突=0,D6连板=0,D7一字=0,D8活跃=0,bonus=0</t>
        </is>
      </c>
    </row>
    <row r="169"/>
    <row r="170">
      <c r="A170" s="4" t="inlineStr">
        <is>
          <t>--- 细分: 玻璃通孔(TGV) ---</t>
        </is>
      </c>
    </row>
    <row r="171">
      <c r="A171" s="5" t="inlineStr">
        <is>
          <t>排名</t>
        </is>
      </c>
      <c r="B171" s="5" t="inlineStr">
        <is>
          <t>代码</t>
        </is>
      </c>
      <c r="C171" s="5" t="inlineStr">
        <is>
          <t>名称</t>
        </is>
      </c>
      <c r="D171" s="5" t="inlineStr">
        <is>
          <t>得分</t>
        </is>
      </c>
      <c r="E171" s="5" t="inlineStr">
        <is>
          <t>涨跌幅%</t>
        </is>
      </c>
      <c r="F171" s="5" t="inlineStr">
        <is>
          <t>成交额(亿)</t>
        </is>
      </c>
      <c r="G171" s="5" t="inlineStr">
        <is>
          <t>D1新高</t>
        </is>
      </c>
      <c r="H171" s="5" t="inlineStr">
        <is>
          <t>D2强势</t>
        </is>
      </c>
      <c r="I171" s="5" t="inlineStr">
        <is>
          <t>D3突破</t>
        </is>
      </c>
      <c r="J171" s="5" t="inlineStr">
        <is>
          <t>D4首板</t>
        </is>
      </c>
      <c r="K171" s="5" t="inlineStr">
        <is>
          <t>D5潜突</t>
        </is>
      </c>
      <c r="L171" s="5" t="inlineStr">
        <is>
          <t>D6连板</t>
        </is>
      </c>
      <c r="M171" s="5" t="inlineStr">
        <is>
          <t>D7一字</t>
        </is>
      </c>
      <c r="N171" s="5" t="inlineStr">
        <is>
          <t>D8活跃</t>
        </is>
      </c>
      <c r="O171" s="5" t="inlineStr">
        <is>
          <t>大成交额加分</t>
        </is>
      </c>
      <c r="P171" s="5" t="inlineStr">
        <is>
          <t>得分明细</t>
        </is>
      </c>
    </row>
    <row r="172">
      <c r="A172" t="n">
        <v>6</v>
      </c>
      <c r="B172" t="inlineStr">
        <is>
          <t>000725</t>
        </is>
      </c>
      <c r="C172" t="inlineStr">
        <is>
          <t>京东方Ａ</t>
        </is>
      </c>
      <c r="D172" t="n">
        <v>11</v>
      </c>
      <c r="E172" t="n">
        <v>10</v>
      </c>
      <c r="F172" t="n">
        <v>0.19</v>
      </c>
      <c r="G172" t="n">
        <v>0</v>
      </c>
      <c r="H172" t="n">
        <v>0</v>
      </c>
      <c r="I172" t="n">
        <v>5</v>
      </c>
      <c r="J172" t="n">
        <v>3</v>
      </c>
      <c r="K172" t="n">
        <v>0</v>
      </c>
      <c r="L172" t="n">
        <v>0</v>
      </c>
      <c r="M172" t="n">
        <v>0</v>
      </c>
      <c r="N172" t="n">
        <v>3</v>
      </c>
      <c r="O172" t="n">
        <v>0</v>
      </c>
      <c r="P172" t="inlineStr">
        <is>
          <t>D1新高=0,D2强势=0,D3突破=5,D4首板=3,D5潜突=0,D6连板=0,D7一字=0,D8活跃=3,bonus=0</t>
        </is>
      </c>
    </row>
    <row r="173">
      <c r="A173" t="n">
        <v>7</v>
      </c>
      <c r="B173" t="inlineStr">
        <is>
          <t>300456</t>
        </is>
      </c>
      <c r="C173" t="inlineStr">
        <is>
          <t>赛微电子</t>
        </is>
      </c>
      <c r="D173" t="n">
        <v>5</v>
      </c>
      <c r="E173" t="n">
        <v>4.1</v>
      </c>
      <c r="F173" t="n">
        <v>0</v>
      </c>
      <c r="G173" t="n">
        <v>0</v>
      </c>
      <c r="H173" t="n">
        <v>0</v>
      </c>
      <c r="I173" t="n">
        <v>5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D1新高=0,D2强势=0,D3突破=5,D4首板=0,D5潜突=0,D6连板=0,D7一字=0,D8活跃=0,bonus=0</t>
        </is>
      </c>
    </row>
    <row r="174">
      <c r="A174" t="n">
        <v>8</v>
      </c>
      <c r="B174" t="inlineStr">
        <is>
          <t>002962</t>
        </is>
      </c>
      <c r="C174" t="inlineStr">
        <is>
          <t>五方光电</t>
        </is>
      </c>
      <c r="D174" t="n">
        <v>0</v>
      </c>
      <c r="E174" t="n">
        <v>3.53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D1新高=0,D2强势=0,D3突破=0,D4首板=0,D5潜突=0,D6连板=0,D7一字=0,D8活跃=0,bonus=0</t>
        </is>
      </c>
    </row>
    <row r="175"/>
    <row r="176">
      <c r="A176" s="4" t="inlineStr">
        <is>
          <t>--- 细分: 基板 ---</t>
        </is>
      </c>
    </row>
    <row r="177">
      <c r="A177" s="5" t="inlineStr">
        <is>
          <t>排名</t>
        </is>
      </c>
      <c r="B177" s="5" t="inlineStr">
        <is>
          <t>代码</t>
        </is>
      </c>
      <c r="C177" s="5" t="inlineStr">
        <is>
          <t>名称</t>
        </is>
      </c>
      <c r="D177" s="5" t="inlineStr">
        <is>
          <t>得分</t>
        </is>
      </c>
      <c r="E177" s="5" t="inlineStr">
        <is>
          <t>涨跌幅%</t>
        </is>
      </c>
      <c r="F177" s="5" t="inlineStr">
        <is>
          <t>成交额(亿)</t>
        </is>
      </c>
      <c r="G177" s="5" t="inlineStr">
        <is>
          <t>D1新高</t>
        </is>
      </c>
      <c r="H177" s="5" t="inlineStr">
        <is>
          <t>D2强势</t>
        </is>
      </c>
      <c r="I177" s="5" t="inlineStr">
        <is>
          <t>D3突破</t>
        </is>
      </c>
      <c r="J177" s="5" t="inlineStr">
        <is>
          <t>D4首板</t>
        </is>
      </c>
      <c r="K177" s="5" t="inlineStr">
        <is>
          <t>D5潜突</t>
        </is>
      </c>
      <c r="L177" s="5" t="inlineStr">
        <is>
          <t>D6连板</t>
        </is>
      </c>
      <c r="M177" s="5" t="inlineStr">
        <is>
          <t>D7一字</t>
        </is>
      </c>
      <c r="N177" s="5" t="inlineStr">
        <is>
          <t>D8活跃</t>
        </is>
      </c>
      <c r="O177" s="5" t="inlineStr">
        <is>
          <t>大成交额加分</t>
        </is>
      </c>
      <c r="P177" s="5" t="inlineStr">
        <is>
          <t>得分明细</t>
        </is>
      </c>
    </row>
    <row r="178">
      <c r="A178" t="n">
        <v>1</v>
      </c>
      <c r="B178" t="inlineStr">
        <is>
          <t>603186</t>
        </is>
      </c>
      <c r="C178" t="inlineStr">
        <is>
          <t>华正新材</t>
        </is>
      </c>
      <c r="D178" t="n">
        <v>30</v>
      </c>
      <c r="E178" t="n">
        <v>10</v>
      </c>
      <c r="F178" t="n">
        <v>0</v>
      </c>
      <c r="G178" t="n">
        <v>8</v>
      </c>
      <c r="H178" t="n">
        <v>6</v>
      </c>
      <c r="I178" t="n">
        <v>5</v>
      </c>
      <c r="J178" t="n">
        <v>3</v>
      </c>
      <c r="K178" t="n">
        <v>0</v>
      </c>
      <c r="L178" t="n">
        <v>5</v>
      </c>
      <c r="M178" t="n">
        <v>0</v>
      </c>
      <c r="N178" t="n">
        <v>3</v>
      </c>
      <c r="O178" t="n">
        <v>0</v>
      </c>
      <c r="P178" t="inlineStr">
        <is>
          <t>D1新高=8,D2强势=6,D3突破=5,D4首板=3,D5潜突=0,D6连板=5,D7一字=0,D8活跃=3,bonus=0</t>
        </is>
      </c>
    </row>
    <row r="179">
      <c r="A179" t="n">
        <v>2</v>
      </c>
      <c r="B179" t="inlineStr">
        <is>
          <t>688519</t>
        </is>
      </c>
      <c r="C179" t="inlineStr">
        <is>
          <t>南亚新材</t>
        </is>
      </c>
      <c r="D179" t="n">
        <v>25</v>
      </c>
      <c r="E179" t="n">
        <v>10.82</v>
      </c>
      <c r="F179" t="n">
        <v>0.08</v>
      </c>
      <c r="G179" t="n">
        <v>8</v>
      </c>
      <c r="H179" t="n">
        <v>6</v>
      </c>
      <c r="I179" t="n">
        <v>5</v>
      </c>
      <c r="J179" t="n">
        <v>3</v>
      </c>
      <c r="K179" t="n">
        <v>0</v>
      </c>
      <c r="L179" t="n">
        <v>0</v>
      </c>
      <c r="M179" t="n">
        <v>0</v>
      </c>
      <c r="N179" t="n">
        <v>3</v>
      </c>
      <c r="O179" t="n">
        <v>0</v>
      </c>
      <c r="P179" t="inlineStr">
        <is>
          <t>D1新高=8,D2强势=6,D3突破=5,D4首板=3,D5潜突=0,D6连板=0,D7一字=0,D8活跃=3,bonus=0</t>
        </is>
      </c>
    </row>
    <row r="180">
      <c r="A180" t="n">
        <v>3</v>
      </c>
      <c r="B180" t="inlineStr">
        <is>
          <t>603936</t>
        </is>
      </c>
      <c r="C180" t="inlineStr">
        <is>
          <t>博敏电子</t>
        </is>
      </c>
      <c r="D180" t="n">
        <v>22</v>
      </c>
      <c r="E180" t="n">
        <v>5.48</v>
      </c>
      <c r="F180" t="n">
        <v>0.01</v>
      </c>
      <c r="G180" t="n">
        <v>8</v>
      </c>
      <c r="H180" t="n">
        <v>6</v>
      </c>
      <c r="I180" t="n">
        <v>5</v>
      </c>
      <c r="J180" t="n">
        <v>0</v>
      </c>
      <c r="K180" t="n">
        <v>0</v>
      </c>
      <c r="L180" t="n">
        <v>0</v>
      </c>
      <c r="M180" t="n">
        <v>0</v>
      </c>
      <c r="N180" t="n">
        <v>3</v>
      </c>
      <c r="O180" t="n">
        <v>0</v>
      </c>
      <c r="P180" t="inlineStr">
        <is>
          <t>D1新高=8,D2强势=6,D3突破=5,D4首板=0,D5潜突=0,D6连板=0,D7一字=0,D8活跃=3,bonus=0</t>
        </is>
      </c>
    </row>
    <row r="181">
      <c r="A181" t="n">
        <v>5</v>
      </c>
      <c r="B181" t="inlineStr">
        <is>
          <t>600183</t>
        </is>
      </c>
      <c r="C181" t="inlineStr">
        <is>
          <t>生益科技</t>
        </is>
      </c>
      <c r="D181" t="n">
        <v>17</v>
      </c>
      <c r="E181" t="n">
        <v>0.42</v>
      </c>
      <c r="F181" t="n">
        <v>0.01</v>
      </c>
      <c r="G181" t="n">
        <v>8</v>
      </c>
      <c r="H181" t="n">
        <v>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3</v>
      </c>
      <c r="O181" t="n">
        <v>0</v>
      </c>
      <c r="P181" t="inlineStr">
        <is>
          <t>D1新高=8,D2强势=6,D3突破=0,D4首板=0,D5潜突=0,D6连板=0,D7一字=0,D8活跃=3,bonus=0</t>
        </is>
      </c>
    </row>
    <row r="182">
      <c r="A182" t="n">
        <v>6</v>
      </c>
      <c r="B182" t="inlineStr">
        <is>
          <t>002384</t>
        </is>
      </c>
      <c r="C182" t="inlineStr">
        <is>
          <t>东山精密</t>
        </is>
      </c>
      <c r="D182" t="n">
        <v>17</v>
      </c>
      <c r="E182" t="n">
        <v>3.16</v>
      </c>
      <c r="F182" t="n">
        <v>0.01</v>
      </c>
      <c r="G182" t="n">
        <v>8</v>
      </c>
      <c r="H182" t="n">
        <v>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inlineStr">
        <is>
          <t>D1新高=8,D2强势=6,D3突破=0,D4首板=0,D5潜突=0,D6连板=0,D7一字=0,D8活跃=3,bonus=0</t>
        </is>
      </c>
    </row>
    <row r="183">
      <c r="A183" t="n">
        <v>7</v>
      </c>
      <c r="B183" t="inlineStr">
        <is>
          <t>002916</t>
        </is>
      </c>
      <c r="C183" t="inlineStr">
        <is>
          <t>深南电路</t>
        </is>
      </c>
      <c r="D183" t="n">
        <v>16</v>
      </c>
      <c r="E183" t="n">
        <v>10</v>
      </c>
      <c r="F183" t="n">
        <v>0</v>
      </c>
      <c r="G183" t="n">
        <v>8</v>
      </c>
      <c r="H183" t="n">
        <v>0</v>
      </c>
      <c r="I183" t="n">
        <v>5</v>
      </c>
      <c r="J183" t="n">
        <v>3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D1新高=8,D2强势=0,D3突破=5,D4首板=3,D5潜突=0,D6连板=0,D7一字=0,D8活跃=0,bonus=0</t>
        </is>
      </c>
    </row>
    <row r="184">
      <c r="A184" t="n">
        <v>8</v>
      </c>
      <c r="B184" t="inlineStr">
        <is>
          <t>002463</t>
        </is>
      </c>
      <c r="C184" t="inlineStr">
        <is>
          <t>沪电股份</t>
        </is>
      </c>
      <c r="D184" t="n">
        <v>13</v>
      </c>
      <c r="E184" t="n">
        <v>4.2</v>
      </c>
      <c r="F184" t="n">
        <v>0.01</v>
      </c>
      <c r="G184" t="n">
        <v>8</v>
      </c>
      <c r="H184" t="n">
        <v>0</v>
      </c>
      <c r="I184" t="n">
        <v>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D1新高=8,D2强势=0,D3突破=5,D4首板=0,D5潜突=0,D6连板=0,D7一字=0,D8活跃=0,bonus=0</t>
        </is>
      </c>
    </row>
    <row r="185">
      <c r="A185" t="n">
        <v>9</v>
      </c>
      <c r="B185" t="inlineStr">
        <is>
          <t>002938</t>
        </is>
      </c>
      <c r="C185" t="inlineStr">
        <is>
          <t>鹏鼎控股</t>
        </is>
      </c>
      <c r="D185" t="n">
        <v>8</v>
      </c>
      <c r="E185" t="n">
        <v>10</v>
      </c>
      <c r="F185" t="n">
        <v>0.01</v>
      </c>
      <c r="G185" t="n">
        <v>0</v>
      </c>
      <c r="H185" t="n">
        <v>0</v>
      </c>
      <c r="I185" t="n">
        <v>5</v>
      </c>
      <c r="J185" t="n">
        <v>3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inlineStr">
        <is>
          <t>D1新高=0,D2强势=0,D3突破=5,D4首板=3,D5潜突=0,D6连板=0,D7一字=0,D8活跃=0,bonus=0</t>
        </is>
      </c>
    </row>
    <row r="186">
      <c r="A186" t="n">
        <v>10</v>
      </c>
      <c r="B186" t="inlineStr">
        <is>
          <t>002636</t>
        </is>
      </c>
      <c r="C186" t="inlineStr">
        <is>
          <t>金安国纪</t>
        </is>
      </c>
      <c r="D186" t="n">
        <v>3</v>
      </c>
      <c r="E186" t="n">
        <v>-5.7</v>
      </c>
      <c r="F186" t="n">
        <v>0.01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3</v>
      </c>
      <c r="O186" t="n">
        <v>0</v>
      </c>
      <c r="P186" t="inlineStr">
        <is>
          <t>D1新高=0,D2强势=0,D3突破=0,D4首板=0,D5潜突=0,D6连板=0,D7一字=0,D8活跃=3,bonus=0</t>
        </is>
      </c>
    </row>
    <row r="187">
      <c r="A187" t="n">
        <v>11</v>
      </c>
      <c r="B187" t="inlineStr">
        <is>
          <t>603228</t>
        </is>
      </c>
      <c r="C187" t="inlineStr">
        <is>
          <t>景旺电子</t>
        </is>
      </c>
      <c r="D187" t="n">
        <v>0</v>
      </c>
      <c r="E187" t="n">
        <v>3.34</v>
      </c>
      <c r="F187" t="n">
        <v>0.01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D1新高=0,D2强势=0,D3突破=0,D4首板=0,D5潜突=0,D6连板=0,D7一字=0,D8活跃=0,bonus=0</t>
        </is>
      </c>
    </row>
    <row r="188">
      <c r="A188" t="n">
        <v>12</v>
      </c>
      <c r="B188" t="inlineStr">
        <is>
          <t>300476</t>
        </is>
      </c>
      <c r="C188" t="inlineStr">
        <is>
          <t>胜宏科技</t>
        </is>
      </c>
      <c r="D188" t="n">
        <v>0</v>
      </c>
      <c r="E188" t="n">
        <v>1.75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inlineStr">
        <is>
          <t>D1新高=0,D2强势=0,D3突破=0,D4首板=0,D5潜突=0,D6连板=0,D7一字=0,D8活跃=0,bonus=0</t>
        </is>
      </c>
    </row>
    <row r="189"/>
    <row r="190">
      <c r="A190" s="4" t="inlineStr">
        <is>
          <t>--- 细分: 玻璃基板封装设备 ---</t>
        </is>
      </c>
    </row>
    <row r="191">
      <c r="A191" s="5" t="inlineStr">
        <is>
          <t>排名</t>
        </is>
      </c>
      <c r="B191" s="5" t="inlineStr">
        <is>
          <t>代码</t>
        </is>
      </c>
      <c r="C191" s="5" t="inlineStr">
        <is>
          <t>名称</t>
        </is>
      </c>
      <c r="D191" s="5" t="inlineStr">
        <is>
          <t>得分</t>
        </is>
      </c>
      <c r="E191" s="5" t="inlineStr">
        <is>
          <t>涨跌幅%</t>
        </is>
      </c>
      <c r="F191" s="5" t="inlineStr">
        <is>
          <t>成交额(亿)</t>
        </is>
      </c>
      <c r="G191" s="5" t="inlineStr">
        <is>
          <t>D1新高</t>
        </is>
      </c>
      <c r="H191" s="5" t="inlineStr">
        <is>
          <t>D2强势</t>
        </is>
      </c>
      <c r="I191" s="5" t="inlineStr">
        <is>
          <t>D3突破</t>
        </is>
      </c>
      <c r="J191" s="5" t="inlineStr">
        <is>
          <t>D4首板</t>
        </is>
      </c>
      <c r="K191" s="5" t="inlineStr">
        <is>
          <t>D5潜突</t>
        </is>
      </c>
      <c r="L191" s="5" t="inlineStr">
        <is>
          <t>D6连板</t>
        </is>
      </c>
      <c r="M191" s="5" t="inlineStr">
        <is>
          <t>D7一字</t>
        </is>
      </c>
      <c r="N191" s="5" t="inlineStr">
        <is>
          <t>D8活跃</t>
        </is>
      </c>
      <c r="O191" s="5" t="inlineStr">
        <is>
          <t>大成交额加分</t>
        </is>
      </c>
      <c r="P191" s="5" t="inlineStr">
        <is>
          <t>得分明细</t>
        </is>
      </c>
    </row>
    <row r="192">
      <c r="A192" t="n">
        <v>1</v>
      </c>
      <c r="B192" t="inlineStr">
        <is>
          <t>688383</t>
        </is>
      </c>
      <c r="C192" t="inlineStr">
        <is>
          <t>新益昌</t>
        </is>
      </c>
      <c r="D192" t="n">
        <v>14</v>
      </c>
      <c r="E192" t="n">
        <v>3.95</v>
      </c>
      <c r="F192" t="n">
        <v>0.02</v>
      </c>
      <c r="G192" t="n">
        <v>8</v>
      </c>
      <c r="H192" t="n">
        <v>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inlineStr">
        <is>
          <t>D1新高=8,D2强势=6,D3突破=0,D4首板=0,D5潜突=0,D6连板=0,D7一字=0,D8活跃=0,bonus=0</t>
        </is>
      </c>
    </row>
    <row r="193"/>
    <row r="194">
      <c r="A194" s="4" t="inlineStr">
        <is>
          <t>--- 细分: Meta ---</t>
        </is>
      </c>
    </row>
    <row r="195">
      <c r="A195" s="5" t="inlineStr">
        <is>
          <t>排名</t>
        </is>
      </c>
      <c r="B195" s="5" t="inlineStr">
        <is>
          <t>代码</t>
        </is>
      </c>
      <c r="C195" s="5" t="inlineStr">
        <is>
          <t>名称</t>
        </is>
      </c>
      <c r="D195" s="5" t="inlineStr">
        <is>
          <t>得分</t>
        </is>
      </c>
      <c r="E195" s="5" t="inlineStr">
        <is>
          <t>涨跌幅%</t>
        </is>
      </c>
      <c r="F195" s="5" t="inlineStr">
        <is>
          <t>成交额(亿)</t>
        </is>
      </c>
      <c r="G195" s="5" t="inlineStr">
        <is>
          <t>D1新高</t>
        </is>
      </c>
      <c r="H195" s="5" t="inlineStr">
        <is>
          <t>D2强势</t>
        </is>
      </c>
      <c r="I195" s="5" t="inlineStr">
        <is>
          <t>D3突破</t>
        </is>
      </c>
      <c r="J195" s="5" t="inlineStr">
        <is>
          <t>D4首板</t>
        </is>
      </c>
      <c r="K195" s="5" t="inlineStr">
        <is>
          <t>D5潜突</t>
        </is>
      </c>
      <c r="L195" s="5" t="inlineStr">
        <is>
          <t>D6连板</t>
        </is>
      </c>
      <c r="M195" s="5" t="inlineStr">
        <is>
          <t>D7一字</t>
        </is>
      </c>
      <c r="N195" s="5" t="inlineStr">
        <is>
          <t>D8活跃</t>
        </is>
      </c>
      <c r="O195" s="5" t="inlineStr">
        <is>
          <t>大成交额加分</t>
        </is>
      </c>
      <c r="P195" s="5" t="inlineStr">
        <is>
          <t>得分明细</t>
        </is>
      </c>
    </row>
    <row r="196">
      <c r="A196" t="n">
        <v>2</v>
      </c>
      <c r="B196" t="inlineStr">
        <is>
          <t>001389</t>
        </is>
      </c>
      <c r="C196" t="inlineStr">
        <is>
          <t>广合科技</t>
        </is>
      </c>
      <c r="D196" t="n">
        <v>13</v>
      </c>
      <c r="E196" t="n">
        <v>5.57</v>
      </c>
      <c r="F196" t="n">
        <v>0</v>
      </c>
      <c r="G196" t="n">
        <v>8</v>
      </c>
      <c r="H196" t="n">
        <v>0</v>
      </c>
      <c r="I196" t="n">
        <v>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D1新高=8,D2强势=0,D3突破=5,D4首板=0,D5潜突=0,D6连板=0,D7一字=0,D8活跃=0,bonus=0</t>
        </is>
      </c>
    </row>
    <row r="197"/>
    <row r="198">
      <c r="A198" s="4" t="inlineStr">
        <is>
          <t>--- 细分: 封装基板 ---</t>
        </is>
      </c>
    </row>
    <row r="199">
      <c r="A199" s="5" t="inlineStr">
        <is>
          <t>排名</t>
        </is>
      </c>
      <c r="B199" s="5" t="inlineStr">
        <is>
          <t>代码</t>
        </is>
      </c>
      <c r="C199" s="5" t="inlineStr">
        <is>
          <t>名称</t>
        </is>
      </c>
      <c r="D199" s="5" t="inlineStr">
        <is>
          <t>得分</t>
        </is>
      </c>
      <c r="E199" s="5" t="inlineStr">
        <is>
          <t>涨跌幅%</t>
        </is>
      </c>
      <c r="F199" s="5" t="inlineStr">
        <is>
          <t>成交额(亿)</t>
        </is>
      </c>
      <c r="G199" s="5" t="inlineStr">
        <is>
          <t>D1新高</t>
        </is>
      </c>
      <c r="H199" s="5" t="inlineStr">
        <is>
          <t>D2强势</t>
        </is>
      </c>
      <c r="I199" s="5" t="inlineStr">
        <is>
          <t>D3突破</t>
        </is>
      </c>
      <c r="J199" s="5" t="inlineStr">
        <is>
          <t>D4首板</t>
        </is>
      </c>
      <c r="K199" s="5" t="inlineStr">
        <is>
          <t>D5潜突</t>
        </is>
      </c>
      <c r="L199" s="5" t="inlineStr">
        <is>
          <t>D6连板</t>
        </is>
      </c>
      <c r="M199" s="5" t="inlineStr">
        <is>
          <t>D7一字</t>
        </is>
      </c>
      <c r="N199" s="5" t="inlineStr">
        <is>
          <t>D8活跃</t>
        </is>
      </c>
      <c r="O199" s="5" t="inlineStr">
        <is>
          <t>大成交额加分</t>
        </is>
      </c>
      <c r="P199" s="5" t="inlineStr">
        <is>
          <t>得分明细</t>
        </is>
      </c>
    </row>
    <row r="200">
      <c r="A200" t="n">
        <v>4</v>
      </c>
      <c r="B200" t="inlineStr">
        <is>
          <t>002156</t>
        </is>
      </c>
      <c r="C200" t="inlineStr">
        <is>
          <t>通富微电</t>
        </is>
      </c>
      <c r="D200" t="n">
        <v>5</v>
      </c>
      <c r="E200" t="n">
        <v>6.82</v>
      </c>
      <c r="F200" t="n">
        <v>0.02</v>
      </c>
      <c r="G200" t="n">
        <v>0</v>
      </c>
      <c r="H200" t="n">
        <v>0</v>
      </c>
      <c r="I200" t="n">
        <v>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D1新高=0,D2强势=0,D3突破=5,D4首板=0,D5潜突=0,D6连板=0,D7一字=0,D8活跃=0,bonus=0</t>
        </is>
      </c>
    </row>
    <row r="201">
      <c r="A201" t="n">
        <v>5</v>
      </c>
      <c r="B201" t="inlineStr">
        <is>
          <t>003031</t>
        </is>
      </c>
      <c r="C201" t="inlineStr">
        <is>
          <t>中瓷电子</t>
        </is>
      </c>
      <c r="D201" t="n">
        <v>0</v>
      </c>
      <c r="E201" t="n">
        <v>-0.47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D1新高=0,D2强势=0,D3突破=0,D4首板=0,D5潜突=0,D6连板=0,D7一字=0,D8活跃=0,bonus=0</t>
        </is>
      </c>
    </row>
    <row r="202"/>
    <row r="203">
      <c r="A203" s="4" t="inlineStr">
        <is>
          <t>--- 细分: 测试设备 ---</t>
        </is>
      </c>
    </row>
    <row r="204">
      <c r="A204" s="5" t="inlineStr">
        <is>
          <t>排名</t>
        </is>
      </c>
      <c r="B204" s="5" t="inlineStr">
        <is>
          <t>代码</t>
        </is>
      </c>
      <c r="C204" s="5" t="inlineStr">
        <is>
          <t>名称</t>
        </is>
      </c>
      <c r="D204" s="5" t="inlineStr">
        <is>
          <t>得分</t>
        </is>
      </c>
      <c r="E204" s="5" t="inlineStr">
        <is>
          <t>涨跌幅%</t>
        </is>
      </c>
      <c r="F204" s="5" t="inlineStr">
        <is>
          <t>成交额(亿)</t>
        </is>
      </c>
      <c r="G204" s="5" t="inlineStr">
        <is>
          <t>D1新高</t>
        </is>
      </c>
      <c r="H204" s="5" t="inlineStr">
        <is>
          <t>D2强势</t>
        </is>
      </c>
      <c r="I204" s="5" t="inlineStr">
        <is>
          <t>D3突破</t>
        </is>
      </c>
      <c r="J204" s="5" t="inlineStr">
        <is>
          <t>D4首板</t>
        </is>
      </c>
      <c r="K204" s="5" t="inlineStr">
        <is>
          <t>D5潜突</t>
        </is>
      </c>
      <c r="L204" s="5" t="inlineStr">
        <is>
          <t>D6连板</t>
        </is>
      </c>
      <c r="M204" s="5" t="inlineStr">
        <is>
          <t>D7一字</t>
        </is>
      </c>
      <c r="N204" s="5" t="inlineStr">
        <is>
          <t>D8活跃</t>
        </is>
      </c>
      <c r="O204" s="5" t="inlineStr">
        <is>
          <t>大成交额加分</t>
        </is>
      </c>
      <c r="P204" s="5" t="inlineStr">
        <is>
          <t>得分明细</t>
        </is>
      </c>
    </row>
    <row r="205">
      <c r="A205" t="n">
        <v>1</v>
      </c>
      <c r="B205" t="inlineStr">
        <is>
          <t>300604</t>
        </is>
      </c>
      <c r="C205" t="inlineStr">
        <is>
          <t>长川科技</t>
        </is>
      </c>
      <c r="D205" t="n">
        <v>16</v>
      </c>
      <c r="E205" t="n">
        <v>9.82</v>
      </c>
      <c r="F205" t="n">
        <v>0</v>
      </c>
      <c r="G205" t="n">
        <v>8</v>
      </c>
      <c r="H205" t="n">
        <v>0</v>
      </c>
      <c r="I205" t="n">
        <v>5</v>
      </c>
      <c r="J205" t="n">
        <v>3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inlineStr">
        <is>
          <t>D1新高=8,D2强势=0,D3突破=5,D4首板=3,D5潜突=0,D6连板=0,D7一字=0,D8活跃=0,bonus=0</t>
        </is>
      </c>
    </row>
    <row r="206">
      <c r="A206" t="n">
        <v>2</v>
      </c>
      <c r="B206" t="inlineStr">
        <is>
          <t>301369</t>
        </is>
      </c>
      <c r="C206" t="inlineStr">
        <is>
          <t>联动科技</t>
        </is>
      </c>
      <c r="D206" t="n">
        <v>13</v>
      </c>
      <c r="E206" t="n">
        <v>7.44</v>
      </c>
      <c r="F206" t="n">
        <v>0</v>
      </c>
      <c r="G206" t="n">
        <v>8</v>
      </c>
      <c r="H206" t="n">
        <v>0</v>
      </c>
      <c r="I206" t="n">
        <v>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inlineStr">
        <is>
          <t>D1新高=8,D2强势=0,D3突破=5,D4首板=0,D5潜突=0,D6连板=0,D7一字=0,D8活跃=0,bonus=0</t>
        </is>
      </c>
    </row>
    <row r="207">
      <c r="A207" t="n">
        <v>3</v>
      </c>
      <c r="B207" t="inlineStr">
        <is>
          <t>688200</t>
        </is>
      </c>
      <c r="C207" t="inlineStr">
        <is>
          <t>华峰测控</t>
        </is>
      </c>
      <c r="D207" t="n">
        <v>11</v>
      </c>
      <c r="E207" t="n">
        <v>14.77</v>
      </c>
      <c r="F207" t="n">
        <v>0.09</v>
      </c>
      <c r="G207" t="n">
        <v>0</v>
      </c>
      <c r="H207" t="n">
        <v>0</v>
      </c>
      <c r="I207" t="n">
        <v>5</v>
      </c>
      <c r="J207" t="n">
        <v>3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inlineStr">
        <is>
          <t>D1新高=0,D2强势=0,D3突破=5,D4首板=3,D5潜突=0,D6连板=0,D7一字=0,D8活跃=3,bonus=0</t>
        </is>
      </c>
    </row>
    <row r="208"/>
    <row r="209">
      <c r="A209" s="4" t="inlineStr">
        <is>
          <t>--- 细分: 其他 ---</t>
        </is>
      </c>
    </row>
    <row r="210">
      <c r="A210" s="5" t="inlineStr">
        <is>
          <t>排名</t>
        </is>
      </c>
      <c r="B210" s="5" t="inlineStr">
        <is>
          <t>代码</t>
        </is>
      </c>
      <c r="C210" s="5" t="inlineStr">
        <is>
          <t>名称</t>
        </is>
      </c>
      <c r="D210" s="5" t="inlineStr">
        <is>
          <t>得分</t>
        </is>
      </c>
      <c r="E210" s="5" t="inlineStr">
        <is>
          <t>涨跌幅%</t>
        </is>
      </c>
      <c r="F210" s="5" t="inlineStr">
        <is>
          <t>成交额(亿)</t>
        </is>
      </c>
      <c r="G210" s="5" t="inlineStr">
        <is>
          <t>D1新高</t>
        </is>
      </c>
      <c r="H210" s="5" t="inlineStr">
        <is>
          <t>D2强势</t>
        </is>
      </c>
      <c r="I210" s="5" t="inlineStr">
        <is>
          <t>D3突破</t>
        </is>
      </c>
      <c r="J210" s="5" t="inlineStr">
        <is>
          <t>D4首板</t>
        </is>
      </c>
      <c r="K210" s="5" t="inlineStr">
        <is>
          <t>D5潜突</t>
        </is>
      </c>
      <c r="L210" s="5" t="inlineStr">
        <is>
          <t>D6连板</t>
        </is>
      </c>
      <c r="M210" s="5" t="inlineStr">
        <is>
          <t>D7一字</t>
        </is>
      </c>
      <c r="N210" s="5" t="inlineStr">
        <is>
          <t>D8活跃</t>
        </is>
      </c>
      <c r="O210" s="5" t="inlineStr">
        <is>
          <t>大成交额加分</t>
        </is>
      </c>
      <c r="P210" s="5" t="inlineStr">
        <is>
          <t>得分明细</t>
        </is>
      </c>
    </row>
    <row r="211">
      <c r="A211" t="n">
        <v>3</v>
      </c>
      <c r="B211" t="inlineStr">
        <is>
          <t>688603</t>
        </is>
      </c>
      <c r="C211" t="inlineStr">
        <is>
          <t>天承科技</t>
        </is>
      </c>
      <c r="D211" t="n">
        <v>11</v>
      </c>
      <c r="E211" t="n">
        <v>0.44</v>
      </c>
      <c r="F211" t="n">
        <v>0.11</v>
      </c>
      <c r="G211" t="n">
        <v>8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3</v>
      </c>
      <c r="O211" t="n">
        <v>0</v>
      </c>
      <c r="P211" t="inlineStr">
        <is>
          <t>D1新高=8,D2强势=0,D3突破=0,D4首板=0,D5潜突=0,D6连板=0,D7一字=0,D8活跃=3,bonus=0</t>
        </is>
      </c>
    </row>
    <row r="212">
      <c r="A212" t="n">
        <v>4</v>
      </c>
      <c r="B212" t="inlineStr">
        <is>
          <t>300706</t>
        </is>
      </c>
      <c r="C212" t="inlineStr">
        <is>
          <t>阿石创</t>
        </is>
      </c>
      <c r="D212" t="n">
        <v>3</v>
      </c>
      <c r="E212" t="n">
        <v>-4.75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3</v>
      </c>
      <c r="O212" t="n">
        <v>0</v>
      </c>
      <c r="P212" t="inlineStr">
        <is>
          <t>D1新高=0,D2强势=0,D3突破=0,D4首板=0,D5潜突=0,D6连板=0,D7一字=0,D8活跃=3,bonus=0</t>
        </is>
      </c>
    </row>
    <row r="213"/>
    <row r="214">
      <c r="A214" s="4" t="inlineStr">
        <is>
          <t>--- 细分: 抛光材料 ---</t>
        </is>
      </c>
    </row>
    <row r="215">
      <c r="A215" s="5" t="inlineStr">
        <is>
          <t>排名</t>
        </is>
      </c>
      <c r="B215" s="5" t="inlineStr">
        <is>
          <t>代码</t>
        </is>
      </c>
      <c r="C215" s="5" t="inlineStr">
        <is>
          <t>名称</t>
        </is>
      </c>
      <c r="D215" s="5" t="inlineStr">
        <is>
          <t>得分</t>
        </is>
      </c>
      <c r="E215" s="5" t="inlineStr">
        <is>
          <t>涨跌幅%</t>
        </is>
      </c>
      <c r="F215" s="5" t="inlineStr">
        <is>
          <t>成交额(亿)</t>
        </is>
      </c>
      <c r="G215" s="5" t="inlineStr">
        <is>
          <t>D1新高</t>
        </is>
      </c>
      <c r="H215" s="5" t="inlineStr">
        <is>
          <t>D2强势</t>
        </is>
      </c>
      <c r="I215" s="5" t="inlineStr">
        <is>
          <t>D3突破</t>
        </is>
      </c>
      <c r="J215" s="5" t="inlineStr">
        <is>
          <t>D4首板</t>
        </is>
      </c>
      <c r="K215" s="5" t="inlineStr">
        <is>
          <t>D5潜突</t>
        </is>
      </c>
      <c r="L215" s="5" t="inlineStr">
        <is>
          <t>D6连板</t>
        </is>
      </c>
      <c r="M215" s="5" t="inlineStr">
        <is>
          <t>D7一字</t>
        </is>
      </c>
      <c r="N215" s="5" t="inlineStr">
        <is>
          <t>D8活跃</t>
        </is>
      </c>
      <c r="O215" s="5" t="inlineStr">
        <is>
          <t>大成交额加分</t>
        </is>
      </c>
      <c r="P215" s="5" t="inlineStr">
        <is>
          <t>得分明细</t>
        </is>
      </c>
    </row>
    <row r="216">
      <c r="A216" t="n">
        <v>1</v>
      </c>
      <c r="B216" t="inlineStr">
        <is>
          <t>300054</t>
        </is>
      </c>
      <c r="C216" t="inlineStr">
        <is>
          <t>鼎龙股份</t>
        </is>
      </c>
      <c r="D216" t="n">
        <v>19</v>
      </c>
      <c r="E216" t="n">
        <v>7.85</v>
      </c>
      <c r="F216" t="n">
        <v>0.01</v>
      </c>
      <c r="G216" t="n">
        <v>8</v>
      </c>
      <c r="H216" t="n">
        <v>6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D1新高=8,D2强势=6,D3突破=5,D4首板=0,D5潜突=0,D6连板=0,D7一字=0,D8活跃=0,bonus=0</t>
        </is>
      </c>
    </row>
    <row r="217">
      <c r="A217" t="n">
        <v>2</v>
      </c>
      <c r="B217" t="inlineStr">
        <is>
          <t>688019</t>
        </is>
      </c>
      <c r="C217" t="inlineStr">
        <is>
          <t>安集科技</t>
        </is>
      </c>
      <c r="D217" t="n">
        <v>5</v>
      </c>
      <c r="E217" t="n">
        <v>5.47</v>
      </c>
      <c r="F217" t="n">
        <v>0.11</v>
      </c>
      <c r="G217" t="n">
        <v>0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D1新高=0,D2强势=0,D3突破=5,D4首板=0,D5潜突=0,D6连板=0,D7一字=0,D8活跃=0,bonus=0</t>
        </is>
      </c>
    </row>
    <row r="218"/>
    <row r="219">
      <c r="A219" s="4" t="inlineStr">
        <is>
          <t>--- 细分: TGV工艺 ---</t>
        </is>
      </c>
    </row>
    <row r="220">
      <c r="A220" s="5" t="inlineStr">
        <is>
          <t>排名</t>
        </is>
      </c>
      <c r="B220" s="5" t="inlineStr">
        <is>
          <t>代码</t>
        </is>
      </c>
      <c r="C220" s="5" t="inlineStr">
        <is>
          <t>名称</t>
        </is>
      </c>
      <c r="D220" s="5" t="inlineStr">
        <is>
          <t>得分</t>
        </is>
      </c>
      <c r="E220" s="5" t="inlineStr">
        <is>
          <t>涨跌幅%</t>
        </is>
      </c>
      <c r="F220" s="5" t="inlineStr">
        <is>
          <t>成交额(亿)</t>
        </is>
      </c>
      <c r="G220" s="5" t="inlineStr">
        <is>
          <t>D1新高</t>
        </is>
      </c>
      <c r="H220" s="5" t="inlineStr">
        <is>
          <t>D2强势</t>
        </is>
      </c>
      <c r="I220" s="5" t="inlineStr">
        <is>
          <t>D3突破</t>
        </is>
      </c>
      <c r="J220" s="5" t="inlineStr">
        <is>
          <t>D4首板</t>
        </is>
      </c>
      <c r="K220" s="5" t="inlineStr">
        <is>
          <t>D5潜突</t>
        </is>
      </c>
      <c r="L220" s="5" t="inlineStr">
        <is>
          <t>D6连板</t>
        </is>
      </c>
      <c r="M220" s="5" t="inlineStr">
        <is>
          <t>D7一字</t>
        </is>
      </c>
      <c r="N220" s="5" t="inlineStr">
        <is>
          <t>D8活跃</t>
        </is>
      </c>
      <c r="O220" s="5" t="inlineStr">
        <is>
          <t>大成交额加分</t>
        </is>
      </c>
      <c r="P220" s="5" t="inlineStr">
        <is>
          <t>得分明细</t>
        </is>
      </c>
    </row>
    <row r="221">
      <c r="A221" t="n">
        <v>1</v>
      </c>
      <c r="B221" t="inlineStr">
        <is>
          <t>688079</t>
        </is>
      </c>
      <c r="C221" t="inlineStr">
        <is>
          <t>美迪凯</t>
        </is>
      </c>
      <c r="D221" t="n">
        <v>11</v>
      </c>
      <c r="E221" t="n">
        <v>19.98</v>
      </c>
      <c r="F221" t="n">
        <v>0.16</v>
      </c>
      <c r="G221" t="n">
        <v>0</v>
      </c>
      <c r="H221" t="n">
        <v>0</v>
      </c>
      <c r="I221" t="n">
        <v>5</v>
      </c>
      <c r="J221" t="n">
        <v>3</v>
      </c>
      <c r="K221" t="n">
        <v>0</v>
      </c>
      <c r="L221" t="n">
        <v>0</v>
      </c>
      <c r="M221" t="n">
        <v>0</v>
      </c>
      <c r="N221" t="n">
        <v>3</v>
      </c>
      <c r="O221" t="n">
        <v>0</v>
      </c>
      <c r="P221" t="inlineStr">
        <is>
          <t>D1新高=0,D2强势=0,D3突破=5,D4首板=3,D5潜突=0,D6连板=0,D7一字=0,D8活跃=3,bonus=0</t>
        </is>
      </c>
    </row>
    <row r="222"/>
    <row r="223">
      <c r="A223" s="4" t="inlineStr">
        <is>
          <t>--- 细分: TGV设备 ---</t>
        </is>
      </c>
    </row>
    <row r="224">
      <c r="A224" s="5" t="inlineStr">
        <is>
          <t>排名</t>
        </is>
      </c>
      <c r="B224" s="5" t="inlineStr">
        <is>
          <t>代码</t>
        </is>
      </c>
      <c r="C224" s="5" t="inlineStr">
        <is>
          <t>名称</t>
        </is>
      </c>
      <c r="D224" s="5" t="inlineStr">
        <is>
          <t>得分</t>
        </is>
      </c>
      <c r="E224" s="5" t="inlineStr">
        <is>
          <t>涨跌幅%</t>
        </is>
      </c>
      <c r="F224" s="5" t="inlineStr">
        <is>
          <t>成交额(亿)</t>
        </is>
      </c>
      <c r="G224" s="5" t="inlineStr">
        <is>
          <t>D1新高</t>
        </is>
      </c>
      <c r="H224" s="5" t="inlineStr">
        <is>
          <t>D2强势</t>
        </is>
      </c>
      <c r="I224" s="5" t="inlineStr">
        <is>
          <t>D3突破</t>
        </is>
      </c>
      <c r="J224" s="5" t="inlineStr">
        <is>
          <t>D4首板</t>
        </is>
      </c>
      <c r="K224" s="5" t="inlineStr">
        <is>
          <t>D5潜突</t>
        </is>
      </c>
      <c r="L224" s="5" t="inlineStr">
        <is>
          <t>D6连板</t>
        </is>
      </c>
      <c r="M224" s="5" t="inlineStr">
        <is>
          <t>D7一字</t>
        </is>
      </c>
      <c r="N224" s="5" t="inlineStr">
        <is>
          <t>D8活跃</t>
        </is>
      </c>
      <c r="O224" s="5" t="inlineStr">
        <is>
          <t>大成交额加分</t>
        </is>
      </c>
      <c r="P224" s="5" t="inlineStr">
        <is>
          <t>得分明细</t>
        </is>
      </c>
    </row>
    <row r="225">
      <c r="A225" t="n">
        <v>1</v>
      </c>
      <c r="B225" t="inlineStr">
        <is>
          <t>688700</t>
        </is>
      </c>
      <c r="C225" t="inlineStr">
        <is>
          <t>东威科技</t>
        </is>
      </c>
      <c r="D225" t="n">
        <v>11</v>
      </c>
      <c r="E225" t="n">
        <v>1.94</v>
      </c>
      <c r="F225" t="n">
        <v>0.16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</v>
      </c>
      <c r="O225" t="n">
        <v>0</v>
      </c>
      <c r="P225" t="inlineStr">
        <is>
          <t>D1新高=8,D2强势=0,D3突破=0,D4首板=0,D5潜突=0,D6连板=0,D7一字=0,D8活跃=3,bonus=0</t>
        </is>
      </c>
    </row>
    <row r="226"/>
    <row r="227">
      <c r="A227" s="4" t="inlineStr">
        <is>
          <t>--- 细分: 其他 ---</t>
        </is>
      </c>
    </row>
    <row r="228">
      <c r="A228" s="5" t="inlineStr">
        <is>
          <t>排名</t>
        </is>
      </c>
      <c r="B228" s="5" t="inlineStr">
        <is>
          <t>代码</t>
        </is>
      </c>
      <c r="C228" s="5" t="inlineStr">
        <is>
          <t>名称</t>
        </is>
      </c>
      <c r="D228" s="5" t="inlineStr">
        <is>
          <t>得分</t>
        </is>
      </c>
      <c r="E228" s="5" t="inlineStr">
        <is>
          <t>涨跌幅%</t>
        </is>
      </c>
      <c r="F228" s="5" t="inlineStr">
        <is>
          <t>成交额(亿)</t>
        </is>
      </c>
      <c r="G228" s="5" t="inlineStr">
        <is>
          <t>D1新高</t>
        </is>
      </c>
      <c r="H228" s="5" t="inlineStr">
        <is>
          <t>D2强势</t>
        </is>
      </c>
      <c r="I228" s="5" t="inlineStr">
        <is>
          <t>D3突破</t>
        </is>
      </c>
      <c r="J228" s="5" t="inlineStr">
        <is>
          <t>D4首板</t>
        </is>
      </c>
      <c r="K228" s="5" t="inlineStr">
        <is>
          <t>D5潜突</t>
        </is>
      </c>
      <c r="L228" s="5" t="inlineStr">
        <is>
          <t>D6连板</t>
        </is>
      </c>
      <c r="M228" s="5" t="inlineStr">
        <is>
          <t>D7一字</t>
        </is>
      </c>
      <c r="N228" s="5" t="inlineStr">
        <is>
          <t>D8活跃</t>
        </is>
      </c>
      <c r="O228" s="5" t="inlineStr">
        <is>
          <t>大成交额加分</t>
        </is>
      </c>
      <c r="P228" s="5" t="inlineStr">
        <is>
          <t>得分明细</t>
        </is>
      </c>
    </row>
    <row r="229">
      <c r="A229" t="n">
        <v>1</v>
      </c>
      <c r="B229" t="inlineStr">
        <is>
          <t>688665</t>
        </is>
      </c>
      <c r="C229" t="inlineStr">
        <is>
          <t>四方光电</t>
        </is>
      </c>
      <c r="D229" t="n">
        <v>11</v>
      </c>
      <c r="E229" t="n">
        <v>2.55</v>
      </c>
      <c r="F229" t="n">
        <v>0.02</v>
      </c>
      <c r="G229" t="n">
        <v>8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0</v>
      </c>
      <c r="P229" t="inlineStr">
        <is>
          <t>D1新高=8,D2强势=0,D3突破=0,D4首板=0,D5潜突=0,D6连板=0,D7一字=0,D8活跃=3,bonus=0</t>
        </is>
      </c>
    </row>
    <row r="230"/>
    <row r="231">
      <c r="A231" s="4" t="inlineStr">
        <is>
          <t>--- 细分: 蚀刻设备 ---</t>
        </is>
      </c>
    </row>
    <row r="232">
      <c r="A232" s="5" t="inlineStr">
        <is>
          <t>排名</t>
        </is>
      </c>
      <c r="B232" s="5" t="inlineStr">
        <is>
          <t>代码</t>
        </is>
      </c>
      <c r="C232" s="5" t="inlineStr">
        <is>
          <t>名称</t>
        </is>
      </c>
      <c r="D232" s="5" t="inlineStr">
        <is>
          <t>得分</t>
        </is>
      </c>
      <c r="E232" s="5" t="inlineStr">
        <is>
          <t>涨跌幅%</t>
        </is>
      </c>
      <c r="F232" s="5" t="inlineStr">
        <is>
          <t>成交额(亿)</t>
        </is>
      </c>
      <c r="G232" s="5" t="inlineStr">
        <is>
          <t>D1新高</t>
        </is>
      </c>
      <c r="H232" s="5" t="inlineStr">
        <is>
          <t>D2强势</t>
        </is>
      </c>
      <c r="I232" s="5" t="inlineStr">
        <is>
          <t>D3突破</t>
        </is>
      </c>
      <c r="J232" s="5" t="inlineStr">
        <is>
          <t>D4首板</t>
        </is>
      </c>
      <c r="K232" s="5" t="inlineStr">
        <is>
          <t>D5潜突</t>
        </is>
      </c>
      <c r="L232" s="5" t="inlineStr">
        <is>
          <t>D6连板</t>
        </is>
      </c>
      <c r="M232" s="5" t="inlineStr">
        <is>
          <t>D7一字</t>
        </is>
      </c>
      <c r="N232" s="5" t="inlineStr">
        <is>
          <t>D8活跃</t>
        </is>
      </c>
      <c r="O232" s="5" t="inlineStr">
        <is>
          <t>大成交额加分</t>
        </is>
      </c>
      <c r="P232" s="5" t="inlineStr">
        <is>
          <t>得分明细</t>
        </is>
      </c>
    </row>
    <row r="233">
      <c r="A233" t="n">
        <v>1</v>
      </c>
      <c r="B233" t="inlineStr">
        <is>
          <t>688233</t>
        </is>
      </c>
      <c r="C233" t="inlineStr">
        <is>
          <t>神工股份</t>
        </is>
      </c>
      <c r="D233" t="n">
        <v>22</v>
      </c>
      <c r="E233" t="n">
        <v>9.710000000000001</v>
      </c>
      <c r="F233" t="n">
        <v>0.16</v>
      </c>
      <c r="G233" t="n">
        <v>8</v>
      </c>
      <c r="H233" t="n">
        <v>6</v>
      </c>
      <c r="I233" t="n">
        <v>5</v>
      </c>
      <c r="J233" t="n">
        <v>0</v>
      </c>
      <c r="K233" t="n">
        <v>0</v>
      </c>
      <c r="L233" t="n">
        <v>0</v>
      </c>
      <c r="M233" t="n">
        <v>0</v>
      </c>
      <c r="N233" t="n">
        <v>3</v>
      </c>
      <c r="O233" t="n">
        <v>0</v>
      </c>
      <c r="P233" t="inlineStr">
        <is>
          <t>D1新高=8,D2强势=6,D3突破=5,D4首板=0,D5潜突=0,D6连板=0,D7一字=0,D8活跃=3,bonus=0</t>
        </is>
      </c>
    </row>
    <row r="234">
      <c r="A234" t="n">
        <v>2</v>
      </c>
      <c r="B234" t="inlineStr">
        <is>
          <t>688605</t>
        </is>
      </c>
      <c r="C234" t="inlineStr">
        <is>
          <t>先锋精科</t>
        </is>
      </c>
      <c r="D234" t="n">
        <v>8</v>
      </c>
      <c r="E234" t="n">
        <v>4.47</v>
      </c>
      <c r="F234" t="n">
        <v>0.08</v>
      </c>
      <c r="G234" t="n">
        <v>0</v>
      </c>
      <c r="H234" t="n">
        <v>0</v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3</v>
      </c>
      <c r="O234" t="n">
        <v>0</v>
      </c>
      <c r="P234" t="inlineStr">
        <is>
          <t>D1新高=0,D2强势=0,D3突破=5,D4首板=0,D5潜突=0,D6连板=0,D7一字=0,D8活跃=3,bonus=0</t>
        </is>
      </c>
    </row>
    <row r="235">
      <c r="A235" t="n">
        <v>3</v>
      </c>
      <c r="B235" t="inlineStr">
        <is>
          <t>688012</t>
        </is>
      </c>
      <c r="C235" t="inlineStr">
        <is>
          <t>中微公司</t>
        </is>
      </c>
      <c r="D235" t="n">
        <v>8</v>
      </c>
      <c r="E235" t="n">
        <v>10.03</v>
      </c>
      <c r="F235" t="n">
        <v>0.31</v>
      </c>
      <c r="G235" t="n">
        <v>0</v>
      </c>
      <c r="H235" t="n">
        <v>0</v>
      </c>
      <c r="I235" t="n">
        <v>5</v>
      </c>
      <c r="J235" t="n">
        <v>3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inlineStr">
        <is>
          <t>D1新高=0,D2强势=0,D3突破=5,D4首板=3,D5潜突=0,D6连板=0,D7一字=0,D8活跃=0,bonus=0</t>
        </is>
      </c>
    </row>
    <row r="236">
      <c r="A236" t="n">
        <v>4</v>
      </c>
      <c r="B236" t="inlineStr">
        <is>
          <t>002371</t>
        </is>
      </c>
      <c r="C236" t="inlineStr">
        <is>
          <t>北方华创</t>
        </is>
      </c>
      <c r="D236" t="n">
        <v>5</v>
      </c>
      <c r="E236" t="n">
        <v>4.77</v>
      </c>
      <c r="F236" t="n">
        <v>0</v>
      </c>
      <c r="G236" t="n">
        <v>0</v>
      </c>
      <c r="H236" t="n">
        <v>0</v>
      </c>
      <c r="I236" t="n">
        <v>5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inlineStr">
        <is>
          <t>D1新高=0,D2强势=0,D3突破=5,D4首板=0,D5潜突=0,D6连板=0,D7一字=0,D8活跃=0,bonus=0</t>
        </is>
      </c>
    </row>
    <row r="237"/>
    <row r="238">
      <c r="A238" s="4" t="inlineStr">
        <is>
          <t>--- 细分: 代工 ---</t>
        </is>
      </c>
    </row>
    <row r="239">
      <c r="A239" s="5" t="inlineStr">
        <is>
          <t>排名</t>
        </is>
      </c>
      <c r="B239" s="5" t="inlineStr">
        <is>
          <t>代码</t>
        </is>
      </c>
      <c r="C239" s="5" t="inlineStr">
        <is>
          <t>名称</t>
        </is>
      </c>
      <c r="D239" s="5" t="inlineStr">
        <is>
          <t>得分</t>
        </is>
      </c>
      <c r="E239" s="5" t="inlineStr">
        <is>
          <t>涨跌幅%</t>
        </is>
      </c>
      <c r="F239" s="5" t="inlineStr">
        <is>
          <t>成交额(亿)</t>
        </is>
      </c>
      <c r="G239" s="5" t="inlineStr">
        <is>
          <t>D1新高</t>
        </is>
      </c>
      <c r="H239" s="5" t="inlineStr">
        <is>
          <t>D2强势</t>
        </is>
      </c>
      <c r="I239" s="5" t="inlineStr">
        <is>
          <t>D3突破</t>
        </is>
      </c>
      <c r="J239" s="5" t="inlineStr">
        <is>
          <t>D4首板</t>
        </is>
      </c>
      <c r="K239" s="5" t="inlineStr">
        <is>
          <t>D5潜突</t>
        </is>
      </c>
      <c r="L239" s="5" t="inlineStr">
        <is>
          <t>D6连板</t>
        </is>
      </c>
      <c r="M239" s="5" t="inlineStr">
        <is>
          <t>D7一字</t>
        </is>
      </c>
      <c r="N239" s="5" t="inlineStr">
        <is>
          <t>D8活跃</t>
        </is>
      </c>
      <c r="O239" s="5" t="inlineStr">
        <is>
          <t>大成交额加分</t>
        </is>
      </c>
      <c r="P239" s="5" t="inlineStr">
        <is>
          <t>得分明细</t>
        </is>
      </c>
    </row>
    <row r="240">
      <c r="A240" t="n">
        <v>1</v>
      </c>
      <c r="B240" t="inlineStr">
        <is>
          <t>605111</t>
        </is>
      </c>
      <c r="C240" t="inlineStr">
        <is>
          <t>新洁能</t>
        </is>
      </c>
      <c r="D240" t="n">
        <v>22</v>
      </c>
      <c r="E240" t="n">
        <v>7.27</v>
      </c>
      <c r="F240" t="n">
        <v>0</v>
      </c>
      <c r="G240" t="n">
        <v>8</v>
      </c>
      <c r="H240" t="n">
        <v>6</v>
      </c>
      <c r="I240" t="n">
        <v>5</v>
      </c>
      <c r="J240" t="n">
        <v>0</v>
      </c>
      <c r="K240" t="n">
        <v>0</v>
      </c>
      <c r="L240" t="n">
        <v>0</v>
      </c>
      <c r="M240" t="n">
        <v>0</v>
      </c>
      <c r="N240" t="n">
        <v>3</v>
      </c>
      <c r="O240" t="n">
        <v>0</v>
      </c>
      <c r="P240" t="inlineStr">
        <is>
          <t>D1新高=8,D2强势=6,D3突破=5,D4首板=0,D5潜突=0,D6连板=0,D7一字=0,D8活跃=3,bonus=0</t>
        </is>
      </c>
    </row>
    <row r="241">
      <c r="A241" t="n">
        <v>2</v>
      </c>
      <c r="B241" t="inlineStr">
        <is>
          <t>600460</t>
        </is>
      </c>
      <c r="C241" t="inlineStr">
        <is>
          <t>士兰微</t>
        </is>
      </c>
      <c r="D241" t="n">
        <v>22</v>
      </c>
      <c r="E241" t="n">
        <v>6.66</v>
      </c>
      <c r="F241" t="n">
        <v>0.02</v>
      </c>
      <c r="G241" t="n">
        <v>8</v>
      </c>
      <c r="H241" t="n">
        <v>6</v>
      </c>
      <c r="I241" t="n">
        <v>5</v>
      </c>
      <c r="J241" t="n">
        <v>0</v>
      </c>
      <c r="K241" t="n">
        <v>0</v>
      </c>
      <c r="L241" t="n">
        <v>0</v>
      </c>
      <c r="M241" t="n">
        <v>0</v>
      </c>
      <c r="N241" t="n">
        <v>3</v>
      </c>
      <c r="O241" t="n">
        <v>0</v>
      </c>
      <c r="P241" t="inlineStr">
        <is>
          <t>D1新高=8,D2强势=6,D3突破=5,D4首板=0,D5潜突=0,D6连板=0,D7一字=0,D8活跃=3,bonus=0</t>
        </is>
      </c>
    </row>
    <row r="242">
      <c r="A242" t="n">
        <v>3</v>
      </c>
      <c r="B242" t="inlineStr">
        <is>
          <t>688347</t>
        </is>
      </c>
      <c r="C242" t="inlineStr">
        <is>
          <t>华虹公司</t>
        </is>
      </c>
      <c r="D242" t="n">
        <v>13</v>
      </c>
      <c r="E242" t="n">
        <v>9.31</v>
      </c>
      <c r="F242" t="n">
        <v>0.28</v>
      </c>
      <c r="G242" t="n">
        <v>8</v>
      </c>
      <c r="H242" t="n">
        <v>0</v>
      </c>
      <c r="I242" t="n">
        <v>5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inlineStr">
        <is>
          <t>D1新高=8,D2强势=0,D3突破=5,D4首板=0,D5潜突=0,D6连板=0,D7一字=0,D8活跃=0,bonus=0</t>
        </is>
      </c>
    </row>
    <row r="243">
      <c r="A243" t="n">
        <v>4</v>
      </c>
      <c r="B243" t="inlineStr">
        <is>
          <t>688249</t>
        </is>
      </c>
      <c r="C243" t="inlineStr">
        <is>
          <t>晶合集成</t>
        </is>
      </c>
      <c r="D243" t="n">
        <v>8</v>
      </c>
      <c r="E243" t="n">
        <v>10.29</v>
      </c>
      <c r="F243" t="n">
        <v>0.57</v>
      </c>
      <c r="G243" t="n">
        <v>0</v>
      </c>
      <c r="H243" t="n">
        <v>0</v>
      </c>
      <c r="I243" t="n">
        <v>5</v>
      </c>
      <c r="J243" t="n">
        <v>3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inlineStr">
        <is>
          <t>D1新高=0,D2强势=0,D3突破=5,D4首板=3,D5潜突=0,D6连板=0,D7一字=0,D8活跃=0,bonus=0</t>
        </is>
      </c>
    </row>
    <row r="244">
      <c r="A244" t="n">
        <v>5</v>
      </c>
      <c r="B244" t="inlineStr">
        <is>
          <t>300373</t>
        </is>
      </c>
      <c r="C244" t="inlineStr">
        <is>
          <t>扬杰科技</t>
        </is>
      </c>
      <c r="D244" t="n">
        <v>8</v>
      </c>
      <c r="E244" t="n">
        <v>4.87</v>
      </c>
      <c r="F244" t="n">
        <v>0</v>
      </c>
      <c r="G244" t="n">
        <v>0</v>
      </c>
      <c r="H244" t="n">
        <v>0</v>
      </c>
      <c r="I244" t="n">
        <v>5</v>
      </c>
      <c r="J244" t="n">
        <v>0</v>
      </c>
      <c r="K244" t="n">
        <v>0</v>
      </c>
      <c r="L244" t="n">
        <v>0</v>
      </c>
      <c r="M244" t="n">
        <v>0</v>
      </c>
      <c r="N244" t="n">
        <v>3</v>
      </c>
      <c r="O244" t="n">
        <v>0</v>
      </c>
      <c r="P244" t="inlineStr">
        <is>
          <t>D1新高=0,D2强势=0,D3突破=5,D4首板=0,D5潜突=0,D6连板=0,D7一字=0,D8活跃=3,bonus=0</t>
        </is>
      </c>
    </row>
    <row r="245">
      <c r="A245" t="n">
        <v>7</v>
      </c>
      <c r="B245" t="inlineStr">
        <is>
          <t>688981</t>
        </is>
      </c>
      <c r="C245" t="inlineStr">
        <is>
          <t>中芯国际</t>
        </is>
      </c>
      <c r="D245" t="n">
        <v>5</v>
      </c>
      <c r="E245" t="n">
        <v>3.5</v>
      </c>
      <c r="F245" t="n">
        <v>0.96</v>
      </c>
      <c r="G245" t="n">
        <v>0</v>
      </c>
      <c r="H245" t="n">
        <v>0</v>
      </c>
      <c r="I245" t="n">
        <v>5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inlineStr">
        <is>
          <t>D1新高=0,D2强势=0,D3突破=5,D4首板=0,D5潜突=0,D6连板=0,D7一字=0,D8活跃=0,bonus=0</t>
        </is>
      </c>
    </row>
    <row r="246">
      <c r="A246" t="n">
        <v>8</v>
      </c>
      <c r="B246" t="inlineStr">
        <is>
          <t>300623</t>
        </is>
      </c>
      <c r="C246" t="inlineStr">
        <is>
          <t>捷捷微电</t>
        </is>
      </c>
      <c r="D246" t="n">
        <v>3</v>
      </c>
      <c r="E246" t="n">
        <v>2.39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3</v>
      </c>
      <c r="O246" t="n">
        <v>0</v>
      </c>
      <c r="P246" t="inlineStr">
        <is>
          <t>D1新高=0,D2强势=0,D3突破=0,D4首板=0,D5潜突=0,D6连板=0,D7一字=0,D8活跃=3,bonus=0</t>
        </is>
      </c>
    </row>
    <row r="247">
      <c r="A247" t="n">
        <v>9</v>
      </c>
      <c r="B247" t="inlineStr">
        <is>
          <t>688396</t>
        </is>
      </c>
      <c r="C247" t="inlineStr">
        <is>
          <t>华润微</t>
        </is>
      </c>
      <c r="D247" t="n">
        <v>3</v>
      </c>
      <c r="E247" t="n">
        <v>2.83</v>
      </c>
      <c r="F247" t="n">
        <v>0.37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</v>
      </c>
      <c r="O247" t="n">
        <v>0</v>
      </c>
      <c r="P247" t="inlineStr">
        <is>
          <t>D1新高=0,D2强势=0,D3突破=0,D4首板=0,D5潜突=0,D6连板=0,D7一字=0,D8活跃=3,bonus=0</t>
        </is>
      </c>
    </row>
    <row r="248"/>
    <row r="249">
      <c r="A249" s="4" t="inlineStr">
        <is>
          <t>--- 细分: 空气净化系统 ---</t>
        </is>
      </c>
    </row>
    <row r="250">
      <c r="A250" s="5" t="inlineStr">
        <is>
          <t>排名</t>
        </is>
      </c>
      <c r="B250" s="5" t="inlineStr">
        <is>
          <t>代码</t>
        </is>
      </c>
      <c r="C250" s="5" t="inlineStr">
        <is>
          <t>名称</t>
        </is>
      </c>
      <c r="D250" s="5" t="inlineStr">
        <is>
          <t>得分</t>
        </is>
      </c>
      <c r="E250" s="5" t="inlineStr">
        <is>
          <t>涨跌幅%</t>
        </is>
      </c>
      <c r="F250" s="5" t="inlineStr">
        <is>
          <t>成交额(亿)</t>
        </is>
      </c>
      <c r="G250" s="5" t="inlineStr">
        <is>
          <t>D1新高</t>
        </is>
      </c>
      <c r="H250" s="5" t="inlineStr">
        <is>
          <t>D2强势</t>
        </is>
      </c>
      <c r="I250" s="5" t="inlineStr">
        <is>
          <t>D3突破</t>
        </is>
      </c>
      <c r="J250" s="5" t="inlineStr">
        <is>
          <t>D4首板</t>
        </is>
      </c>
      <c r="K250" s="5" t="inlineStr">
        <is>
          <t>D5潜突</t>
        </is>
      </c>
      <c r="L250" s="5" t="inlineStr">
        <is>
          <t>D6连板</t>
        </is>
      </c>
      <c r="M250" s="5" t="inlineStr">
        <is>
          <t>D7一字</t>
        </is>
      </c>
      <c r="N250" s="5" t="inlineStr">
        <is>
          <t>D8活跃</t>
        </is>
      </c>
      <c r="O250" s="5" t="inlineStr">
        <is>
          <t>大成交额加分</t>
        </is>
      </c>
      <c r="P250" s="5" t="inlineStr">
        <is>
          <t>得分明细</t>
        </is>
      </c>
    </row>
    <row r="251">
      <c r="A251" t="n">
        <v>1</v>
      </c>
      <c r="B251" t="inlineStr">
        <is>
          <t>603324</t>
        </is>
      </c>
      <c r="C251" t="inlineStr">
        <is>
          <t>盛剑科技</t>
        </is>
      </c>
      <c r="D251" t="n">
        <v>25</v>
      </c>
      <c r="E251" t="n">
        <v>9.99</v>
      </c>
      <c r="F251" t="n">
        <v>0</v>
      </c>
      <c r="G251" t="n">
        <v>8</v>
      </c>
      <c r="H251" t="n">
        <v>6</v>
      </c>
      <c r="I251" t="n">
        <v>5</v>
      </c>
      <c r="J251" t="n">
        <v>3</v>
      </c>
      <c r="K251" t="n">
        <v>0</v>
      </c>
      <c r="L251" t="n">
        <v>0</v>
      </c>
      <c r="M251" t="n">
        <v>0</v>
      </c>
      <c r="N251" t="n">
        <v>3</v>
      </c>
      <c r="O251" t="n">
        <v>0</v>
      </c>
      <c r="P251" t="inlineStr">
        <is>
          <t>D1新高=8,D2强势=6,D3突破=5,D4首板=3,D5潜突=0,D6连板=0,D7一字=0,D8活跃=3,bonus=0</t>
        </is>
      </c>
    </row>
    <row r="252">
      <c r="A252" t="n">
        <v>2</v>
      </c>
      <c r="B252" t="inlineStr">
        <is>
          <t>688376</t>
        </is>
      </c>
      <c r="C252" t="inlineStr">
        <is>
          <t>美埃科技</t>
        </is>
      </c>
      <c r="D252" t="n">
        <v>16</v>
      </c>
      <c r="E252" t="n">
        <v>4.48</v>
      </c>
      <c r="F252" t="n">
        <v>0.04</v>
      </c>
      <c r="G252" t="n">
        <v>8</v>
      </c>
      <c r="H252" t="n">
        <v>0</v>
      </c>
      <c r="I252" t="n">
        <v>5</v>
      </c>
      <c r="J252" t="n">
        <v>0</v>
      </c>
      <c r="K252" t="n">
        <v>0</v>
      </c>
      <c r="L252" t="n">
        <v>0</v>
      </c>
      <c r="M252" t="n">
        <v>0</v>
      </c>
      <c r="N252" t="n">
        <v>3</v>
      </c>
      <c r="O252" t="n">
        <v>0</v>
      </c>
      <c r="P252" t="inlineStr">
        <is>
          <t>D1新高=8,D2强势=0,D3突破=5,D4首板=0,D5潜突=0,D6连板=0,D7一字=0,D8活跃=3,bonus=0</t>
        </is>
      </c>
    </row>
    <row r="253">
      <c r="A253" t="n">
        <v>3</v>
      </c>
      <c r="B253" t="inlineStr">
        <is>
          <t>603601</t>
        </is>
      </c>
      <c r="C253" t="inlineStr">
        <is>
          <t>再升科技</t>
        </is>
      </c>
      <c r="D253" t="n">
        <v>8</v>
      </c>
      <c r="E253" t="n">
        <v>9.970000000000001</v>
      </c>
      <c r="F253" t="n">
        <v>0.02</v>
      </c>
      <c r="G253" t="n">
        <v>0</v>
      </c>
      <c r="H253" t="n">
        <v>0</v>
      </c>
      <c r="I253" t="n">
        <v>5</v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inlineStr">
        <is>
          <t>D1新高=0,D2强势=0,D3突破=5,D4首板=3,D5潜突=0,D6连板=0,D7一字=0,D8活跃=0,bonus=0</t>
        </is>
      </c>
    </row>
    <row r="254">
      <c r="A254" t="n">
        <v>4</v>
      </c>
      <c r="B254" t="inlineStr">
        <is>
          <t>301226</t>
        </is>
      </c>
      <c r="C254" t="inlineStr">
        <is>
          <t>祥明智能</t>
        </is>
      </c>
      <c r="D254" t="n">
        <v>0</v>
      </c>
      <c r="E254" t="n">
        <v>-2.2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inlineStr">
        <is>
          <t>D1新高=0,D2强势=0,D3突破=0,D4首板=0,D5潜突=0,D6连板=0,D7一字=0,D8活跃=0,bonus=0</t>
        </is>
      </c>
    </row>
    <row r="255">
      <c r="A255" t="n">
        <v>5</v>
      </c>
      <c r="B255" t="inlineStr">
        <is>
          <t>000551</t>
        </is>
      </c>
      <c r="C255" t="inlineStr">
        <is>
          <t>创元科技</t>
        </is>
      </c>
      <c r="D255" t="n">
        <v>0</v>
      </c>
      <c r="E255" t="n">
        <v>-1.17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inlineStr">
        <is>
          <t>D1新高=0,D2强势=0,D3突破=0,D4首板=0,D5潜突=0,D6连板=0,D7一字=0,D8活跃=0,bonus=0</t>
        </is>
      </c>
    </row>
    <row r="256"/>
    <row r="257">
      <c r="A257" s="4" t="inlineStr">
        <is>
          <t>--- 细分: 薄膜沉积设备 ---</t>
        </is>
      </c>
    </row>
    <row r="258">
      <c r="A258" s="5" t="inlineStr">
        <is>
          <t>排名</t>
        </is>
      </c>
      <c r="B258" s="5" t="inlineStr">
        <is>
          <t>代码</t>
        </is>
      </c>
      <c r="C258" s="5" t="inlineStr">
        <is>
          <t>名称</t>
        </is>
      </c>
      <c r="D258" s="5" t="inlineStr">
        <is>
          <t>得分</t>
        </is>
      </c>
      <c r="E258" s="5" t="inlineStr">
        <is>
          <t>涨跌幅%</t>
        </is>
      </c>
      <c r="F258" s="5" t="inlineStr">
        <is>
          <t>成交额(亿)</t>
        </is>
      </c>
      <c r="G258" s="5" t="inlineStr">
        <is>
          <t>D1新高</t>
        </is>
      </c>
      <c r="H258" s="5" t="inlineStr">
        <is>
          <t>D2强势</t>
        </is>
      </c>
      <c r="I258" s="5" t="inlineStr">
        <is>
          <t>D3突破</t>
        </is>
      </c>
      <c r="J258" s="5" t="inlineStr">
        <is>
          <t>D4首板</t>
        </is>
      </c>
      <c r="K258" s="5" t="inlineStr">
        <is>
          <t>D5潜突</t>
        </is>
      </c>
      <c r="L258" s="5" t="inlineStr">
        <is>
          <t>D6连板</t>
        </is>
      </c>
      <c r="M258" s="5" t="inlineStr">
        <is>
          <t>D7一字</t>
        </is>
      </c>
      <c r="N258" s="5" t="inlineStr">
        <is>
          <t>D8活跃</t>
        </is>
      </c>
      <c r="O258" s="5" t="inlineStr">
        <is>
          <t>大成交额加分</t>
        </is>
      </c>
      <c r="P258" s="5" t="inlineStr">
        <is>
          <t>得分明细</t>
        </is>
      </c>
    </row>
    <row r="259">
      <c r="A259" t="n">
        <v>1</v>
      </c>
      <c r="B259" t="inlineStr">
        <is>
          <t>688147</t>
        </is>
      </c>
      <c r="C259" t="inlineStr">
        <is>
          <t>微导纳米</t>
        </is>
      </c>
      <c r="D259" t="n">
        <v>19</v>
      </c>
      <c r="E259" t="n">
        <v>6.29</v>
      </c>
      <c r="F259" t="n">
        <v>0.17</v>
      </c>
      <c r="G259" t="n">
        <v>8</v>
      </c>
      <c r="H259" t="n">
        <v>6</v>
      </c>
      <c r="I259" t="n">
        <v>5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inlineStr">
        <is>
          <t>D1新高=8,D2强势=6,D3突破=5,D4首板=0,D5潜突=0,D6连板=0,D7一字=0,D8活跃=0,bonus=0</t>
        </is>
      </c>
    </row>
    <row r="260">
      <c r="A260" t="n">
        <v>3</v>
      </c>
      <c r="B260" t="inlineStr">
        <is>
          <t>688072</t>
        </is>
      </c>
      <c r="C260" t="inlineStr">
        <is>
          <t>拓荆科技</t>
        </is>
      </c>
      <c r="D260" t="n">
        <v>8</v>
      </c>
      <c r="E260" t="n">
        <v>12.84</v>
      </c>
      <c r="F260" t="n">
        <v>0.12</v>
      </c>
      <c r="G260" t="n">
        <v>0</v>
      </c>
      <c r="H260" t="n">
        <v>0</v>
      </c>
      <c r="I260" t="n">
        <v>5</v>
      </c>
      <c r="J260" t="n">
        <v>3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inlineStr">
        <is>
          <t>D1新高=0,D2强势=0,D3突破=5,D4首板=3,D5潜突=0,D6连板=0,D7一字=0,D8活跃=0,bonus=0</t>
        </is>
      </c>
    </row>
    <row r="261"/>
    <row r="262">
      <c r="A262" s="4" t="inlineStr">
        <is>
          <t>--- 细分: 溅射靶材 ---</t>
        </is>
      </c>
    </row>
    <row r="263">
      <c r="A263" s="5" t="inlineStr">
        <is>
          <t>排名</t>
        </is>
      </c>
      <c r="B263" s="5" t="inlineStr">
        <is>
          <t>代码</t>
        </is>
      </c>
      <c r="C263" s="5" t="inlineStr">
        <is>
          <t>名称</t>
        </is>
      </c>
      <c r="D263" s="5" t="inlineStr">
        <is>
          <t>得分</t>
        </is>
      </c>
      <c r="E263" s="5" t="inlineStr">
        <is>
          <t>涨跌幅%</t>
        </is>
      </c>
      <c r="F263" s="5" t="inlineStr">
        <is>
          <t>成交额(亿)</t>
        </is>
      </c>
      <c r="G263" s="5" t="inlineStr">
        <is>
          <t>D1新高</t>
        </is>
      </c>
      <c r="H263" s="5" t="inlineStr">
        <is>
          <t>D2强势</t>
        </is>
      </c>
      <c r="I263" s="5" t="inlineStr">
        <is>
          <t>D3突破</t>
        </is>
      </c>
      <c r="J263" s="5" t="inlineStr">
        <is>
          <t>D4首板</t>
        </is>
      </c>
      <c r="K263" s="5" t="inlineStr">
        <is>
          <t>D5潜突</t>
        </is>
      </c>
      <c r="L263" s="5" t="inlineStr">
        <is>
          <t>D6连板</t>
        </is>
      </c>
      <c r="M263" s="5" t="inlineStr">
        <is>
          <t>D7一字</t>
        </is>
      </c>
      <c r="N263" s="5" t="inlineStr">
        <is>
          <t>D8活跃</t>
        </is>
      </c>
      <c r="O263" s="5" t="inlineStr">
        <is>
          <t>大成交额加分</t>
        </is>
      </c>
      <c r="P263" s="5" t="inlineStr">
        <is>
          <t>得分明细</t>
        </is>
      </c>
    </row>
    <row r="264">
      <c r="A264" t="n">
        <v>1</v>
      </c>
      <c r="B264" t="inlineStr">
        <is>
          <t>300263</t>
        </is>
      </c>
      <c r="C264" t="inlineStr">
        <is>
          <t>隆华科技</t>
        </is>
      </c>
      <c r="D264" t="n">
        <v>17</v>
      </c>
      <c r="E264" t="n">
        <v>3.42</v>
      </c>
      <c r="F264" t="n">
        <v>0.02</v>
      </c>
      <c r="G264" t="n">
        <v>8</v>
      </c>
      <c r="H264" t="n">
        <v>6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</v>
      </c>
      <c r="O264" t="n">
        <v>0</v>
      </c>
      <c r="P264" t="inlineStr">
        <is>
          <t>D1新高=8,D2强势=6,D3突破=0,D4首板=0,D5潜突=0,D6连板=0,D7一字=0,D8活跃=3,bonus=0</t>
        </is>
      </c>
    </row>
    <row r="265">
      <c r="A265" t="n">
        <v>2</v>
      </c>
      <c r="B265" t="inlineStr">
        <is>
          <t>600206</t>
        </is>
      </c>
      <c r="C265" t="inlineStr">
        <is>
          <t>有研新材</t>
        </is>
      </c>
      <c r="D265" t="n">
        <v>17</v>
      </c>
      <c r="E265" t="n">
        <v>1.74</v>
      </c>
      <c r="F265" t="n">
        <v>0.02</v>
      </c>
      <c r="G265" t="n">
        <v>8</v>
      </c>
      <c r="H265" t="n">
        <v>6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0</v>
      </c>
      <c r="P265" t="inlineStr">
        <is>
          <t>D1新高=8,D2强势=6,D3突破=0,D4首板=0,D5潜突=0,D6连板=0,D7一字=0,D8活跃=3,bonus=0</t>
        </is>
      </c>
    </row>
    <row r="266">
      <c r="A266" t="n">
        <v>3</v>
      </c>
      <c r="B266" t="inlineStr">
        <is>
          <t>688530</t>
        </is>
      </c>
      <c r="C266" t="inlineStr">
        <is>
          <t>欧莱新材</t>
        </is>
      </c>
      <c r="D266" t="n">
        <v>8</v>
      </c>
      <c r="E266" t="n">
        <v>1.85</v>
      </c>
      <c r="F266" t="n">
        <v>0.15</v>
      </c>
      <c r="G266" t="n">
        <v>0</v>
      </c>
      <c r="H266" t="n">
        <v>0</v>
      </c>
      <c r="I266" t="n">
        <v>5</v>
      </c>
      <c r="J266" t="n">
        <v>0</v>
      </c>
      <c r="K266" t="n">
        <v>0</v>
      </c>
      <c r="L266" t="n">
        <v>0</v>
      </c>
      <c r="M266" t="n">
        <v>0</v>
      </c>
      <c r="N266" t="n">
        <v>3</v>
      </c>
      <c r="O266" t="n">
        <v>0</v>
      </c>
      <c r="P266" t="inlineStr">
        <is>
          <t>D1新高=0,D2强势=0,D3突破=5,D4首板=0,D5潜突=0,D6连板=0,D7一字=0,D8活跃=3,bonus=0</t>
        </is>
      </c>
    </row>
    <row r="267">
      <c r="A267" t="n">
        <v>5</v>
      </c>
      <c r="B267" t="inlineStr">
        <is>
          <t>300666</t>
        </is>
      </c>
      <c r="C267" t="inlineStr">
        <is>
          <t>江丰电子</t>
        </is>
      </c>
      <c r="D267" t="n">
        <v>3</v>
      </c>
      <c r="E267" t="n">
        <v>0.65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3</v>
      </c>
      <c r="O267" t="n">
        <v>0</v>
      </c>
      <c r="P267" t="inlineStr">
        <is>
          <t>D1新高=0,D2强势=0,D3突破=0,D4首板=0,D5潜突=0,D6连板=0,D7一字=0,D8活跃=3,bonus=0</t>
        </is>
      </c>
    </row>
    <row r="268"/>
    <row r="269">
      <c r="A269" s="4" t="inlineStr">
        <is>
          <t>--- 细分: 洁净室 ---</t>
        </is>
      </c>
    </row>
    <row r="270">
      <c r="A270" s="5" t="inlineStr">
        <is>
          <t>排名</t>
        </is>
      </c>
      <c r="B270" s="5" t="inlineStr">
        <is>
          <t>代码</t>
        </is>
      </c>
      <c r="C270" s="5" t="inlineStr">
        <is>
          <t>名称</t>
        </is>
      </c>
      <c r="D270" s="5" t="inlineStr">
        <is>
          <t>得分</t>
        </is>
      </c>
      <c r="E270" s="5" t="inlineStr">
        <is>
          <t>涨跌幅%</t>
        </is>
      </c>
      <c r="F270" s="5" t="inlineStr">
        <is>
          <t>成交额(亿)</t>
        </is>
      </c>
      <c r="G270" s="5" t="inlineStr">
        <is>
          <t>D1新高</t>
        </is>
      </c>
      <c r="H270" s="5" t="inlineStr">
        <is>
          <t>D2强势</t>
        </is>
      </c>
      <c r="I270" s="5" t="inlineStr">
        <is>
          <t>D3突破</t>
        </is>
      </c>
      <c r="J270" s="5" t="inlineStr">
        <is>
          <t>D4首板</t>
        </is>
      </c>
      <c r="K270" s="5" t="inlineStr">
        <is>
          <t>D5潜突</t>
        </is>
      </c>
      <c r="L270" s="5" t="inlineStr">
        <is>
          <t>D6连板</t>
        </is>
      </c>
      <c r="M270" s="5" t="inlineStr">
        <is>
          <t>D7一字</t>
        </is>
      </c>
      <c r="N270" s="5" t="inlineStr">
        <is>
          <t>D8活跃</t>
        </is>
      </c>
      <c r="O270" s="5" t="inlineStr">
        <is>
          <t>大成交额加分</t>
        </is>
      </c>
      <c r="P270" s="5" t="inlineStr">
        <is>
          <t>得分明细</t>
        </is>
      </c>
    </row>
    <row r="271">
      <c r="A271" t="n">
        <v>1</v>
      </c>
      <c r="B271" t="inlineStr">
        <is>
          <t>000032</t>
        </is>
      </c>
      <c r="C271" t="inlineStr">
        <is>
          <t>深桑达Ａ</t>
        </is>
      </c>
      <c r="D271" t="n">
        <v>17</v>
      </c>
      <c r="E271" t="n">
        <v>1.44</v>
      </c>
      <c r="F271" t="n">
        <v>0.02</v>
      </c>
      <c r="G271" t="n">
        <v>8</v>
      </c>
      <c r="H271" t="n">
        <v>6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3</v>
      </c>
      <c r="O271" t="n">
        <v>0</v>
      </c>
      <c r="P271" t="inlineStr">
        <is>
          <t>D1新高=8,D2强势=6,D3突破=0,D4首板=0,D5潜突=0,D6连板=0,D7一字=0,D8活跃=3,bonus=0</t>
        </is>
      </c>
    </row>
    <row r="272">
      <c r="A272" t="n">
        <v>2</v>
      </c>
      <c r="B272" t="inlineStr">
        <is>
          <t>603163</t>
        </is>
      </c>
      <c r="C272" t="inlineStr">
        <is>
          <t>圣晖集成</t>
        </is>
      </c>
      <c r="D272" t="n">
        <v>16</v>
      </c>
      <c r="E272" t="n">
        <v>4.32</v>
      </c>
      <c r="F272" t="n">
        <v>0</v>
      </c>
      <c r="G272" t="n">
        <v>8</v>
      </c>
      <c r="H272" t="n">
        <v>0</v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3</v>
      </c>
      <c r="O272" t="n">
        <v>0</v>
      </c>
      <c r="P272" t="inlineStr">
        <is>
          <t>D1新高=8,D2强势=0,D3突破=5,D4首板=0,D5潜突=0,D6连板=0,D7一字=0,D8活跃=3,bonus=0</t>
        </is>
      </c>
    </row>
    <row r="273">
      <c r="A273" t="n">
        <v>3</v>
      </c>
      <c r="B273" t="inlineStr">
        <is>
          <t>600667</t>
        </is>
      </c>
      <c r="C273" t="inlineStr">
        <is>
          <t>太极实业</t>
        </is>
      </c>
      <c r="D273" t="n">
        <v>16</v>
      </c>
      <c r="E273" t="n">
        <v>5.73</v>
      </c>
      <c r="F273" t="n">
        <v>0.03</v>
      </c>
      <c r="G273" t="n">
        <v>8</v>
      </c>
      <c r="H273" t="n">
        <v>0</v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3</v>
      </c>
      <c r="O273" t="n">
        <v>0</v>
      </c>
      <c r="P273" t="inlineStr">
        <is>
          <t>D1新高=8,D2强势=0,D3突破=5,D4首板=0,D5潜突=0,D6连板=0,D7一字=0,D8活跃=3,bonus=0</t>
        </is>
      </c>
    </row>
    <row r="274">
      <c r="A274" t="n">
        <v>4</v>
      </c>
      <c r="B274" t="inlineStr">
        <is>
          <t>603929</t>
        </is>
      </c>
      <c r="C274" t="inlineStr">
        <is>
          <t>亚翔集成</t>
        </is>
      </c>
      <c r="D274" t="n">
        <v>11</v>
      </c>
      <c r="E274" t="n">
        <v>10</v>
      </c>
      <c r="F274" t="n">
        <v>0</v>
      </c>
      <c r="G274" t="n">
        <v>0</v>
      </c>
      <c r="H274" t="n">
        <v>0</v>
      </c>
      <c r="I274" t="n">
        <v>5</v>
      </c>
      <c r="J274" t="n">
        <v>3</v>
      </c>
      <c r="K274" t="n">
        <v>0</v>
      </c>
      <c r="L274" t="n">
        <v>0</v>
      </c>
      <c r="M274" t="n">
        <v>0</v>
      </c>
      <c r="N274" t="n">
        <v>3</v>
      </c>
      <c r="O274" t="n">
        <v>0</v>
      </c>
      <c r="P274" t="inlineStr">
        <is>
          <t>D1新高=0,D2强势=0,D3突破=5,D4首板=3,D5潜突=0,D6连板=0,D7一字=0,D8活跃=3,bonus=0</t>
        </is>
      </c>
    </row>
    <row r="275">
      <c r="A275" t="n">
        <v>5</v>
      </c>
      <c r="B275" t="inlineStr">
        <is>
          <t>601133</t>
        </is>
      </c>
      <c r="C275" t="inlineStr">
        <is>
          <t>柏诚股份</t>
        </is>
      </c>
      <c r="D275" t="n">
        <v>8</v>
      </c>
      <c r="E275" t="n">
        <v>3.31</v>
      </c>
      <c r="F275" t="n">
        <v>0</v>
      </c>
      <c r="G275" t="n">
        <v>0</v>
      </c>
      <c r="H275" t="n">
        <v>0</v>
      </c>
      <c r="I275" t="n">
        <v>5</v>
      </c>
      <c r="J275" t="n">
        <v>0</v>
      </c>
      <c r="K275" t="n">
        <v>0</v>
      </c>
      <c r="L275" t="n">
        <v>0</v>
      </c>
      <c r="M275" t="n">
        <v>0</v>
      </c>
      <c r="N275" t="n">
        <v>3</v>
      </c>
      <c r="O275" t="n">
        <v>0</v>
      </c>
      <c r="P275" t="inlineStr">
        <is>
          <t>D1新高=0,D2强势=0,D3突破=5,D4首板=0,D5潜突=0,D6连板=0,D7一字=0,D8活跃=3,bonus=0</t>
        </is>
      </c>
    </row>
    <row r="276">
      <c r="A276" t="n">
        <v>6</v>
      </c>
      <c r="B276" t="inlineStr">
        <is>
          <t>002081</t>
        </is>
      </c>
      <c r="C276" t="inlineStr">
        <is>
          <t>金 螳 螂</t>
        </is>
      </c>
      <c r="D276" t="n">
        <v>3</v>
      </c>
      <c r="E276" t="n">
        <v>-4.02</v>
      </c>
      <c r="F276" t="n">
        <v>0.02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3</v>
      </c>
      <c r="O276" t="n">
        <v>0</v>
      </c>
      <c r="P276" t="inlineStr">
        <is>
          <t>D1新高=0,D2强势=0,D3突破=0,D4首板=0,D5潜突=0,D6连板=0,D7一字=0,D8活跃=3,bonus=0</t>
        </is>
      </c>
    </row>
    <row r="277">
      <c r="A277" t="n">
        <v>7</v>
      </c>
      <c r="B277" t="inlineStr">
        <is>
          <t>301235</t>
        </is>
      </c>
      <c r="C277" t="inlineStr">
        <is>
          <t>华康洁净</t>
        </is>
      </c>
      <c r="D277" t="n">
        <v>0</v>
      </c>
      <c r="E277" t="n">
        <v>1.04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inlineStr">
        <is>
          <t>D1新高=0,D2强势=0,D3突破=0,D4首板=0,D5潜突=0,D6连板=0,D7一字=0,D8活跃=0,bonus=0</t>
        </is>
      </c>
    </row>
    <row r="278">
      <c r="A278" t="n">
        <v>8</v>
      </c>
      <c r="B278" t="inlineStr">
        <is>
          <t>002652</t>
        </is>
      </c>
      <c r="C278" t="inlineStr">
        <is>
          <t>扬子新材</t>
        </is>
      </c>
      <c r="D278" t="n">
        <v>0</v>
      </c>
      <c r="E278" t="n">
        <v>-4.3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D1新高=0,D2强势=0,D3突破=0,D4首板=0,D5潜突=0,D6连板=0,D7一字=0,D8活跃=0,bonus=0</t>
        </is>
      </c>
    </row>
    <row r="279"/>
    <row r="280">
      <c r="A280" s="4" t="inlineStr">
        <is>
          <t>--- 细分: 分选机 ---</t>
        </is>
      </c>
    </row>
    <row r="281">
      <c r="A281" s="5" t="inlineStr">
        <is>
          <t>排名</t>
        </is>
      </c>
      <c r="B281" s="5" t="inlineStr">
        <is>
          <t>代码</t>
        </is>
      </c>
      <c r="C281" s="5" t="inlineStr">
        <is>
          <t>名称</t>
        </is>
      </c>
      <c r="D281" s="5" t="inlineStr">
        <is>
          <t>得分</t>
        </is>
      </c>
      <c r="E281" s="5" t="inlineStr">
        <is>
          <t>涨跌幅%</t>
        </is>
      </c>
      <c r="F281" s="5" t="inlineStr">
        <is>
          <t>成交额(亿)</t>
        </is>
      </c>
      <c r="G281" s="5" t="inlineStr">
        <is>
          <t>D1新高</t>
        </is>
      </c>
      <c r="H281" s="5" t="inlineStr">
        <is>
          <t>D2强势</t>
        </is>
      </c>
      <c r="I281" s="5" t="inlineStr">
        <is>
          <t>D3突破</t>
        </is>
      </c>
      <c r="J281" s="5" t="inlineStr">
        <is>
          <t>D4首板</t>
        </is>
      </c>
      <c r="K281" s="5" t="inlineStr">
        <is>
          <t>D5潜突</t>
        </is>
      </c>
      <c r="L281" s="5" t="inlineStr">
        <is>
          <t>D6连板</t>
        </is>
      </c>
      <c r="M281" s="5" t="inlineStr">
        <is>
          <t>D7一字</t>
        </is>
      </c>
      <c r="N281" s="5" t="inlineStr">
        <is>
          <t>D8活跃</t>
        </is>
      </c>
      <c r="O281" s="5" t="inlineStr">
        <is>
          <t>大成交额加分</t>
        </is>
      </c>
      <c r="P281" s="5" t="inlineStr">
        <is>
          <t>得分明细</t>
        </is>
      </c>
    </row>
    <row r="282">
      <c r="A282" t="n">
        <v>1</v>
      </c>
      <c r="B282" t="inlineStr">
        <is>
          <t>603061</t>
        </is>
      </c>
      <c r="C282" t="inlineStr">
        <is>
          <t>金海通</t>
        </is>
      </c>
      <c r="D282" t="n">
        <v>8</v>
      </c>
      <c r="E282" t="n">
        <v>1.05</v>
      </c>
      <c r="F282" t="n">
        <v>0</v>
      </c>
      <c r="G282" t="n">
        <v>8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D1新高=8,D2强势=0,D3突破=0,D4首板=0,D5潜突=0,D6连板=0,D7一字=0,D8活跃=0,bonus=0</t>
        </is>
      </c>
    </row>
    <row r="283"/>
    <row r="284">
      <c r="A284" s="4" t="inlineStr">
        <is>
          <t>--- 细分: DPU ---</t>
        </is>
      </c>
    </row>
    <row r="285">
      <c r="A285" s="5" t="inlineStr">
        <is>
          <t>排名</t>
        </is>
      </c>
      <c r="B285" s="5" t="inlineStr">
        <is>
          <t>代码</t>
        </is>
      </c>
      <c r="C285" s="5" t="inlineStr">
        <is>
          <t>名称</t>
        </is>
      </c>
      <c r="D285" s="5" t="inlineStr">
        <is>
          <t>得分</t>
        </is>
      </c>
      <c r="E285" s="5" t="inlineStr">
        <is>
          <t>涨跌幅%</t>
        </is>
      </c>
      <c r="F285" s="5" t="inlineStr">
        <is>
          <t>成交额(亿)</t>
        </is>
      </c>
      <c r="G285" s="5" t="inlineStr">
        <is>
          <t>D1新高</t>
        </is>
      </c>
      <c r="H285" s="5" t="inlineStr">
        <is>
          <t>D2强势</t>
        </is>
      </c>
      <c r="I285" s="5" t="inlineStr">
        <is>
          <t>D3突破</t>
        </is>
      </c>
      <c r="J285" s="5" t="inlineStr">
        <is>
          <t>D4首板</t>
        </is>
      </c>
      <c r="K285" s="5" t="inlineStr">
        <is>
          <t>D5潜突</t>
        </is>
      </c>
      <c r="L285" s="5" t="inlineStr">
        <is>
          <t>D6连板</t>
        </is>
      </c>
      <c r="M285" s="5" t="inlineStr">
        <is>
          <t>D7一字</t>
        </is>
      </c>
      <c r="N285" s="5" t="inlineStr">
        <is>
          <t>D8活跃</t>
        </is>
      </c>
      <c r="O285" s="5" t="inlineStr">
        <is>
          <t>大成交额加分</t>
        </is>
      </c>
      <c r="P285" s="5" t="inlineStr">
        <is>
          <t>得分明细</t>
        </is>
      </c>
    </row>
    <row r="286">
      <c r="A286" t="n">
        <v>1</v>
      </c>
      <c r="B286" t="inlineStr">
        <is>
          <t>301486</t>
        </is>
      </c>
      <c r="C286" t="inlineStr">
        <is>
          <t>致尚科技</t>
        </is>
      </c>
      <c r="D286" t="n">
        <v>8</v>
      </c>
      <c r="E286" t="n">
        <v>2.01</v>
      </c>
      <c r="F286" t="n">
        <v>0</v>
      </c>
      <c r="G286" t="n">
        <v>0</v>
      </c>
      <c r="H286" t="n">
        <v>0</v>
      </c>
      <c r="I286" t="n">
        <v>5</v>
      </c>
      <c r="J286" t="n">
        <v>0</v>
      </c>
      <c r="K286" t="n">
        <v>0</v>
      </c>
      <c r="L286" t="n">
        <v>0</v>
      </c>
      <c r="M286" t="n">
        <v>0</v>
      </c>
      <c r="N286" t="n">
        <v>3</v>
      </c>
      <c r="O286" t="n">
        <v>0</v>
      </c>
      <c r="P286" t="inlineStr">
        <is>
          <t>D1新高=0,D2强势=0,D3突破=5,D4首板=0,D5潜突=0,D6连板=0,D7一字=0,D8活跃=3,bonus=0</t>
        </is>
      </c>
    </row>
    <row r="287"/>
    <row r="288">
      <c r="A288" s="4" t="inlineStr">
        <is>
          <t>--- 细分: 化学机械抛光设备 ---</t>
        </is>
      </c>
    </row>
    <row r="289">
      <c r="A289" s="5" t="inlineStr">
        <is>
          <t>排名</t>
        </is>
      </c>
      <c r="B289" s="5" t="inlineStr">
        <is>
          <t>代码</t>
        </is>
      </c>
      <c r="C289" s="5" t="inlineStr">
        <is>
          <t>名称</t>
        </is>
      </c>
      <c r="D289" s="5" t="inlineStr">
        <is>
          <t>得分</t>
        </is>
      </c>
      <c r="E289" s="5" t="inlineStr">
        <is>
          <t>涨跌幅%</t>
        </is>
      </c>
      <c r="F289" s="5" t="inlineStr">
        <is>
          <t>成交额(亿)</t>
        </is>
      </c>
      <c r="G289" s="5" t="inlineStr">
        <is>
          <t>D1新高</t>
        </is>
      </c>
      <c r="H289" s="5" t="inlineStr">
        <is>
          <t>D2强势</t>
        </is>
      </c>
      <c r="I289" s="5" t="inlineStr">
        <is>
          <t>D3突破</t>
        </is>
      </c>
      <c r="J289" s="5" t="inlineStr">
        <is>
          <t>D4首板</t>
        </is>
      </c>
      <c r="K289" s="5" t="inlineStr">
        <is>
          <t>D5潜突</t>
        </is>
      </c>
      <c r="L289" s="5" t="inlineStr">
        <is>
          <t>D6连板</t>
        </is>
      </c>
      <c r="M289" s="5" t="inlineStr">
        <is>
          <t>D7一字</t>
        </is>
      </c>
      <c r="N289" s="5" t="inlineStr">
        <is>
          <t>D8活跃</t>
        </is>
      </c>
      <c r="O289" s="5" t="inlineStr">
        <is>
          <t>大成交额加分</t>
        </is>
      </c>
      <c r="P289" s="5" t="inlineStr">
        <is>
          <t>得分明细</t>
        </is>
      </c>
    </row>
    <row r="290">
      <c r="A290" t="n">
        <v>1</v>
      </c>
      <c r="B290" t="inlineStr">
        <is>
          <t>688120</t>
        </is>
      </c>
      <c r="C290" t="inlineStr">
        <is>
          <t>华海清科</t>
        </is>
      </c>
      <c r="D290" t="n">
        <v>8</v>
      </c>
      <c r="E290" t="n">
        <v>10.5</v>
      </c>
      <c r="F290" t="n">
        <v>0.2</v>
      </c>
      <c r="G290" t="n">
        <v>0</v>
      </c>
      <c r="H290" t="n">
        <v>0</v>
      </c>
      <c r="I290" t="n">
        <v>5</v>
      </c>
      <c r="J290" t="n">
        <v>3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D1新高=0,D2强势=0,D3突破=5,D4首板=3,D5潜突=0,D6连板=0,D7一字=0,D8活跃=0,bonus=0</t>
        </is>
      </c>
    </row>
    <row r="291"/>
    <row r="292">
      <c r="A292" s="4" t="inlineStr">
        <is>
          <t>--- 细分: TGV激光微孔设备 ---</t>
        </is>
      </c>
    </row>
    <row r="293">
      <c r="A293" s="5" t="inlineStr">
        <is>
          <t>排名</t>
        </is>
      </c>
      <c r="B293" s="5" t="inlineStr">
        <is>
          <t>代码</t>
        </is>
      </c>
      <c r="C293" s="5" t="inlineStr">
        <is>
          <t>名称</t>
        </is>
      </c>
      <c r="D293" s="5" t="inlineStr">
        <is>
          <t>得分</t>
        </is>
      </c>
      <c r="E293" s="5" t="inlineStr">
        <is>
          <t>涨跌幅%</t>
        </is>
      </c>
      <c r="F293" s="5" t="inlineStr">
        <is>
          <t>成交额(亿)</t>
        </is>
      </c>
      <c r="G293" s="5" t="inlineStr">
        <is>
          <t>D1新高</t>
        </is>
      </c>
      <c r="H293" s="5" t="inlineStr">
        <is>
          <t>D2强势</t>
        </is>
      </c>
      <c r="I293" s="5" t="inlineStr">
        <is>
          <t>D3突破</t>
        </is>
      </c>
      <c r="J293" s="5" t="inlineStr">
        <is>
          <t>D4首板</t>
        </is>
      </c>
      <c r="K293" s="5" t="inlineStr">
        <is>
          <t>D5潜突</t>
        </is>
      </c>
      <c r="L293" s="5" t="inlineStr">
        <is>
          <t>D6连板</t>
        </is>
      </c>
      <c r="M293" s="5" t="inlineStr">
        <is>
          <t>D7一字</t>
        </is>
      </c>
      <c r="N293" s="5" t="inlineStr">
        <is>
          <t>D8活跃</t>
        </is>
      </c>
      <c r="O293" s="5" t="inlineStr">
        <is>
          <t>大成交额加分</t>
        </is>
      </c>
      <c r="P293" s="5" t="inlineStr">
        <is>
          <t>得分明细</t>
        </is>
      </c>
    </row>
    <row r="294">
      <c r="A294" t="n">
        <v>1</v>
      </c>
      <c r="B294" t="inlineStr">
        <is>
          <t>300776</t>
        </is>
      </c>
      <c r="C294" t="inlineStr">
        <is>
          <t>帝尔激光</t>
        </is>
      </c>
      <c r="D294" t="n">
        <v>8</v>
      </c>
      <c r="E294" t="n">
        <v>10.08</v>
      </c>
      <c r="F294" t="n">
        <v>0</v>
      </c>
      <c r="G294" t="n">
        <v>0</v>
      </c>
      <c r="H294" t="n">
        <v>0</v>
      </c>
      <c r="I294" t="n">
        <v>5</v>
      </c>
      <c r="J294" t="n">
        <v>3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inlineStr">
        <is>
          <t>D1新高=0,D2强势=0,D3突破=5,D4首板=3,D5潜突=0,D6连板=0,D7一字=0,D8活跃=0,bonus=0</t>
        </is>
      </c>
    </row>
    <row r="295"/>
    <row r="296">
      <c r="A296" s="4" t="inlineStr">
        <is>
          <t>--- 细分: 玻璃基板在Fanout等封装工艺上量产经验 ---</t>
        </is>
      </c>
    </row>
    <row r="297">
      <c r="A297" s="5" t="inlineStr">
        <is>
          <t>排名</t>
        </is>
      </c>
      <c r="B297" s="5" t="inlineStr">
        <is>
          <t>代码</t>
        </is>
      </c>
      <c r="C297" s="5" t="inlineStr">
        <is>
          <t>名称</t>
        </is>
      </c>
      <c r="D297" s="5" t="inlineStr">
        <is>
          <t>得分</t>
        </is>
      </c>
      <c r="E297" s="5" t="inlineStr">
        <is>
          <t>涨跌幅%</t>
        </is>
      </c>
      <c r="F297" s="5" t="inlineStr">
        <is>
          <t>成交额(亿)</t>
        </is>
      </c>
      <c r="G297" s="5" t="inlineStr">
        <is>
          <t>D1新高</t>
        </is>
      </c>
      <c r="H297" s="5" t="inlineStr">
        <is>
          <t>D2强势</t>
        </is>
      </c>
      <c r="I297" s="5" t="inlineStr">
        <is>
          <t>D3突破</t>
        </is>
      </c>
      <c r="J297" s="5" t="inlineStr">
        <is>
          <t>D4首板</t>
        </is>
      </c>
      <c r="K297" s="5" t="inlineStr">
        <is>
          <t>D5潜突</t>
        </is>
      </c>
      <c r="L297" s="5" t="inlineStr">
        <is>
          <t>D6连板</t>
        </is>
      </c>
      <c r="M297" s="5" t="inlineStr">
        <is>
          <t>D7一字</t>
        </is>
      </c>
      <c r="N297" s="5" t="inlineStr">
        <is>
          <t>D8活跃</t>
        </is>
      </c>
      <c r="O297" s="5" t="inlineStr">
        <is>
          <t>大成交额加分</t>
        </is>
      </c>
      <c r="P297" s="5" t="inlineStr">
        <is>
          <t>得分明细</t>
        </is>
      </c>
    </row>
    <row r="298">
      <c r="A298" t="n">
        <v>1</v>
      </c>
      <c r="B298" t="inlineStr">
        <is>
          <t>603005</t>
        </is>
      </c>
      <c r="C298" t="inlineStr">
        <is>
          <t>晶方科技</t>
        </is>
      </c>
      <c r="D298" t="n">
        <v>8</v>
      </c>
      <c r="E298" t="n">
        <v>4.25</v>
      </c>
      <c r="F298" t="n">
        <v>0.01</v>
      </c>
      <c r="G298" t="n">
        <v>0</v>
      </c>
      <c r="H298" t="n">
        <v>0</v>
      </c>
      <c r="I298" t="n">
        <v>5</v>
      </c>
      <c r="J298" t="n">
        <v>0</v>
      </c>
      <c r="K298" t="n">
        <v>0</v>
      </c>
      <c r="L298" t="n">
        <v>0</v>
      </c>
      <c r="M298" t="n">
        <v>0</v>
      </c>
      <c r="N298" t="n">
        <v>3</v>
      </c>
      <c r="O298" t="n">
        <v>0</v>
      </c>
      <c r="P298" t="inlineStr">
        <is>
          <t>D1新高=0,D2强势=0,D3突破=5,D4首板=0,D5潜突=0,D6连板=0,D7一字=0,D8活跃=3,bonus=0</t>
        </is>
      </c>
    </row>
    <row r="299"/>
    <row r="300">
      <c r="A300" s="4" t="inlineStr">
        <is>
          <t>--- 细分: 环氧塑封料 ---</t>
        </is>
      </c>
    </row>
    <row r="301">
      <c r="A301" s="5" t="inlineStr">
        <is>
          <t>排名</t>
        </is>
      </c>
      <c r="B301" s="5" t="inlineStr">
        <is>
          <t>代码</t>
        </is>
      </c>
      <c r="C301" s="5" t="inlineStr">
        <is>
          <t>名称</t>
        </is>
      </c>
      <c r="D301" s="5" t="inlineStr">
        <is>
          <t>得分</t>
        </is>
      </c>
      <c r="E301" s="5" t="inlineStr">
        <is>
          <t>涨跌幅%</t>
        </is>
      </c>
      <c r="F301" s="5" t="inlineStr">
        <is>
          <t>成交额(亿)</t>
        </is>
      </c>
      <c r="G301" s="5" t="inlineStr">
        <is>
          <t>D1新高</t>
        </is>
      </c>
      <c r="H301" s="5" t="inlineStr">
        <is>
          <t>D2强势</t>
        </is>
      </c>
      <c r="I301" s="5" t="inlineStr">
        <is>
          <t>D3突破</t>
        </is>
      </c>
      <c r="J301" s="5" t="inlineStr">
        <is>
          <t>D4首板</t>
        </is>
      </c>
      <c r="K301" s="5" t="inlineStr">
        <is>
          <t>D5潜突</t>
        </is>
      </c>
      <c r="L301" s="5" t="inlineStr">
        <is>
          <t>D6连板</t>
        </is>
      </c>
      <c r="M301" s="5" t="inlineStr">
        <is>
          <t>D7一字</t>
        </is>
      </c>
      <c r="N301" s="5" t="inlineStr">
        <is>
          <t>D8活跃</t>
        </is>
      </c>
      <c r="O301" s="5" t="inlineStr">
        <is>
          <t>大成交额加分</t>
        </is>
      </c>
      <c r="P301" s="5" t="inlineStr">
        <is>
          <t>得分明细</t>
        </is>
      </c>
    </row>
    <row r="302">
      <c r="A302" t="n">
        <v>1</v>
      </c>
      <c r="B302" t="inlineStr">
        <is>
          <t>688535</t>
        </is>
      </c>
      <c r="C302" t="inlineStr">
        <is>
          <t>华海诚科</t>
        </is>
      </c>
      <c r="D302" t="n">
        <v>8</v>
      </c>
      <c r="E302" t="n">
        <v>6.55</v>
      </c>
      <c r="F302" t="n">
        <v>0.13</v>
      </c>
      <c r="G302" t="n">
        <v>0</v>
      </c>
      <c r="H302" t="n">
        <v>0</v>
      </c>
      <c r="I302" t="n">
        <v>5</v>
      </c>
      <c r="J302" t="n">
        <v>0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inlineStr">
        <is>
          <t>D1新高=0,D2强势=0,D3突破=5,D4首板=0,D5潜突=0,D6连板=0,D7一字=0,D8活跃=3,bonus=0</t>
        </is>
      </c>
    </row>
    <row r="303"/>
    <row r="304">
      <c r="A304" s="4" t="inlineStr">
        <is>
          <t>--- 细分: HiPIMS设备 ---</t>
        </is>
      </c>
    </row>
    <row r="305">
      <c r="A305" s="5" t="inlineStr">
        <is>
          <t>排名</t>
        </is>
      </c>
      <c r="B305" s="5" t="inlineStr">
        <is>
          <t>代码</t>
        </is>
      </c>
      <c r="C305" s="5" t="inlineStr">
        <is>
          <t>名称</t>
        </is>
      </c>
      <c r="D305" s="5" t="inlineStr">
        <is>
          <t>得分</t>
        </is>
      </c>
      <c r="E305" s="5" t="inlineStr">
        <is>
          <t>涨跌幅%</t>
        </is>
      </c>
      <c r="F305" s="5" t="inlineStr">
        <is>
          <t>成交额(亿)</t>
        </is>
      </c>
      <c r="G305" s="5" t="inlineStr">
        <is>
          <t>D1新高</t>
        </is>
      </c>
      <c r="H305" s="5" t="inlineStr">
        <is>
          <t>D2强势</t>
        </is>
      </c>
      <c r="I305" s="5" t="inlineStr">
        <is>
          <t>D3突破</t>
        </is>
      </c>
      <c r="J305" s="5" t="inlineStr">
        <is>
          <t>D4首板</t>
        </is>
      </c>
      <c r="K305" s="5" t="inlineStr">
        <is>
          <t>D5潜突</t>
        </is>
      </c>
      <c r="L305" s="5" t="inlineStr">
        <is>
          <t>D6连板</t>
        </is>
      </c>
      <c r="M305" s="5" t="inlineStr">
        <is>
          <t>D7一字</t>
        </is>
      </c>
      <c r="N305" s="5" t="inlineStr">
        <is>
          <t>D8活跃</t>
        </is>
      </c>
      <c r="O305" s="5" t="inlineStr">
        <is>
          <t>大成交额加分</t>
        </is>
      </c>
      <c r="P305" s="5" t="inlineStr">
        <is>
          <t>得分明细</t>
        </is>
      </c>
    </row>
    <row r="306">
      <c r="A306" t="n">
        <v>1</v>
      </c>
      <c r="B306" t="inlineStr">
        <is>
          <t>301392</t>
        </is>
      </c>
      <c r="C306" t="inlineStr">
        <is>
          <t>汇成真空</t>
        </is>
      </c>
      <c r="D306" t="n">
        <v>8</v>
      </c>
      <c r="E306" t="n">
        <v>15.69</v>
      </c>
      <c r="F306" t="n">
        <v>0</v>
      </c>
      <c r="G306" t="n">
        <v>0</v>
      </c>
      <c r="H306" t="n">
        <v>0</v>
      </c>
      <c r="I306" t="n">
        <v>5</v>
      </c>
      <c r="J306" t="n">
        <v>3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D1新高=0,D2强势=0,D3突破=5,D4首板=3,D5潜突=0,D6连板=0,D7一字=0,D8活跃=0,bonus=0</t>
        </is>
      </c>
    </row>
    <row r="307"/>
    <row r="308">
      <c r="A308" s="4" t="inlineStr">
        <is>
          <t>--- 细分: 玻璃通孔激光设备 ---</t>
        </is>
      </c>
    </row>
    <row r="309">
      <c r="A309" s="5" t="inlineStr">
        <is>
          <t>排名</t>
        </is>
      </c>
      <c r="B309" s="5" t="inlineStr">
        <is>
          <t>代码</t>
        </is>
      </c>
      <c r="C309" s="5" t="inlineStr">
        <is>
          <t>名称</t>
        </is>
      </c>
      <c r="D309" s="5" t="inlineStr">
        <is>
          <t>得分</t>
        </is>
      </c>
      <c r="E309" s="5" t="inlineStr">
        <is>
          <t>涨跌幅%</t>
        </is>
      </c>
      <c r="F309" s="5" t="inlineStr">
        <is>
          <t>成交额(亿)</t>
        </is>
      </c>
      <c r="G309" s="5" t="inlineStr">
        <is>
          <t>D1新高</t>
        </is>
      </c>
      <c r="H309" s="5" t="inlineStr">
        <is>
          <t>D2强势</t>
        </is>
      </c>
      <c r="I309" s="5" t="inlineStr">
        <is>
          <t>D3突破</t>
        </is>
      </c>
      <c r="J309" s="5" t="inlineStr">
        <is>
          <t>D4首板</t>
        </is>
      </c>
      <c r="K309" s="5" t="inlineStr">
        <is>
          <t>D5潜突</t>
        </is>
      </c>
      <c r="L309" s="5" t="inlineStr">
        <is>
          <t>D6连板</t>
        </is>
      </c>
      <c r="M309" s="5" t="inlineStr">
        <is>
          <t>D7一字</t>
        </is>
      </c>
      <c r="N309" s="5" t="inlineStr">
        <is>
          <t>D8活跃</t>
        </is>
      </c>
      <c r="O309" s="5" t="inlineStr">
        <is>
          <t>大成交额加分</t>
        </is>
      </c>
      <c r="P309" s="5" t="inlineStr">
        <is>
          <t>得分明细</t>
        </is>
      </c>
    </row>
    <row r="310">
      <c r="A310" t="n">
        <v>1</v>
      </c>
      <c r="B310" t="inlineStr">
        <is>
          <t>688170</t>
        </is>
      </c>
      <c r="C310" t="inlineStr">
        <is>
          <t>德龙激光</t>
        </is>
      </c>
      <c r="D310" t="n">
        <v>8</v>
      </c>
      <c r="E310" t="n">
        <v>3.2</v>
      </c>
      <c r="F310" t="n">
        <v>0.11</v>
      </c>
      <c r="G310" t="n">
        <v>0</v>
      </c>
      <c r="H310" t="n">
        <v>0</v>
      </c>
      <c r="I310" t="n">
        <v>5</v>
      </c>
      <c r="J310" t="n">
        <v>0</v>
      </c>
      <c r="K310" t="n">
        <v>0</v>
      </c>
      <c r="L310" t="n">
        <v>0</v>
      </c>
      <c r="M310" t="n">
        <v>0</v>
      </c>
      <c r="N310" t="n">
        <v>3</v>
      </c>
      <c r="O310" t="n">
        <v>0</v>
      </c>
      <c r="P310" t="inlineStr">
        <is>
          <t>D1新高=0,D2强势=0,D3突破=5,D4首板=0,D5潜突=0,D6连板=0,D7一字=0,D8活跃=3,bonus=0</t>
        </is>
      </c>
    </row>
    <row r="311"/>
    <row r="312">
      <c r="A312" s="4" t="inlineStr">
        <is>
          <t>--- 细分: 设计总包 ---</t>
        </is>
      </c>
    </row>
    <row r="313">
      <c r="A313" s="5" t="inlineStr">
        <is>
          <t>排名</t>
        </is>
      </c>
      <c r="B313" s="5" t="inlineStr">
        <is>
          <t>代码</t>
        </is>
      </c>
      <c r="C313" s="5" t="inlineStr">
        <is>
          <t>名称</t>
        </is>
      </c>
      <c r="D313" s="5" t="inlineStr">
        <is>
          <t>得分</t>
        </is>
      </c>
      <c r="E313" s="5" t="inlineStr">
        <is>
          <t>涨跌幅%</t>
        </is>
      </c>
      <c r="F313" s="5" t="inlineStr">
        <is>
          <t>成交额(亿)</t>
        </is>
      </c>
      <c r="G313" s="5" t="inlineStr">
        <is>
          <t>D1新高</t>
        </is>
      </c>
      <c r="H313" s="5" t="inlineStr">
        <is>
          <t>D2强势</t>
        </is>
      </c>
      <c r="I313" s="5" t="inlineStr">
        <is>
          <t>D3突破</t>
        </is>
      </c>
      <c r="J313" s="5" t="inlineStr">
        <is>
          <t>D4首板</t>
        </is>
      </c>
      <c r="K313" s="5" t="inlineStr">
        <is>
          <t>D5潜突</t>
        </is>
      </c>
      <c r="L313" s="5" t="inlineStr">
        <is>
          <t>D6连板</t>
        </is>
      </c>
      <c r="M313" s="5" t="inlineStr">
        <is>
          <t>D7一字</t>
        </is>
      </c>
      <c r="N313" s="5" t="inlineStr">
        <is>
          <t>D8活跃</t>
        </is>
      </c>
      <c r="O313" s="5" t="inlineStr">
        <is>
          <t>大成交额加分</t>
        </is>
      </c>
      <c r="P313" s="5" t="inlineStr">
        <is>
          <t>得分明细</t>
        </is>
      </c>
    </row>
    <row r="314">
      <c r="A314" t="n">
        <v>1</v>
      </c>
      <c r="B314" t="inlineStr">
        <is>
          <t>600962</t>
        </is>
      </c>
      <c r="C314" t="inlineStr">
        <is>
          <t>国投中鲁</t>
        </is>
      </c>
      <c r="D314" t="n">
        <v>8</v>
      </c>
      <c r="E314" t="n">
        <v>2.41</v>
      </c>
      <c r="F314" t="n">
        <v>0</v>
      </c>
      <c r="G314" t="n">
        <v>0</v>
      </c>
      <c r="H314" t="n">
        <v>0</v>
      </c>
      <c r="I314" t="n">
        <v>5</v>
      </c>
      <c r="J314" t="n">
        <v>0</v>
      </c>
      <c r="K314" t="n">
        <v>0</v>
      </c>
      <c r="L314" t="n">
        <v>0</v>
      </c>
      <c r="M314" t="n">
        <v>0</v>
      </c>
      <c r="N314" t="n">
        <v>3</v>
      </c>
      <c r="O314" t="n">
        <v>0</v>
      </c>
      <c r="P314" t="inlineStr">
        <is>
          <t>D1新高=0,D2强势=0,D3突破=5,D4首板=0,D5潜突=0,D6连板=0,D7一字=0,D8活跃=3,bonus=0</t>
        </is>
      </c>
    </row>
    <row r="315"/>
    <row r="316">
      <c r="A316" s="4" t="inlineStr">
        <is>
          <t>--- 细分: 设备 ---</t>
        </is>
      </c>
    </row>
    <row r="317">
      <c r="A317" s="5" t="inlineStr">
        <is>
          <t>排名</t>
        </is>
      </c>
      <c r="B317" s="5" t="inlineStr">
        <is>
          <t>代码</t>
        </is>
      </c>
      <c r="C317" s="5" t="inlineStr">
        <is>
          <t>名称</t>
        </is>
      </c>
      <c r="D317" s="5" t="inlineStr">
        <is>
          <t>得分</t>
        </is>
      </c>
      <c r="E317" s="5" t="inlineStr">
        <is>
          <t>涨跌幅%</t>
        </is>
      </c>
      <c r="F317" s="5" t="inlineStr">
        <is>
          <t>成交额(亿)</t>
        </is>
      </c>
      <c r="G317" s="5" t="inlineStr">
        <is>
          <t>D1新高</t>
        </is>
      </c>
      <c r="H317" s="5" t="inlineStr">
        <is>
          <t>D2强势</t>
        </is>
      </c>
      <c r="I317" s="5" t="inlineStr">
        <is>
          <t>D3突破</t>
        </is>
      </c>
      <c r="J317" s="5" t="inlineStr">
        <is>
          <t>D4首板</t>
        </is>
      </c>
      <c r="K317" s="5" t="inlineStr">
        <is>
          <t>D5潜突</t>
        </is>
      </c>
      <c r="L317" s="5" t="inlineStr">
        <is>
          <t>D6连板</t>
        </is>
      </c>
      <c r="M317" s="5" t="inlineStr">
        <is>
          <t>D7一字</t>
        </is>
      </c>
      <c r="N317" s="5" t="inlineStr">
        <is>
          <t>D8活跃</t>
        </is>
      </c>
      <c r="O317" s="5" t="inlineStr">
        <is>
          <t>大成交额加分</t>
        </is>
      </c>
      <c r="P317" s="5" t="inlineStr">
        <is>
          <t>得分明细</t>
        </is>
      </c>
    </row>
    <row r="318">
      <c r="A318" t="n">
        <v>7</v>
      </c>
      <c r="B318" t="inlineStr">
        <is>
          <t>000988</t>
        </is>
      </c>
      <c r="C318" t="inlineStr">
        <is>
          <t>华工科技</t>
        </is>
      </c>
      <c r="D318" t="n">
        <v>5</v>
      </c>
      <c r="E318" t="n">
        <v>3.97</v>
      </c>
      <c r="F318" t="n">
        <v>0.01</v>
      </c>
      <c r="G318" t="n">
        <v>0</v>
      </c>
      <c r="H318" t="n">
        <v>0</v>
      </c>
      <c r="I318" t="n">
        <v>5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D1新高=0,D2强势=0,D3突破=5,D4首板=0,D5潜突=0,D6连板=0,D7一字=0,D8活跃=0,bonus=0</t>
        </is>
      </c>
    </row>
    <row r="319">
      <c r="A319" t="n">
        <v>8</v>
      </c>
      <c r="B319" t="inlineStr">
        <is>
          <t>300567</t>
        </is>
      </c>
      <c r="C319" t="inlineStr">
        <is>
          <t>精测电子</t>
        </is>
      </c>
      <c r="D319" t="n">
        <v>5</v>
      </c>
      <c r="E319" t="n">
        <v>5.34</v>
      </c>
      <c r="F319" t="n">
        <v>0</v>
      </c>
      <c r="G319" t="n">
        <v>0</v>
      </c>
      <c r="H319" t="n">
        <v>0</v>
      </c>
      <c r="I319" t="n">
        <v>5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D1新高=0,D2强势=0,D3突破=5,D4首板=0,D5潜突=0,D6连板=0,D7一字=0,D8活跃=0,bonus=0</t>
        </is>
      </c>
    </row>
    <row r="320">
      <c r="A320" t="n">
        <v>9</v>
      </c>
      <c r="B320" t="inlineStr">
        <is>
          <t>603800</t>
        </is>
      </c>
      <c r="C320" t="inlineStr">
        <is>
          <t>洪田股份</t>
        </is>
      </c>
      <c r="D320" t="n">
        <v>3</v>
      </c>
      <c r="E320" t="n">
        <v>0.91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3</v>
      </c>
      <c r="O320" t="n">
        <v>0</v>
      </c>
      <c r="P320" t="inlineStr">
        <is>
          <t>D1新高=0,D2强势=0,D3突破=0,D4首板=0,D5潜突=0,D6连板=0,D7一字=0,D8活跃=3,bonus=0</t>
        </is>
      </c>
    </row>
    <row r="321">
      <c r="A321" t="n">
        <v>10</v>
      </c>
      <c r="B321" t="inlineStr">
        <is>
          <t>301200</t>
        </is>
      </c>
      <c r="C321" t="inlineStr">
        <is>
          <t>大族数控</t>
        </is>
      </c>
      <c r="D321" t="n">
        <v>3</v>
      </c>
      <c r="E321" t="n">
        <v>0.64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3</v>
      </c>
      <c r="O321" t="n">
        <v>0</v>
      </c>
      <c r="P321" t="inlineStr">
        <is>
          <t>D1新高=0,D2强势=0,D3突破=0,D4首板=0,D5潜突=0,D6连板=0,D7一字=0,D8活跃=3,bonus=0</t>
        </is>
      </c>
    </row>
    <row r="322">
      <c r="A322" t="n">
        <v>11</v>
      </c>
      <c r="B322" t="inlineStr">
        <is>
          <t>300724</t>
        </is>
      </c>
      <c r="C322" t="inlineStr">
        <is>
          <t>捷佳伟创</t>
        </is>
      </c>
      <c r="D322" t="n">
        <v>0</v>
      </c>
      <c r="E322" t="n">
        <v>0.5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inlineStr">
        <is>
          <t>D1新高=0,D2强势=0,D3突破=0,D4首板=0,D5潜突=0,D6连板=0,D7一字=0,D8活跃=0,bonus=0</t>
        </is>
      </c>
    </row>
    <row r="323"/>
    <row r="324">
      <c r="A324" s="4" t="inlineStr">
        <is>
          <t>--- 细分: 相关设备 ---</t>
        </is>
      </c>
    </row>
    <row r="325">
      <c r="A325" s="5" t="inlineStr">
        <is>
          <t>排名</t>
        </is>
      </c>
      <c r="B325" s="5" t="inlineStr">
        <is>
          <t>代码</t>
        </is>
      </c>
      <c r="C325" s="5" t="inlineStr">
        <is>
          <t>名称</t>
        </is>
      </c>
      <c r="D325" s="5" t="inlineStr">
        <is>
          <t>得分</t>
        </is>
      </c>
      <c r="E325" s="5" t="inlineStr">
        <is>
          <t>涨跌幅%</t>
        </is>
      </c>
      <c r="F325" s="5" t="inlineStr">
        <is>
          <t>成交额(亿)</t>
        </is>
      </c>
      <c r="G325" s="5" t="inlineStr">
        <is>
          <t>D1新高</t>
        </is>
      </c>
      <c r="H325" s="5" t="inlineStr">
        <is>
          <t>D2强势</t>
        </is>
      </c>
      <c r="I325" s="5" t="inlineStr">
        <is>
          <t>D3突破</t>
        </is>
      </c>
      <c r="J325" s="5" t="inlineStr">
        <is>
          <t>D4首板</t>
        </is>
      </c>
      <c r="K325" s="5" t="inlineStr">
        <is>
          <t>D5潜突</t>
        </is>
      </c>
      <c r="L325" s="5" t="inlineStr">
        <is>
          <t>D6连板</t>
        </is>
      </c>
      <c r="M325" s="5" t="inlineStr">
        <is>
          <t>D7一字</t>
        </is>
      </c>
      <c r="N325" s="5" t="inlineStr">
        <is>
          <t>D8活跃</t>
        </is>
      </c>
      <c r="O325" s="5" t="inlineStr">
        <is>
          <t>大成交额加分</t>
        </is>
      </c>
      <c r="P325" s="5" t="inlineStr">
        <is>
          <t>得分明细</t>
        </is>
      </c>
    </row>
    <row r="326">
      <c r="A326" t="n">
        <v>3</v>
      </c>
      <c r="B326" t="inlineStr">
        <is>
          <t>603283</t>
        </is>
      </c>
      <c r="C326" t="inlineStr">
        <is>
          <t>赛腾股份</t>
        </is>
      </c>
      <c r="D326" t="n">
        <v>8</v>
      </c>
      <c r="E326" t="n">
        <v>9.99</v>
      </c>
      <c r="F326" t="n">
        <v>0</v>
      </c>
      <c r="G326" t="n">
        <v>0</v>
      </c>
      <c r="H326" t="n">
        <v>0</v>
      </c>
      <c r="I326" t="n">
        <v>5</v>
      </c>
      <c r="J326" t="n">
        <v>3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inlineStr">
        <is>
          <t>D1新高=0,D2强势=0,D3突破=5,D4首板=3,D5潜突=0,D6连板=0,D7一字=0,D8活跃=0,bonus=0</t>
        </is>
      </c>
    </row>
    <row r="327">
      <c r="A327" t="n">
        <v>8</v>
      </c>
      <c r="B327" t="inlineStr">
        <is>
          <t>688361</t>
        </is>
      </c>
      <c r="C327" t="inlineStr">
        <is>
          <t>中科飞测</t>
        </is>
      </c>
      <c r="D327" t="n">
        <v>5</v>
      </c>
      <c r="E327" t="n">
        <v>4.44</v>
      </c>
      <c r="F327" t="n">
        <v>0.1</v>
      </c>
      <c r="G327" t="n">
        <v>0</v>
      </c>
      <c r="H327" t="n">
        <v>0</v>
      </c>
      <c r="I327" t="n">
        <v>5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inlineStr">
        <is>
          <t>D1新高=0,D2强势=0,D3突破=5,D4首板=0,D5潜突=0,D6连板=0,D7一字=0,D8活跃=0,bonus=0</t>
        </is>
      </c>
    </row>
    <row r="328">
      <c r="A328" t="n">
        <v>10</v>
      </c>
      <c r="B328" t="inlineStr">
        <is>
          <t>688037</t>
        </is>
      </c>
      <c r="C328" t="inlineStr">
        <is>
          <t>芯源微</t>
        </is>
      </c>
      <c r="D328" t="n">
        <v>5</v>
      </c>
      <c r="E328" t="n">
        <v>5.63</v>
      </c>
      <c r="F328" t="n">
        <v>0.09</v>
      </c>
      <c r="G328" t="n">
        <v>0</v>
      </c>
      <c r="H328" t="n">
        <v>0</v>
      </c>
      <c r="I328" t="n">
        <v>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D1新高=0,D2强势=0,D3突破=5,D4首板=0,D5潜突=0,D6连板=0,D7一字=0,D8活跃=0,bonus=0</t>
        </is>
      </c>
    </row>
    <row r="329">
      <c r="A329" t="n">
        <v>11</v>
      </c>
      <c r="B329" t="inlineStr">
        <is>
          <t>603203</t>
        </is>
      </c>
      <c r="C329" t="inlineStr">
        <is>
          <t>快克智能</t>
        </is>
      </c>
      <c r="D329" t="n">
        <v>5</v>
      </c>
      <c r="E329" t="n">
        <v>5.87</v>
      </c>
      <c r="F329" t="n">
        <v>0</v>
      </c>
      <c r="G329" t="n">
        <v>0</v>
      </c>
      <c r="H329" t="n">
        <v>0</v>
      </c>
      <c r="I329" t="n">
        <v>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D1新高=0,D2强势=0,D3突破=5,D4首板=0,D5潜突=0,D6连板=0,D7一字=0,D8活跃=0,bonus=0</t>
        </is>
      </c>
    </row>
    <row r="330">
      <c r="A330" t="n">
        <v>12</v>
      </c>
      <c r="B330" t="inlineStr">
        <is>
          <t>301338</t>
        </is>
      </c>
      <c r="C330" t="inlineStr">
        <is>
          <t>凯格精机</t>
        </is>
      </c>
      <c r="D330" t="n">
        <v>0</v>
      </c>
      <c r="E330" t="n">
        <v>0.7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D1新高=0,D2强势=0,D3突破=0,D4首板=0,D5潜突=0,D6连板=0,D7一字=0,D8活跃=0,bonus=0</t>
        </is>
      </c>
    </row>
    <row r="331"/>
    <row r="332">
      <c r="A332" s="4" t="inlineStr">
        <is>
          <t>--- 细分: 相关耗材 ---</t>
        </is>
      </c>
    </row>
    <row r="333">
      <c r="A333" s="5" t="inlineStr">
        <is>
          <t>排名</t>
        </is>
      </c>
      <c r="B333" s="5" t="inlineStr">
        <is>
          <t>代码</t>
        </is>
      </c>
      <c r="C333" s="5" t="inlineStr">
        <is>
          <t>名称</t>
        </is>
      </c>
      <c r="D333" s="5" t="inlineStr">
        <is>
          <t>得分</t>
        </is>
      </c>
      <c r="E333" s="5" t="inlineStr">
        <is>
          <t>涨跌幅%</t>
        </is>
      </c>
      <c r="F333" s="5" t="inlineStr">
        <is>
          <t>成交额(亿)</t>
        </is>
      </c>
      <c r="G333" s="5" t="inlineStr">
        <is>
          <t>D1新高</t>
        </is>
      </c>
      <c r="H333" s="5" t="inlineStr">
        <is>
          <t>D2强势</t>
        </is>
      </c>
      <c r="I333" s="5" t="inlineStr">
        <is>
          <t>D3突破</t>
        </is>
      </c>
      <c r="J333" s="5" t="inlineStr">
        <is>
          <t>D4首板</t>
        </is>
      </c>
      <c r="K333" s="5" t="inlineStr">
        <is>
          <t>D5潜突</t>
        </is>
      </c>
      <c r="L333" s="5" t="inlineStr">
        <is>
          <t>D6连板</t>
        </is>
      </c>
      <c r="M333" s="5" t="inlineStr">
        <is>
          <t>D7一字</t>
        </is>
      </c>
      <c r="N333" s="5" t="inlineStr">
        <is>
          <t>D8活跃</t>
        </is>
      </c>
      <c r="O333" s="5" t="inlineStr">
        <is>
          <t>大成交额加分</t>
        </is>
      </c>
      <c r="P333" s="5" t="inlineStr">
        <is>
          <t>得分明细</t>
        </is>
      </c>
    </row>
    <row r="334">
      <c r="A334" t="n">
        <v>1</v>
      </c>
      <c r="B334" t="inlineStr">
        <is>
          <t>688300</t>
        </is>
      </c>
      <c r="C334" t="inlineStr">
        <is>
          <t>联瑞新材</t>
        </is>
      </c>
      <c r="D334" t="n">
        <v>22</v>
      </c>
      <c r="E334" t="n">
        <v>6.93</v>
      </c>
      <c r="F334" t="n">
        <v>0.09</v>
      </c>
      <c r="G334" t="n">
        <v>8</v>
      </c>
      <c r="H334" t="n">
        <v>6</v>
      </c>
      <c r="I334" t="n">
        <v>5</v>
      </c>
      <c r="J334" t="n">
        <v>0</v>
      </c>
      <c r="K334" t="n">
        <v>0</v>
      </c>
      <c r="L334" t="n">
        <v>0</v>
      </c>
      <c r="M334" t="n">
        <v>0</v>
      </c>
      <c r="N334" t="n">
        <v>3</v>
      </c>
      <c r="O334" t="n">
        <v>0</v>
      </c>
      <c r="P334" t="inlineStr">
        <is>
          <t>D1新高=8,D2强势=6,D3突破=5,D4首板=0,D5潜突=0,D6连板=0,D7一字=0,D8活跃=3,bonus=0</t>
        </is>
      </c>
    </row>
    <row r="335">
      <c r="A335" t="n">
        <v>4</v>
      </c>
      <c r="B335" t="inlineStr">
        <is>
          <t>688035</t>
        </is>
      </c>
      <c r="C335" t="inlineStr">
        <is>
          <t>德邦科技</t>
        </is>
      </c>
      <c r="D335" t="n">
        <v>13</v>
      </c>
      <c r="E335" t="n">
        <v>7.04</v>
      </c>
      <c r="F335" t="n">
        <v>0.09</v>
      </c>
      <c r="G335" t="n">
        <v>8</v>
      </c>
      <c r="H335" t="n">
        <v>0</v>
      </c>
      <c r="I335" t="n">
        <v>5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inlineStr">
        <is>
          <t>D1新高=8,D2强势=0,D3突破=5,D4首板=0,D5潜突=0,D6连板=0,D7一字=0,D8活跃=0,bonus=0</t>
        </is>
      </c>
    </row>
    <row r="336">
      <c r="A336" t="n">
        <v>5</v>
      </c>
      <c r="B336" t="inlineStr">
        <is>
          <t>603650</t>
        </is>
      </c>
      <c r="C336" t="inlineStr">
        <is>
          <t>彤程新材</t>
        </is>
      </c>
      <c r="D336" t="n">
        <v>13</v>
      </c>
      <c r="E336" t="n">
        <v>5.99</v>
      </c>
      <c r="F336" t="n">
        <v>0</v>
      </c>
      <c r="G336" t="n">
        <v>8</v>
      </c>
      <c r="H336" t="n">
        <v>0</v>
      </c>
      <c r="I336" t="n">
        <v>5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inlineStr">
        <is>
          <t>D1新高=8,D2强势=0,D3突破=5,D4首板=0,D5潜突=0,D6连板=0,D7一字=0,D8活跃=0,bonus=0</t>
        </is>
      </c>
    </row>
    <row r="337">
      <c r="A337" t="n">
        <v>7</v>
      </c>
      <c r="B337" t="inlineStr">
        <is>
          <t>300236</t>
        </is>
      </c>
      <c r="C337" t="inlineStr">
        <is>
          <t>上海新阳</t>
        </is>
      </c>
      <c r="D337" t="n">
        <v>5</v>
      </c>
      <c r="E337" t="n">
        <v>6.54</v>
      </c>
      <c r="F337" t="n">
        <v>0</v>
      </c>
      <c r="G337" t="n">
        <v>0</v>
      </c>
      <c r="H337" t="n">
        <v>0</v>
      </c>
      <c r="I337" t="n">
        <v>5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inlineStr">
        <is>
          <t>D1新高=0,D2强势=0,D3突破=5,D4首板=0,D5潜突=0,D6连板=0,D7一字=0,D8活跃=0,bonus=0</t>
        </is>
      </c>
    </row>
    <row r="338">
      <c r="A338" t="n">
        <v>9</v>
      </c>
      <c r="B338" t="inlineStr">
        <is>
          <t>300576</t>
        </is>
      </c>
      <c r="C338" t="inlineStr">
        <is>
          <t>容大感光</t>
        </is>
      </c>
      <c r="D338" t="n">
        <v>3</v>
      </c>
      <c r="E338" t="n">
        <v>2.69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3</v>
      </c>
      <c r="O338" t="n">
        <v>0</v>
      </c>
      <c r="P338" t="inlineStr">
        <is>
          <t>D1新高=0,D2强势=0,D3突破=0,D4首板=0,D5潜突=0,D6连板=0,D7一字=0,D8活跃=3,bonus=0</t>
        </is>
      </c>
    </row>
    <row r="339">
      <c r="A339" t="n">
        <v>11</v>
      </c>
      <c r="B339" t="inlineStr">
        <is>
          <t>002453</t>
        </is>
      </c>
      <c r="C339" t="inlineStr">
        <is>
          <t>华软科技</t>
        </is>
      </c>
      <c r="D339" t="n">
        <v>0</v>
      </c>
      <c r="E339" t="n">
        <v>-3.24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D1新高=0,D2强势=0,D3突破=0,D4首板=0,D5潜突=0,D6连板=0,D7一字=0,D8活跃=0,bonus=0</t>
        </is>
      </c>
    </row>
    <row r="340">
      <c r="A340" t="n">
        <v>12</v>
      </c>
      <c r="B340" t="inlineStr">
        <is>
          <t>300554</t>
        </is>
      </c>
      <c r="C340" t="inlineStr">
        <is>
          <t>三超新材</t>
        </is>
      </c>
      <c r="D340" t="n">
        <v>0</v>
      </c>
      <c r="E340" t="n">
        <v>-0.88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inlineStr">
        <is>
          <t>D1新高=0,D2强势=0,D3突破=0,D4首板=0,D5潜突=0,D6连板=0,D7一字=0,D8活跃=0,bonus=0</t>
        </is>
      </c>
    </row>
    <row r="341">
      <c r="A341" t="n">
        <v>13</v>
      </c>
      <c r="B341" t="inlineStr">
        <is>
          <t>603306</t>
        </is>
      </c>
      <c r="C341" t="inlineStr">
        <is>
          <t>华懋科技</t>
        </is>
      </c>
      <c r="D341" t="n">
        <v>0</v>
      </c>
      <c r="E341" t="n">
        <v>1.56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inlineStr">
        <is>
          <t>D1新高=0,D2强势=0,D3突破=0,D4首板=0,D5潜突=0,D6连板=0,D7一字=0,D8活跃=0,bonus=0</t>
        </is>
      </c>
    </row>
    <row r="342">
      <c r="A342" t="n">
        <v>14</v>
      </c>
      <c r="B342" t="inlineStr">
        <is>
          <t>300346</t>
        </is>
      </c>
      <c r="C342" t="inlineStr">
        <is>
          <t>南大光电</t>
        </is>
      </c>
      <c r="D342" t="n">
        <v>0</v>
      </c>
      <c r="E342" t="n">
        <v>3.19</v>
      </c>
      <c r="F342" t="n">
        <v>0.01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inlineStr">
        <is>
          <t>D1新高=0,D2强势=0,D3突破=0,D4首板=0,D5潜突=0,D6连板=0,D7一字=0,D8活跃=0,bonus=0</t>
        </is>
      </c>
    </row>
    <row r="343"/>
    <row r="344">
      <c r="A344" s="4" t="inlineStr">
        <is>
          <t>--- 细分: 锆原料 ---</t>
        </is>
      </c>
    </row>
    <row r="345">
      <c r="A345" s="5" t="inlineStr">
        <is>
          <t>排名</t>
        </is>
      </c>
      <c r="B345" s="5" t="inlineStr">
        <is>
          <t>代码</t>
        </is>
      </c>
      <c r="C345" s="5" t="inlineStr">
        <is>
          <t>名称</t>
        </is>
      </c>
      <c r="D345" s="5" t="inlineStr">
        <is>
          <t>得分</t>
        </is>
      </c>
      <c r="E345" s="5" t="inlineStr">
        <is>
          <t>涨跌幅%</t>
        </is>
      </c>
      <c r="F345" s="5" t="inlineStr">
        <is>
          <t>成交额(亿)</t>
        </is>
      </c>
      <c r="G345" s="5" t="inlineStr">
        <is>
          <t>D1新高</t>
        </is>
      </c>
      <c r="H345" s="5" t="inlineStr">
        <is>
          <t>D2强势</t>
        </is>
      </c>
      <c r="I345" s="5" t="inlineStr">
        <is>
          <t>D3突破</t>
        </is>
      </c>
      <c r="J345" s="5" t="inlineStr">
        <is>
          <t>D4首板</t>
        </is>
      </c>
      <c r="K345" s="5" t="inlineStr">
        <is>
          <t>D5潜突</t>
        </is>
      </c>
      <c r="L345" s="5" t="inlineStr">
        <is>
          <t>D6连板</t>
        </is>
      </c>
      <c r="M345" s="5" t="inlineStr">
        <is>
          <t>D7一字</t>
        </is>
      </c>
      <c r="N345" s="5" t="inlineStr">
        <is>
          <t>D8活跃</t>
        </is>
      </c>
      <c r="O345" s="5" t="inlineStr">
        <is>
          <t>大成交额加分</t>
        </is>
      </c>
      <c r="P345" s="5" t="inlineStr">
        <is>
          <t>得分明细</t>
        </is>
      </c>
    </row>
    <row r="346">
      <c r="A346" t="n">
        <v>2</v>
      </c>
      <c r="B346" t="inlineStr">
        <is>
          <t>603663</t>
        </is>
      </c>
      <c r="C346" t="inlineStr">
        <is>
          <t>三祥新材</t>
        </is>
      </c>
      <c r="D346" t="n">
        <v>3</v>
      </c>
      <c r="E346" t="n">
        <v>-4.15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3</v>
      </c>
      <c r="O346" t="n">
        <v>0</v>
      </c>
      <c r="P346" t="inlineStr">
        <is>
          <t>D1新高=0,D2强势=0,D3突破=0,D4首板=0,D5潜突=0,D6连板=0,D7一字=0,D8活跃=3,bonus=0</t>
        </is>
      </c>
    </row>
    <row r="347">
      <c r="A347" t="n">
        <v>3</v>
      </c>
      <c r="B347" t="inlineStr">
        <is>
          <t>002167</t>
        </is>
      </c>
      <c r="C347" t="inlineStr">
        <is>
          <t>东方锆业</t>
        </is>
      </c>
      <c r="D347" t="n">
        <v>0</v>
      </c>
      <c r="E347" t="n">
        <v>-4.12</v>
      </c>
      <c r="F347" t="n">
        <v>0.01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D1新高=0,D2强势=0,D3突破=0,D4首板=0,D5潜突=0,D6连板=0,D7一字=0,D8活跃=0,bonus=0</t>
        </is>
      </c>
    </row>
    <row r="348"/>
    <row r="349">
      <c r="A349" s="4" t="inlineStr">
        <is>
          <t>--- 细分: 封装 ---</t>
        </is>
      </c>
    </row>
    <row r="350">
      <c r="A350" s="5" t="inlineStr">
        <is>
          <t>排名</t>
        </is>
      </c>
      <c r="B350" s="5" t="inlineStr">
        <is>
          <t>代码</t>
        </is>
      </c>
      <c r="C350" s="5" t="inlineStr">
        <is>
          <t>名称</t>
        </is>
      </c>
      <c r="D350" s="5" t="inlineStr">
        <is>
          <t>得分</t>
        </is>
      </c>
      <c r="E350" s="5" t="inlineStr">
        <is>
          <t>涨跌幅%</t>
        </is>
      </c>
      <c r="F350" s="5" t="inlineStr">
        <is>
          <t>成交额(亿)</t>
        </is>
      </c>
      <c r="G350" s="5" t="inlineStr">
        <is>
          <t>D1新高</t>
        </is>
      </c>
      <c r="H350" s="5" t="inlineStr">
        <is>
          <t>D2强势</t>
        </is>
      </c>
      <c r="I350" s="5" t="inlineStr">
        <is>
          <t>D3突破</t>
        </is>
      </c>
      <c r="J350" s="5" t="inlineStr">
        <is>
          <t>D4首板</t>
        </is>
      </c>
      <c r="K350" s="5" t="inlineStr">
        <is>
          <t>D5潜突</t>
        </is>
      </c>
      <c r="L350" s="5" t="inlineStr">
        <is>
          <t>D6连板</t>
        </is>
      </c>
      <c r="M350" s="5" t="inlineStr">
        <is>
          <t>D7一字</t>
        </is>
      </c>
      <c r="N350" s="5" t="inlineStr">
        <is>
          <t>D8活跃</t>
        </is>
      </c>
      <c r="O350" s="5" t="inlineStr">
        <is>
          <t>大成交额加分</t>
        </is>
      </c>
      <c r="P350" s="5" t="inlineStr">
        <is>
          <t>得分明细</t>
        </is>
      </c>
    </row>
    <row r="351">
      <c r="A351" t="n">
        <v>3</v>
      </c>
      <c r="B351" t="inlineStr">
        <is>
          <t>600584</t>
        </is>
      </c>
      <c r="C351" t="inlineStr">
        <is>
          <t>长电科技</t>
        </is>
      </c>
      <c r="D351" t="n">
        <v>5</v>
      </c>
      <c r="E351" t="n">
        <v>6.28</v>
      </c>
      <c r="F351" t="n">
        <v>0.02</v>
      </c>
      <c r="G351" t="n">
        <v>0</v>
      </c>
      <c r="H351" t="n">
        <v>0</v>
      </c>
      <c r="I351" t="n">
        <v>5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D1新高=0,D2强势=0,D3突破=5,D4首板=0,D5潜突=0,D6连板=0,D7一字=0,D8活跃=0,bonus=0</t>
        </is>
      </c>
    </row>
    <row r="352"/>
    <row r="353">
      <c r="A353" s="4" t="inlineStr">
        <is>
          <t>--- 细分: 光掩膜版 ---</t>
        </is>
      </c>
    </row>
    <row r="354">
      <c r="A354" s="5" t="inlineStr">
        <is>
          <t>排名</t>
        </is>
      </c>
      <c r="B354" s="5" t="inlineStr">
        <is>
          <t>代码</t>
        </is>
      </c>
      <c r="C354" s="5" t="inlineStr">
        <is>
          <t>名称</t>
        </is>
      </c>
      <c r="D354" s="5" t="inlineStr">
        <is>
          <t>得分</t>
        </is>
      </c>
      <c r="E354" s="5" t="inlineStr">
        <is>
          <t>涨跌幅%</t>
        </is>
      </c>
      <c r="F354" s="5" t="inlineStr">
        <is>
          <t>成交额(亿)</t>
        </is>
      </c>
      <c r="G354" s="5" t="inlineStr">
        <is>
          <t>D1新高</t>
        </is>
      </c>
      <c r="H354" s="5" t="inlineStr">
        <is>
          <t>D2强势</t>
        </is>
      </c>
      <c r="I354" s="5" t="inlineStr">
        <is>
          <t>D3突破</t>
        </is>
      </c>
      <c r="J354" s="5" t="inlineStr">
        <is>
          <t>D4首板</t>
        </is>
      </c>
      <c r="K354" s="5" t="inlineStr">
        <is>
          <t>D5潜突</t>
        </is>
      </c>
      <c r="L354" s="5" t="inlineStr">
        <is>
          <t>D6连板</t>
        </is>
      </c>
      <c r="M354" s="5" t="inlineStr">
        <is>
          <t>D7一字</t>
        </is>
      </c>
      <c r="N354" s="5" t="inlineStr">
        <is>
          <t>D8活跃</t>
        </is>
      </c>
      <c r="O354" s="5" t="inlineStr">
        <is>
          <t>大成交额加分</t>
        </is>
      </c>
      <c r="P354" s="5" t="inlineStr">
        <is>
          <t>得分明细</t>
        </is>
      </c>
    </row>
    <row r="355">
      <c r="A355" t="n">
        <v>1</v>
      </c>
      <c r="B355" t="inlineStr">
        <is>
          <t>688138</t>
        </is>
      </c>
      <c r="C355" t="inlineStr">
        <is>
          <t>清溢光电</t>
        </is>
      </c>
      <c r="D355" t="n">
        <v>16</v>
      </c>
      <c r="E355" t="n">
        <v>10.29</v>
      </c>
      <c r="F355" t="n">
        <v>0.26</v>
      </c>
      <c r="G355" t="n">
        <v>8</v>
      </c>
      <c r="H355" t="n">
        <v>0</v>
      </c>
      <c r="I355" t="n">
        <v>5</v>
      </c>
      <c r="J355" t="n">
        <v>3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D1新高=8,D2强势=0,D3突破=5,D4首板=3,D5潜突=0,D6连板=0,D7一字=0,D8活跃=0,bonus=0</t>
        </is>
      </c>
    </row>
    <row r="356">
      <c r="A356" t="n">
        <v>2</v>
      </c>
      <c r="B356" t="inlineStr">
        <is>
          <t>688401</t>
        </is>
      </c>
      <c r="C356" t="inlineStr">
        <is>
          <t>路维光电</t>
        </is>
      </c>
      <c r="D356" t="n">
        <v>5</v>
      </c>
      <c r="E356" t="n">
        <v>4.89</v>
      </c>
      <c r="F356" t="n">
        <v>0.13</v>
      </c>
      <c r="G356" t="n">
        <v>0</v>
      </c>
      <c r="H356" t="n">
        <v>0</v>
      </c>
      <c r="I356" t="n">
        <v>5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D1新高=0,D2强势=0,D3突破=5,D4首板=0,D5潜突=0,D6连板=0,D7一字=0,D8活跃=0,bonus=0</t>
        </is>
      </c>
    </row>
    <row r="357">
      <c r="A357" t="n">
        <v>3</v>
      </c>
      <c r="B357" t="inlineStr">
        <is>
          <t>688503</t>
        </is>
      </c>
      <c r="C357" t="inlineStr">
        <is>
          <t>聚和材料</t>
        </is>
      </c>
      <c r="D357" t="n">
        <v>0</v>
      </c>
      <c r="E357" t="n">
        <v>0.16</v>
      </c>
      <c r="F357" t="n">
        <v>0.16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inlineStr">
        <is>
          <t>D1新高=0,D2强势=0,D3突破=0,D4首板=0,D5潜突=0,D6连板=0,D7一字=0,D8活跃=0,bonus=0</t>
        </is>
      </c>
    </row>
    <row r="358"/>
    <row r="359">
      <c r="A359" s="4" t="inlineStr">
        <is>
          <t>--- 细分: 硅片 ---</t>
        </is>
      </c>
    </row>
    <row r="360">
      <c r="A360" s="5" t="inlineStr">
        <is>
          <t>排名</t>
        </is>
      </c>
      <c r="B360" s="5" t="inlineStr">
        <is>
          <t>代码</t>
        </is>
      </c>
      <c r="C360" s="5" t="inlineStr">
        <is>
          <t>名称</t>
        </is>
      </c>
      <c r="D360" s="5" t="inlineStr">
        <is>
          <t>得分</t>
        </is>
      </c>
      <c r="E360" s="5" t="inlineStr">
        <is>
          <t>涨跌幅%</t>
        </is>
      </c>
      <c r="F360" s="5" t="inlineStr">
        <is>
          <t>成交额(亿)</t>
        </is>
      </c>
      <c r="G360" s="5" t="inlineStr">
        <is>
          <t>D1新高</t>
        </is>
      </c>
      <c r="H360" s="5" t="inlineStr">
        <is>
          <t>D2强势</t>
        </is>
      </c>
      <c r="I360" s="5" t="inlineStr">
        <is>
          <t>D3突破</t>
        </is>
      </c>
      <c r="J360" s="5" t="inlineStr">
        <is>
          <t>D4首板</t>
        </is>
      </c>
      <c r="K360" s="5" t="inlineStr">
        <is>
          <t>D5潜突</t>
        </is>
      </c>
      <c r="L360" s="5" t="inlineStr">
        <is>
          <t>D6连板</t>
        </is>
      </c>
      <c r="M360" s="5" t="inlineStr">
        <is>
          <t>D7一字</t>
        </is>
      </c>
      <c r="N360" s="5" t="inlineStr">
        <is>
          <t>D8活跃</t>
        </is>
      </c>
      <c r="O360" s="5" t="inlineStr">
        <is>
          <t>大成交额加分</t>
        </is>
      </c>
      <c r="P360" s="5" t="inlineStr">
        <is>
          <t>得分明细</t>
        </is>
      </c>
    </row>
    <row r="361">
      <c r="A361" t="n">
        <v>2</v>
      </c>
      <c r="B361" t="inlineStr">
        <is>
          <t>603260</t>
        </is>
      </c>
      <c r="C361" t="inlineStr">
        <is>
          <t>合盛硅业</t>
        </is>
      </c>
      <c r="D361" t="n">
        <v>9</v>
      </c>
      <c r="E361" t="n">
        <v>-1.96</v>
      </c>
      <c r="F361" t="n">
        <v>0</v>
      </c>
      <c r="G361" t="n">
        <v>0</v>
      </c>
      <c r="H361" t="n">
        <v>6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3</v>
      </c>
      <c r="O361" t="n">
        <v>0</v>
      </c>
      <c r="P361" t="inlineStr">
        <is>
          <t>D1新高=0,D2强势=6,D3突破=0,D4首板=0,D5潜突=0,D6连板=0,D7一字=0,D8活跃=3,bonus=0</t>
        </is>
      </c>
    </row>
    <row r="362">
      <c r="A362" t="n">
        <v>3</v>
      </c>
      <c r="B362" t="inlineStr">
        <is>
          <t>688126</t>
        </is>
      </c>
      <c r="C362" t="inlineStr">
        <is>
          <t>沪硅产业</t>
        </is>
      </c>
      <c r="D362" t="n">
        <v>8</v>
      </c>
      <c r="E362" t="n">
        <v>4.35</v>
      </c>
      <c r="F362" t="n">
        <v>2.61</v>
      </c>
      <c r="G362" t="n">
        <v>0</v>
      </c>
      <c r="H362" t="n">
        <v>0</v>
      </c>
      <c r="I362" t="n">
        <v>5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  <c r="O362" t="n">
        <v>0</v>
      </c>
      <c r="P362" t="inlineStr">
        <is>
          <t>D1新高=0,D2强势=0,D3突破=5,D4首板=0,D5潜突=0,D6连板=0,D7一字=0,D8活跃=3,bonus=0</t>
        </is>
      </c>
    </row>
    <row r="363">
      <c r="A363" t="n">
        <v>4</v>
      </c>
      <c r="B363" t="inlineStr">
        <is>
          <t>002129</t>
        </is>
      </c>
      <c r="C363" t="inlineStr">
        <is>
          <t>TCL中环</t>
        </is>
      </c>
      <c r="D363" t="n">
        <v>3</v>
      </c>
      <c r="E363" t="n">
        <v>3.68</v>
      </c>
      <c r="F363" t="n">
        <v>0.04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3</v>
      </c>
      <c r="O363" t="n">
        <v>0</v>
      </c>
      <c r="P363" t="inlineStr">
        <is>
          <t>D1新高=0,D2强势=0,D3突破=0,D4首板=0,D5潜突=0,D6连板=0,D7一字=0,D8活跃=3,bonus=0</t>
        </is>
      </c>
    </row>
    <row r="364">
      <c r="A364" t="n">
        <v>5</v>
      </c>
      <c r="B364" t="inlineStr">
        <is>
          <t>300316</t>
        </is>
      </c>
      <c r="C364" t="inlineStr">
        <is>
          <t>晶盛机电</t>
        </is>
      </c>
      <c r="D364" t="n">
        <v>3</v>
      </c>
      <c r="E364" t="n">
        <v>0.35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3</v>
      </c>
      <c r="O364" t="n">
        <v>0</v>
      </c>
      <c r="P364" t="inlineStr">
        <is>
          <t>D1新高=0,D2强势=0,D3突破=0,D4首板=0,D5潜突=0,D6连板=0,D7一字=0,D8活跃=3,bonus=0</t>
        </is>
      </c>
    </row>
    <row r="365">
      <c r="A365" t="n">
        <v>6</v>
      </c>
      <c r="B365" t="inlineStr">
        <is>
          <t>605358</t>
        </is>
      </c>
      <c r="C365" t="inlineStr">
        <is>
          <t>立昂微</t>
        </is>
      </c>
      <c r="D365" t="n">
        <v>3</v>
      </c>
      <c r="E365" t="n">
        <v>4.11</v>
      </c>
      <c r="F365" t="n">
        <v>0.01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3</v>
      </c>
      <c r="O365" t="n">
        <v>0</v>
      </c>
      <c r="P365" t="inlineStr">
        <is>
          <t>D1新高=0,D2强势=0,D3突破=0,D4首板=0,D5潜突=0,D6连板=0,D7一字=0,D8活跃=3,bonus=0</t>
        </is>
      </c>
    </row>
    <row r="366"/>
    <row r="367">
      <c r="A367" s="4" t="inlineStr">
        <is>
          <t>--- 细分: 前道检测设备 ---</t>
        </is>
      </c>
    </row>
    <row r="368">
      <c r="A368" s="5" t="inlineStr">
        <is>
          <t>排名</t>
        </is>
      </c>
      <c r="B368" s="5" t="inlineStr">
        <is>
          <t>代码</t>
        </is>
      </c>
      <c r="C368" s="5" t="inlineStr">
        <is>
          <t>名称</t>
        </is>
      </c>
      <c r="D368" s="5" t="inlineStr">
        <is>
          <t>得分</t>
        </is>
      </c>
      <c r="E368" s="5" t="inlineStr">
        <is>
          <t>涨跌幅%</t>
        </is>
      </c>
      <c r="F368" s="5" t="inlineStr">
        <is>
          <t>成交额(亿)</t>
        </is>
      </c>
      <c r="G368" s="5" t="inlineStr">
        <is>
          <t>D1新高</t>
        </is>
      </c>
      <c r="H368" s="5" t="inlineStr">
        <is>
          <t>D2强势</t>
        </is>
      </c>
      <c r="I368" s="5" t="inlineStr">
        <is>
          <t>D3突破</t>
        </is>
      </c>
      <c r="J368" s="5" t="inlineStr">
        <is>
          <t>D4首板</t>
        </is>
      </c>
      <c r="K368" s="5" t="inlineStr">
        <is>
          <t>D5潜突</t>
        </is>
      </c>
      <c r="L368" s="5" t="inlineStr">
        <is>
          <t>D6连板</t>
        </is>
      </c>
      <c r="M368" s="5" t="inlineStr">
        <is>
          <t>D7一字</t>
        </is>
      </c>
      <c r="N368" s="5" t="inlineStr">
        <is>
          <t>D8活跃</t>
        </is>
      </c>
      <c r="O368" s="5" t="inlineStr">
        <is>
          <t>大成交额加分</t>
        </is>
      </c>
      <c r="P368" s="5" t="inlineStr">
        <is>
          <t>得分明细</t>
        </is>
      </c>
    </row>
    <row r="369">
      <c r="A369" t="n">
        <v>1</v>
      </c>
      <c r="B369" t="inlineStr">
        <is>
          <t>688392</t>
        </is>
      </c>
      <c r="C369" t="inlineStr">
        <is>
          <t>骄成超声</t>
        </is>
      </c>
      <c r="D369" t="n">
        <v>13</v>
      </c>
      <c r="E369" t="n">
        <v>4.14</v>
      </c>
      <c r="F369" t="n">
        <v>0.05</v>
      </c>
      <c r="G369" t="n">
        <v>8</v>
      </c>
      <c r="H369" t="n">
        <v>0</v>
      </c>
      <c r="I369" t="n">
        <v>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D1新高=8,D2强势=0,D3突破=5,D4首板=0,D5潜突=0,D6连板=0,D7一字=0,D8活跃=0,bonus=0</t>
        </is>
      </c>
    </row>
    <row r="370">
      <c r="A370" t="n">
        <v>5</v>
      </c>
      <c r="B370" t="inlineStr">
        <is>
          <t>688610</t>
        </is>
      </c>
      <c r="C370" t="inlineStr">
        <is>
          <t>埃科光电</t>
        </is>
      </c>
      <c r="D370" t="n">
        <v>3</v>
      </c>
      <c r="E370" t="n">
        <v>-0.54</v>
      </c>
      <c r="F370" t="n">
        <v>0.01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3</v>
      </c>
      <c r="O370" t="n">
        <v>0</v>
      </c>
      <c r="P370" t="inlineStr">
        <is>
          <t>D1新高=0,D2强势=0,D3突破=0,D4首板=0,D5潜突=0,D6连板=0,D7一字=0,D8活跃=3,bonus=0</t>
        </is>
      </c>
    </row>
    <row r="371"/>
    <row r="372">
      <c r="A372" s="4" t="inlineStr">
        <is>
          <t>--- 细分: 酚醛树脂 ---</t>
        </is>
      </c>
    </row>
    <row r="373">
      <c r="A373" s="5" t="inlineStr">
        <is>
          <t>排名</t>
        </is>
      </c>
      <c r="B373" s="5" t="inlineStr">
        <is>
          <t>代码</t>
        </is>
      </c>
      <c r="C373" s="5" t="inlineStr">
        <is>
          <t>名称</t>
        </is>
      </c>
      <c r="D373" s="5" t="inlineStr">
        <is>
          <t>得分</t>
        </is>
      </c>
      <c r="E373" s="5" t="inlineStr">
        <is>
          <t>涨跌幅%</t>
        </is>
      </c>
      <c r="F373" s="5" t="inlineStr">
        <is>
          <t>成交额(亿)</t>
        </is>
      </c>
      <c r="G373" s="5" t="inlineStr">
        <is>
          <t>D1新高</t>
        </is>
      </c>
      <c r="H373" s="5" t="inlineStr">
        <is>
          <t>D2强势</t>
        </is>
      </c>
      <c r="I373" s="5" t="inlineStr">
        <is>
          <t>D3突破</t>
        </is>
      </c>
      <c r="J373" s="5" t="inlineStr">
        <is>
          <t>D4首板</t>
        </is>
      </c>
      <c r="K373" s="5" t="inlineStr">
        <is>
          <t>D5潜突</t>
        </is>
      </c>
      <c r="L373" s="5" t="inlineStr">
        <is>
          <t>D6连板</t>
        </is>
      </c>
      <c r="M373" s="5" t="inlineStr">
        <is>
          <t>D7一字</t>
        </is>
      </c>
      <c r="N373" s="5" t="inlineStr">
        <is>
          <t>D8活跃</t>
        </is>
      </c>
      <c r="O373" s="5" t="inlineStr">
        <is>
          <t>大成交额加分</t>
        </is>
      </c>
      <c r="P373" s="5" t="inlineStr">
        <is>
          <t>得分明细</t>
        </is>
      </c>
    </row>
    <row r="374">
      <c r="A374" t="n">
        <v>2</v>
      </c>
      <c r="B374" t="inlineStr">
        <is>
          <t>601208</t>
        </is>
      </c>
      <c r="C374" t="inlineStr">
        <is>
          <t>东材科技</t>
        </is>
      </c>
      <c r="D374" t="n">
        <v>11</v>
      </c>
      <c r="E374" t="n">
        <v>2.04</v>
      </c>
      <c r="F374" t="n">
        <v>0.01</v>
      </c>
      <c r="G374" t="n">
        <v>8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</v>
      </c>
      <c r="O374" t="n">
        <v>0</v>
      </c>
      <c r="P374" t="inlineStr">
        <is>
          <t>D1新高=8,D2强势=0,D3突破=0,D4首板=0,D5潜突=0,D6连板=0,D7一字=0,D8活跃=3,bonus=0</t>
        </is>
      </c>
    </row>
    <row r="375">
      <c r="A375" t="n">
        <v>3</v>
      </c>
      <c r="B375" t="inlineStr">
        <is>
          <t>605589</t>
        </is>
      </c>
      <c r="C375" t="inlineStr">
        <is>
          <t>圣泉集团</t>
        </is>
      </c>
      <c r="D375" t="n">
        <v>3</v>
      </c>
      <c r="E375" t="n">
        <v>-0.98</v>
      </c>
      <c r="F375" t="n">
        <v>0.01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3</v>
      </c>
      <c r="O375" t="n">
        <v>0</v>
      </c>
      <c r="P375" t="inlineStr">
        <is>
          <t>D1新高=0,D2强势=0,D3突破=0,D4首板=0,D5潜突=0,D6连板=0,D7一字=0,D8活跃=3,bonus=0</t>
        </is>
      </c>
    </row>
    <row r="376">
      <c r="A376" t="n">
        <v>4</v>
      </c>
      <c r="B376" t="inlineStr">
        <is>
          <t>603928</t>
        </is>
      </c>
      <c r="C376" t="inlineStr">
        <is>
          <t>兴业股份</t>
        </is>
      </c>
      <c r="D376" t="n">
        <v>0</v>
      </c>
      <c r="E376" t="n">
        <v>-1.8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inlineStr">
        <is>
          <t>D1新高=0,D2强势=0,D3突破=0,D4首板=0,D5潜突=0,D6连板=0,D7一字=0,D8活跃=0,bonus=0</t>
        </is>
      </c>
    </row>
    <row r="377"/>
    <row r="378">
      <c r="A378" s="4" t="inlineStr">
        <is>
          <t>--- 细分: 无水氢氟酸 ---</t>
        </is>
      </c>
    </row>
    <row r="379">
      <c r="A379" s="5" t="inlineStr">
        <is>
          <t>排名</t>
        </is>
      </c>
      <c r="B379" s="5" t="inlineStr">
        <is>
          <t>代码</t>
        </is>
      </c>
      <c r="C379" s="5" t="inlineStr">
        <is>
          <t>名称</t>
        </is>
      </c>
      <c r="D379" s="5" t="inlineStr">
        <is>
          <t>得分</t>
        </is>
      </c>
      <c r="E379" s="5" t="inlineStr">
        <is>
          <t>涨跌幅%</t>
        </is>
      </c>
      <c r="F379" s="5" t="inlineStr">
        <is>
          <t>成交额(亿)</t>
        </is>
      </c>
      <c r="G379" s="5" t="inlineStr">
        <is>
          <t>D1新高</t>
        </is>
      </c>
      <c r="H379" s="5" t="inlineStr">
        <is>
          <t>D2强势</t>
        </is>
      </c>
      <c r="I379" s="5" t="inlineStr">
        <is>
          <t>D3突破</t>
        </is>
      </c>
      <c r="J379" s="5" t="inlineStr">
        <is>
          <t>D4首板</t>
        </is>
      </c>
      <c r="K379" s="5" t="inlineStr">
        <is>
          <t>D5潜突</t>
        </is>
      </c>
      <c r="L379" s="5" t="inlineStr">
        <is>
          <t>D6连板</t>
        </is>
      </c>
      <c r="M379" s="5" t="inlineStr">
        <is>
          <t>D7一字</t>
        </is>
      </c>
      <c r="N379" s="5" t="inlineStr">
        <is>
          <t>D8活跃</t>
        </is>
      </c>
      <c r="O379" s="5" t="inlineStr">
        <is>
          <t>大成交额加分</t>
        </is>
      </c>
      <c r="P379" s="5" t="inlineStr">
        <is>
          <t>得分明细</t>
        </is>
      </c>
    </row>
    <row r="380">
      <c r="A380" t="n">
        <v>1</v>
      </c>
      <c r="B380" t="inlineStr">
        <is>
          <t>605020</t>
        </is>
      </c>
      <c r="C380" t="inlineStr">
        <is>
          <t>永和股份</t>
        </is>
      </c>
      <c r="D380" t="n">
        <v>13</v>
      </c>
      <c r="E380" t="n">
        <v>5.04</v>
      </c>
      <c r="F380" t="n">
        <v>0</v>
      </c>
      <c r="G380" t="n">
        <v>8</v>
      </c>
      <c r="H380" t="n">
        <v>0</v>
      </c>
      <c r="I380" t="n">
        <v>5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D1新高=8,D2强势=0,D3突破=5,D4首板=0,D5潜突=0,D6连板=0,D7一字=0,D8活跃=0,bonus=0</t>
        </is>
      </c>
    </row>
    <row r="381">
      <c r="A381" t="n">
        <v>2</v>
      </c>
      <c r="B381" t="inlineStr">
        <is>
          <t>603505</t>
        </is>
      </c>
      <c r="C381" t="inlineStr">
        <is>
          <t>金石资源</t>
        </is>
      </c>
      <c r="D381" t="n">
        <v>0</v>
      </c>
      <c r="E381" t="n">
        <v>0.5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D1新高=0,D2强势=0,D3突破=0,D4首板=0,D5潜突=0,D6连板=0,D7一字=0,D8活跃=0,bonus=0</t>
        </is>
      </c>
    </row>
    <row r="382"/>
    <row r="383">
      <c r="A383" s="4" t="inlineStr">
        <is>
          <t>--- 细分: 塑封 ---</t>
        </is>
      </c>
    </row>
    <row r="384">
      <c r="A384" s="5" t="inlineStr">
        <is>
          <t>排名</t>
        </is>
      </c>
      <c r="B384" s="5" t="inlineStr">
        <is>
          <t>代码</t>
        </is>
      </c>
      <c r="C384" s="5" t="inlineStr">
        <is>
          <t>名称</t>
        </is>
      </c>
      <c r="D384" s="5" t="inlineStr">
        <is>
          <t>得分</t>
        </is>
      </c>
      <c r="E384" s="5" t="inlineStr">
        <is>
          <t>涨跌幅%</t>
        </is>
      </c>
      <c r="F384" s="5" t="inlineStr">
        <is>
          <t>成交额(亿)</t>
        </is>
      </c>
      <c r="G384" s="5" t="inlineStr">
        <is>
          <t>D1新高</t>
        </is>
      </c>
      <c r="H384" s="5" t="inlineStr">
        <is>
          <t>D2强势</t>
        </is>
      </c>
      <c r="I384" s="5" t="inlineStr">
        <is>
          <t>D3突破</t>
        </is>
      </c>
      <c r="J384" s="5" t="inlineStr">
        <is>
          <t>D4首板</t>
        </is>
      </c>
      <c r="K384" s="5" t="inlineStr">
        <is>
          <t>D5潜突</t>
        </is>
      </c>
      <c r="L384" s="5" t="inlineStr">
        <is>
          <t>D6连板</t>
        </is>
      </c>
      <c r="M384" s="5" t="inlineStr">
        <is>
          <t>D7一字</t>
        </is>
      </c>
      <c r="N384" s="5" t="inlineStr">
        <is>
          <t>D8活跃</t>
        </is>
      </c>
      <c r="O384" s="5" t="inlineStr">
        <is>
          <t>大成交额加分</t>
        </is>
      </c>
      <c r="P384" s="5" t="inlineStr">
        <is>
          <t>得分明细</t>
        </is>
      </c>
    </row>
    <row r="385">
      <c r="A385" t="n">
        <v>1</v>
      </c>
      <c r="B385" t="inlineStr">
        <is>
          <t>688419</t>
        </is>
      </c>
      <c r="C385" t="inlineStr">
        <is>
          <t>耐科装备</t>
        </is>
      </c>
      <c r="D385" t="n">
        <v>8</v>
      </c>
      <c r="E385" t="n">
        <v>2.72</v>
      </c>
      <c r="F385" t="n">
        <v>0.06</v>
      </c>
      <c r="G385" t="n">
        <v>0</v>
      </c>
      <c r="H385" t="n">
        <v>0</v>
      </c>
      <c r="I385" t="n">
        <v>5</v>
      </c>
      <c r="J385" t="n">
        <v>0</v>
      </c>
      <c r="K385" t="n">
        <v>0</v>
      </c>
      <c r="L385" t="n">
        <v>0</v>
      </c>
      <c r="M385" t="n">
        <v>0</v>
      </c>
      <c r="N385" t="n">
        <v>3</v>
      </c>
      <c r="O385" t="n">
        <v>0</v>
      </c>
      <c r="P385" t="inlineStr">
        <is>
          <t>D1新高=0,D2强势=0,D3突破=5,D4首板=0,D5潜突=0,D6连板=0,D7一字=0,D8活跃=3,bonus=0</t>
        </is>
      </c>
    </row>
    <row r="386">
      <c r="A386" t="n">
        <v>2</v>
      </c>
      <c r="B386" t="inlineStr">
        <is>
          <t>600520</t>
        </is>
      </c>
      <c r="C386" t="inlineStr">
        <is>
          <t>三佳科技</t>
        </is>
      </c>
      <c r="D386" t="n">
        <v>3</v>
      </c>
      <c r="E386" t="n">
        <v>1.98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3</v>
      </c>
      <c r="O386" t="n">
        <v>0</v>
      </c>
      <c r="P386" t="inlineStr">
        <is>
          <t>D1新高=0,D2强势=0,D3突破=0,D4首板=0,D5潜突=0,D6连板=0,D7一字=0,D8活跃=3,bonus=0</t>
        </is>
      </c>
    </row>
    <row r="387"/>
    <row r="388">
      <c r="A388" s="4" t="inlineStr">
        <is>
          <t>--- 细分: 无水氢氟酸 ---</t>
        </is>
      </c>
    </row>
    <row r="389">
      <c r="A389" s="5" t="inlineStr">
        <is>
          <t>排名</t>
        </is>
      </c>
      <c r="B389" s="5" t="inlineStr">
        <is>
          <t>代码</t>
        </is>
      </c>
      <c r="C389" s="5" t="inlineStr">
        <is>
          <t>名称</t>
        </is>
      </c>
      <c r="D389" s="5" t="inlineStr">
        <is>
          <t>得分</t>
        </is>
      </c>
      <c r="E389" s="5" t="inlineStr">
        <is>
          <t>涨跌幅%</t>
        </is>
      </c>
      <c r="F389" s="5" t="inlineStr">
        <is>
          <t>成交额(亿)</t>
        </is>
      </c>
      <c r="G389" s="5" t="inlineStr">
        <is>
          <t>D1新高</t>
        </is>
      </c>
      <c r="H389" s="5" t="inlineStr">
        <is>
          <t>D2强势</t>
        </is>
      </c>
      <c r="I389" s="5" t="inlineStr">
        <is>
          <t>D3突破</t>
        </is>
      </c>
      <c r="J389" s="5" t="inlineStr">
        <is>
          <t>D4首板</t>
        </is>
      </c>
      <c r="K389" s="5" t="inlineStr">
        <is>
          <t>D5潜突</t>
        </is>
      </c>
      <c r="L389" s="5" t="inlineStr">
        <is>
          <t>D6连板</t>
        </is>
      </c>
      <c r="M389" s="5" t="inlineStr">
        <is>
          <t>D7一字</t>
        </is>
      </c>
      <c r="N389" s="5" t="inlineStr">
        <is>
          <t>D8活跃</t>
        </is>
      </c>
      <c r="O389" s="5" t="inlineStr">
        <is>
          <t>大成交额加分</t>
        </is>
      </c>
      <c r="P389" s="5" t="inlineStr">
        <is>
          <t>得分明细</t>
        </is>
      </c>
    </row>
    <row r="390">
      <c r="A390" t="n">
        <v>1</v>
      </c>
      <c r="B390" t="inlineStr">
        <is>
          <t>600378</t>
        </is>
      </c>
      <c r="C390" t="inlineStr">
        <is>
          <t>昊华科技</t>
        </is>
      </c>
      <c r="D390" t="n">
        <v>11</v>
      </c>
      <c r="E390" t="n">
        <v>10</v>
      </c>
      <c r="F390" t="n">
        <v>0.01</v>
      </c>
      <c r="G390" t="n">
        <v>0</v>
      </c>
      <c r="H390" t="n">
        <v>0</v>
      </c>
      <c r="I390" t="n">
        <v>5</v>
      </c>
      <c r="J390" t="n">
        <v>3</v>
      </c>
      <c r="K390" t="n">
        <v>0</v>
      </c>
      <c r="L390" t="n">
        <v>0</v>
      </c>
      <c r="M390" t="n">
        <v>0</v>
      </c>
      <c r="N390" t="n">
        <v>3</v>
      </c>
      <c r="O390" t="n">
        <v>0</v>
      </c>
      <c r="P390" t="inlineStr">
        <is>
          <t>D1新高=0,D2强势=0,D3突破=5,D4首板=3,D5潜突=0,D6连板=0,D7一字=0,D8活跃=3,bonus=0</t>
        </is>
      </c>
    </row>
    <row r="391">
      <c r="A391" t="n">
        <v>2</v>
      </c>
      <c r="B391" t="inlineStr">
        <is>
          <t>603978</t>
        </is>
      </c>
      <c r="C391" t="inlineStr">
        <is>
          <t>深圳新星</t>
        </is>
      </c>
      <c r="D391" t="n">
        <v>0</v>
      </c>
      <c r="E391" t="n">
        <v>1.08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D1新高=0,D2强势=0,D3突破=0,D4首板=0,D5潜突=0,D6连板=0,D7一字=0,D8活跃=0,bonus=0</t>
        </is>
      </c>
    </row>
    <row r="392"/>
    <row r="393">
      <c r="A393" s="4" t="inlineStr">
        <is>
          <t>--- 细分: 清洗设备 ---</t>
        </is>
      </c>
    </row>
    <row r="394">
      <c r="A394" s="5" t="inlineStr">
        <is>
          <t>排名</t>
        </is>
      </c>
      <c r="B394" s="5" t="inlineStr">
        <is>
          <t>代码</t>
        </is>
      </c>
      <c r="C394" s="5" t="inlineStr">
        <is>
          <t>名称</t>
        </is>
      </c>
      <c r="D394" s="5" t="inlineStr">
        <is>
          <t>得分</t>
        </is>
      </c>
      <c r="E394" s="5" t="inlineStr">
        <is>
          <t>涨跌幅%</t>
        </is>
      </c>
      <c r="F394" s="5" t="inlineStr">
        <is>
          <t>成交额(亿)</t>
        </is>
      </c>
      <c r="G394" s="5" t="inlineStr">
        <is>
          <t>D1新高</t>
        </is>
      </c>
      <c r="H394" s="5" t="inlineStr">
        <is>
          <t>D2强势</t>
        </is>
      </c>
      <c r="I394" s="5" t="inlineStr">
        <is>
          <t>D3突破</t>
        </is>
      </c>
      <c r="J394" s="5" t="inlineStr">
        <is>
          <t>D4首板</t>
        </is>
      </c>
      <c r="K394" s="5" t="inlineStr">
        <is>
          <t>D5潜突</t>
        </is>
      </c>
      <c r="L394" s="5" t="inlineStr">
        <is>
          <t>D6连板</t>
        </is>
      </c>
      <c r="M394" s="5" t="inlineStr">
        <is>
          <t>D7一字</t>
        </is>
      </c>
      <c r="N394" s="5" t="inlineStr">
        <is>
          <t>D8活跃</t>
        </is>
      </c>
      <c r="O394" s="5" t="inlineStr">
        <is>
          <t>大成交额加分</t>
        </is>
      </c>
      <c r="P394" s="5" t="inlineStr">
        <is>
          <t>得分明细</t>
        </is>
      </c>
    </row>
    <row r="395">
      <c r="A395" t="n">
        <v>2</v>
      </c>
      <c r="B395" t="inlineStr">
        <is>
          <t>300260</t>
        </is>
      </c>
      <c r="C395" t="inlineStr">
        <is>
          <t>新莱应材</t>
        </is>
      </c>
      <c r="D395" t="n">
        <v>8</v>
      </c>
      <c r="E395" t="n">
        <v>3.98</v>
      </c>
      <c r="F395" t="n">
        <v>0</v>
      </c>
      <c r="G395" t="n">
        <v>0</v>
      </c>
      <c r="H395" t="n">
        <v>0</v>
      </c>
      <c r="I395" t="n">
        <v>5</v>
      </c>
      <c r="J395" t="n">
        <v>0</v>
      </c>
      <c r="K395" t="n">
        <v>0</v>
      </c>
      <c r="L395" t="n">
        <v>0</v>
      </c>
      <c r="M395" t="n">
        <v>0</v>
      </c>
      <c r="N395" t="n">
        <v>3</v>
      </c>
      <c r="O395" t="n">
        <v>0</v>
      </c>
      <c r="P395" t="inlineStr">
        <is>
          <t>D1新高=0,D2强势=0,D3突破=5,D4首板=0,D5潜突=0,D6连板=0,D7一字=0,D8活跃=3,bonus=0</t>
        </is>
      </c>
    </row>
    <row r="396">
      <c r="A396" t="n">
        <v>5</v>
      </c>
      <c r="B396" t="inlineStr">
        <is>
          <t>301297</t>
        </is>
      </c>
      <c r="C396" t="inlineStr">
        <is>
          <t>富乐德</t>
        </is>
      </c>
      <c r="D396" t="n">
        <v>5</v>
      </c>
      <c r="E396" t="n">
        <v>6.77</v>
      </c>
      <c r="F396" t="n">
        <v>0</v>
      </c>
      <c r="G396" t="n">
        <v>0</v>
      </c>
      <c r="H396" t="n">
        <v>0</v>
      </c>
      <c r="I396" t="n">
        <v>5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D1新高=0,D2强势=0,D3突破=5,D4首板=0,D5潜突=0,D6连板=0,D7一字=0,D8活跃=0,bonus=0</t>
        </is>
      </c>
    </row>
    <row r="397">
      <c r="A397" t="n">
        <v>6</v>
      </c>
      <c r="B397" t="inlineStr">
        <is>
          <t>300786</t>
        </is>
      </c>
      <c r="C397" t="inlineStr">
        <is>
          <t>国林科技</t>
        </is>
      </c>
      <c r="D397" t="n">
        <v>0</v>
      </c>
      <c r="E397" t="n">
        <v>-1.28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inlineStr">
        <is>
          <t>D1新高=0,D2强势=0,D3突破=0,D4首板=0,D5潜突=0,D6连板=0,D7一字=0,D8活跃=0,bonus=0</t>
        </is>
      </c>
    </row>
    <row r="398">
      <c r="A398" t="n">
        <v>7</v>
      </c>
      <c r="B398" t="inlineStr">
        <is>
          <t>603690</t>
        </is>
      </c>
      <c r="C398" t="inlineStr">
        <is>
          <t>至纯科技</t>
        </is>
      </c>
      <c r="D398" t="n">
        <v>0</v>
      </c>
      <c r="E398" t="n">
        <v>0.8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inlineStr">
        <is>
          <t>D1新高=0,D2强势=0,D3突破=0,D4首板=0,D5潜突=0,D6连板=0,D7一字=0,D8活跃=0,bonus=0</t>
        </is>
      </c>
    </row>
    <row r="399">
      <c r="A399" t="n">
        <v>8</v>
      </c>
      <c r="B399" t="inlineStr">
        <is>
          <t>300293</t>
        </is>
      </c>
      <c r="C399" t="inlineStr">
        <is>
          <t>蓝英装备</t>
        </is>
      </c>
      <c r="D399" t="n">
        <v>0</v>
      </c>
      <c r="E399" t="n">
        <v>-1.06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inlineStr">
        <is>
          <t>D1新高=0,D2强势=0,D3突破=0,D4首板=0,D5潜突=0,D6连板=0,D7一字=0,D8活跃=0,bonus=0</t>
        </is>
      </c>
    </row>
    <row r="400">
      <c r="A400" t="n">
        <v>9</v>
      </c>
      <c r="B400" t="inlineStr">
        <is>
          <t>688729</t>
        </is>
      </c>
      <c r="C400" t="inlineStr">
        <is>
          <t>屹唐股份</t>
        </is>
      </c>
      <c r="D400" t="n">
        <v>0</v>
      </c>
      <c r="E400" t="n">
        <v>3.18</v>
      </c>
      <c r="F400" t="n">
        <v>0.21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D1新高=0,D2强势=0,D3突破=0,D4首板=0,D5潜突=0,D6连板=0,D7一字=0,D8活跃=0,bonus=0</t>
        </is>
      </c>
    </row>
    <row r="401"/>
    <row r="402">
      <c r="A402" s="4" t="inlineStr">
        <is>
          <t>--- 细分: 封测 ---</t>
        </is>
      </c>
    </row>
    <row r="403">
      <c r="A403" s="5" t="inlineStr">
        <is>
          <t>排名</t>
        </is>
      </c>
      <c r="B403" s="5" t="inlineStr">
        <is>
          <t>代码</t>
        </is>
      </c>
      <c r="C403" s="5" t="inlineStr">
        <is>
          <t>名称</t>
        </is>
      </c>
      <c r="D403" s="5" t="inlineStr">
        <is>
          <t>得分</t>
        </is>
      </c>
      <c r="E403" s="5" t="inlineStr">
        <is>
          <t>涨跌幅%</t>
        </is>
      </c>
      <c r="F403" s="5" t="inlineStr">
        <is>
          <t>成交额(亿)</t>
        </is>
      </c>
      <c r="G403" s="5" t="inlineStr">
        <is>
          <t>D1新高</t>
        </is>
      </c>
      <c r="H403" s="5" t="inlineStr">
        <is>
          <t>D2强势</t>
        </is>
      </c>
      <c r="I403" s="5" t="inlineStr">
        <is>
          <t>D3突破</t>
        </is>
      </c>
      <c r="J403" s="5" t="inlineStr">
        <is>
          <t>D4首板</t>
        </is>
      </c>
      <c r="K403" s="5" t="inlineStr">
        <is>
          <t>D5潜突</t>
        </is>
      </c>
      <c r="L403" s="5" t="inlineStr">
        <is>
          <t>D6连板</t>
        </is>
      </c>
      <c r="M403" s="5" t="inlineStr">
        <is>
          <t>D7一字</t>
        </is>
      </c>
      <c r="N403" s="5" t="inlineStr">
        <is>
          <t>D8活跃</t>
        </is>
      </c>
      <c r="O403" s="5" t="inlineStr">
        <is>
          <t>大成交额加分</t>
        </is>
      </c>
      <c r="P403" s="5" t="inlineStr">
        <is>
          <t>得分明细</t>
        </is>
      </c>
    </row>
    <row r="404">
      <c r="A404" t="n">
        <v>1</v>
      </c>
      <c r="B404" t="inlineStr">
        <is>
          <t>688403</t>
        </is>
      </c>
      <c r="C404" t="inlineStr">
        <is>
          <t>汇成股份</t>
        </is>
      </c>
      <c r="D404" t="n">
        <v>16</v>
      </c>
      <c r="E404" t="n">
        <v>6.9</v>
      </c>
      <c r="F404" t="n">
        <v>0.9</v>
      </c>
      <c r="G404" t="n">
        <v>8</v>
      </c>
      <c r="H404" t="n">
        <v>0</v>
      </c>
      <c r="I404" t="n">
        <v>5</v>
      </c>
      <c r="J404" t="n">
        <v>0</v>
      </c>
      <c r="K404" t="n">
        <v>0</v>
      </c>
      <c r="L404" t="n">
        <v>0</v>
      </c>
      <c r="M404" t="n">
        <v>0</v>
      </c>
      <c r="N404" t="n">
        <v>3</v>
      </c>
      <c r="O404" t="n">
        <v>0</v>
      </c>
      <c r="P404" t="inlineStr">
        <is>
          <t>D1新高=8,D2强势=0,D3突破=5,D4首板=0,D5潜突=0,D6连板=0,D7一字=0,D8活跃=3,bonus=0</t>
        </is>
      </c>
    </row>
    <row r="405">
      <c r="A405" t="n">
        <v>2</v>
      </c>
      <c r="B405" t="inlineStr">
        <is>
          <t>688362</t>
        </is>
      </c>
      <c r="C405" t="inlineStr">
        <is>
          <t>甬矽电子</t>
        </is>
      </c>
      <c r="D405" t="n">
        <v>8</v>
      </c>
      <c r="E405" t="n">
        <v>7.02</v>
      </c>
      <c r="F405" t="n">
        <v>0.45</v>
      </c>
      <c r="G405" t="n">
        <v>0</v>
      </c>
      <c r="H405" t="n">
        <v>0</v>
      </c>
      <c r="I405" t="n">
        <v>5</v>
      </c>
      <c r="J405" t="n">
        <v>0</v>
      </c>
      <c r="K405" t="n">
        <v>0</v>
      </c>
      <c r="L405" t="n">
        <v>0</v>
      </c>
      <c r="M405" t="n">
        <v>0</v>
      </c>
      <c r="N405" t="n">
        <v>3</v>
      </c>
      <c r="O405" t="n">
        <v>0</v>
      </c>
      <c r="P405" t="inlineStr">
        <is>
          <t>D1新高=0,D2强势=0,D3突破=5,D4首板=0,D5潜突=0,D6连板=0,D7一字=0,D8活跃=3,bonus=0</t>
        </is>
      </c>
    </row>
    <row r="406">
      <c r="A406" t="n">
        <v>4</v>
      </c>
      <c r="B406" t="inlineStr">
        <is>
          <t>000021</t>
        </is>
      </c>
      <c r="C406" t="inlineStr">
        <is>
          <t>深科技</t>
        </is>
      </c>
      <c r="D406" t="n">
        <v>5</v>
      </c>
      <c r="E406" t="n">
        <v>5.25</v>
      </c>
      <c r="F406" t="n">
        <v>0.02</v>
      </c>
      <c r="G406" t="n">
        <v>0</v>
      </c>
      <c r="H406" t="n">
        <v>0</v>
      </c>
      <c r="I406" t="n">
        <v>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inlineStr">
        <is>
          <t>D1新高=0,D2强势=0,D3突破=5,D4首板=0,D5潜突=0,D6连板=0,D7一字=0,D8活跃=0,bonus=0</t>
        </is>
      </c>
    </row>
    <row r="407">
      <c r="A407" t="n">
        <v>6</v>
      </c>
      <c r="B407" t="inlineStr">
        <is>
          <t>002185</t>
        </is>
      </c>
      <c r="C407" t="inlineStr">
        <is>
          <t>华天科技</t>
        </is>
      </c>
      <c r="D407" t="n">
        <v>5</v>
      </c>
      <c r="E407" t="n">
        <v>6.9</v>
      </c>
      <c r="F407" t="n">
        <v>0.05</v>
      </c>
      <c r="G407" t="n">
        <v>0</v>
      </c>
      <c r="H407" t="n">
        <v>0</v>
      </c>
      <c r="I407" t="n">
        <v>5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inlineStr">
        <is>
          <t>D1新高=0,D2强势=0,D3突破=5,D4首板=0,D5潜突=0,D6连板=0,D7一字=0,D8活跃=0,bonus=0</t>
        </is>
      </c>
    </row>
    <row r="408">
      <c r="A408" t="n">
        <v>8</v>
      </c>
      <c r="B408" t="inlineStr">
        <is>
          <t>002077</t>
        </is>
      </c>
      <c r="C408" t="inlineStr">
        <is>
          <t>大港股份</t>
        </is>
      </c>
      <c r="D408" t="n">
        <v>5</v>
      </c>
      <c r="E408" t="n">
        <v>3.99</v>
      </c>
      <c r="F408" t="n">
        <v>0</v>
      </c>
      <c r="G408" t="n">
        <v>0</v>
      </c>
      <c r="H408" t="n">
        <v>0</v>
      </c>
      <c r="I408" t="n">
        <v>5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D1新高=0,D2强势=0,D3突破=5,D4首板=0,D5潜突=0,D6连板=0,D7一字=0,D8活跃=0,bonus=0</t>
        </is>
      </c>
    </row>
    <row r="409">
      <c r="A409" t="n">
        <v>9</v>
      </c>
      <c r="B409" t="inlineStr">
        <is>
          <t>688216</t>
        </is>
      </c>
      <c r="C409" t="inlineStr">
        <is>
          <t>气派科技</t>
        </is>
      </c>
      <c r="D409" t="n">
        <v>3</v>
      </c>
      <c r="E409" t="n">
        <v>2.7</v>
      </c>
      <c r="F409" t="n">
        <v>0.07000000000000001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3</v>
      </c>
      <c r="O409" t="n">
        <v>0</v>
      </c>
      <c r="P409" t="inlineStr">
        <is>
          <t>D1新高=0,D2强势=0,D3突破=0,D4首板=0,D5潜突=0,D6连板=0,D7一字=0,D8活跃=3,bonus=0</t>
        </is>
      </c>
    </row>
    <row r="410">
      <c r="A410" t="n">
        <v>10</v>
      </c>
      <c r="B410" t="inlineStr">
        <is>
          <t>688135</t>
        </is>
      </c>
      <c r="C410" t="inlineStr">
        <is>
          <t>利扬芯片</t>
        </is>
      </c>
      <c r="D410" t="n">
        <v>0</v>
      </c>
      <c r="E410" t="n">
        <v>2.91</v>
      </c>
      <c r="F410" t="n">
        <v>0.13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inlineStr">
        <is>
          <t>D1新高=0,D2强势=0,D3突破=0,D4首板=0,D5潜突=0,D6连板=0,D7一字=0,D8活跃=0,bonus=0</t>
        </is>
      </c>
    </row>
    <row r="411">
      <c r="A411" t="n">
        <v>11</v>
      </c>
      <c r="B411" t="inlineStr">
        <is>
          <t>688352</t>
        </is>
      </c>
      <c r="C411" t="inlineStr">
        <is>
          <t>颀中科技</t>
        </is>
      </c>
      <c r="D411" t="n">
        <v>0</v>
      </c>
      <c r="E411" t="n">
        <v>1.68</v>
      </c>
      <c r="F411" t="n">
        <v>0.33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inlineStr">
        <is>
          <t>D1新高=0,D2强势=0,D3突破=0,D4首板=0,D5潜突=0,D6连板=0,D7一字=0,D8活跃=0,bonus=0</t>
        </is>
      </c>
    </row>
    <row r="412">
      <c r="A412" t="n">
        <v>12</v>
      </c>
      <c r="B412" t="inlineStr">
        <is>
          <t>688372</t>
        </is>
      </c>
      <c r="C412" t="inlineStr">
        <is>
          <t>伟测科技</t>
        </is>
      </c>
      <c r="D412" t="n">
        <v>0</v>
      </c>
      <c r="E412" t="n">
        <v>2.74</v>
      </c>
      <c r="F412" t="n">
        <v>0.08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inlineStr">
        <is>
          <t>D1新高=0,D2强势=0,D3突破=0,D4首板=0,D5潜突=0,D6连板=0,D7一字=0,D8活跃=0,bonus=0</t>
        </is>
      </c>
    </row>
    <row r="413"/>
    <row r="414">
      <c r="A414" s="4" t="inlineStr">
        <is>
          <t>--- 细分: 划片机 ---</t>
        </is>
      </c>
    </row>
    <row r="415">
      <c r="A415" s="5" t="inlineStr">
        <is>
          <t>排名</t>
        </is>
      </c>
      <c r="B415" s="5" t="inlineStr">
        <is>
          <t>代码</t>
        </is>
      </c>
      <c r="C415" s="5" t="inlineStr">
        <is>
          <t>名称</t>
        </is>
      </c>
      <c r="D415" s="5" t="inlineStr">
        <is>
          <t>得分</t>
        </is>
      </c>
      <c r="E415" s="5" t="inlineStr">
        <is>
          <t>涨跌幅%</t>
        </is>
      </c>
      <c r="F415" s="5" t="inlineStr">
        <is>
          <t>成交额(亿)</t>
        </is>
      </c>
      <c r="G415" s="5" t="inlineStr">
        <is>
          <t>D1新高</t>
        </is>
      </c>
      <c r="H415" s="5" t="inlineStr">
        <is>
          <t>D2强势</t>
        </is>
      </c>
      <c r="I415" s="5" t="inlineStr">
        <is>
          <t>D3突破</t>
        </is>
      </c>
      <c r="J415" s="5" t="inlineStr">
        <is>
          <t>D4首板</t>
        </is>
      </c>
      <c r="K415" s="5" t="inlineStr">
        <is>
          <t>D5潜突</t>
        </is>
      </c>
      <c r="L415" s="5" t="inlineStr">
        <is>
          <t>D6连板</t>
        </is>
      </c>
      <c r="M415" s="5" t="inlineStr">
        <is>
          <t>D7一字</t>
        </is>
      </c>
      <c r="N415" s="5" t="inlineStr">
        <is>
          <t>D8活跃</t>
        </is>
      </c>
      <c r="O415" s="5" t="inlineStr">
        <is>
          <t>大成交额加分</t>
        </is>
      </c>
      <c r="P415" s="5" t="inlineStr">
        <is>
          <t>得分明细</t>
        </is>
      </c>
    </row>
    <row r="416">
      <c r="A416" t="n">
        <v>1</v>
      </c>
      <c r="B416" t="inlineStr">
        <is>
          <t>300480</t>
        </is>
      </c>
      <c r="C416" t="inlineStr">
        <is>
          <t>光力科技</t>
        </is>
      </c>
      <c r="D416" t="n">
        <v>5</v>
      </c>
      <c r="E416" t="n">
        <v>3.33</v>
      </c>
      <c r="F416" t="n">
        <v>0</v>
      </c>
      <c r="G416" t="n">
        <v>0</v>
      </c>
      <c r="H416" t="n">
        <v>0</v>
      </c>
      <c r="I416" t="n">
        <v>5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inlineStr">
        <is>
          <t>D1新高=0,D2强势=0,D3突破=5,D4首板=0,D5潜突=0,D6连板=0,D7一字=0,D8活跃=0,bonus=0</t>
        </is>
      </c>
    </row>
    <row r="417"/>
    <row r="418">
      <c r="A418" s="4" t="inlineStr">
        <is>
          <t>--- 细分: GPU ---</t>
        </is>
      </c>
    </row>
    <row r="419">
      <c r="A419" s="5" t="inlineStr">
        <is>
          <t>排名</t>
        </is>
      </c>
      <c r="B419" s="5" t="inlineStr">
        <is>
          <t>代码</t>
        </is>
      </c>
      <c r="C419" s="5" t="inlineStr">
        <is>
          <t>名称</t>
        </is>
      </c>
      <c r="D419" s="5" t="inlineStr">
        <is>
          <t>得分</t>
        </is>
      </c>
      <c r="E419" s="5" t="inlineStr">
        <is>
          <t>涨跌幅%</t>
        </is>
      </c>
      <c r="F419" s="5" t="inlineStr">
        <is>
          <t>成交额(亿)</t>
        </is>
      </c>
      <c r="G419" s="5" t="inlineStr">
        <is>
          <t>D1新高</t>
        </is>
      </c>
      <c r="H419" s="5" t="inlineStr">
        <is>
          <t>D2强势</t>
        </is>
      </c>
      <c r="I419" s="5" t="inlineStr">
        <is>
          <t>D3突破</t>
        </is>
      </c>
      <c r="J419" s="5" t="inlineStr">
        <is>
          <t>D4首板</t>
        </is>
      </c>
      <c r="K419" s="5" t="inlineStr">
        <is>
          <t>D5潜突</t>
        </is>
      </c>
      <c r="L419" s="5" t="inlineStr">
        <is>
          <t>D6连板</t>
        </is>
      </c>
      <c r="M419" s="5" t="inlineStr">
        <is>
          <t>D7一字</t>
        </is>
      </c>
      <c r="N419" s="5" t="inlineStr">
        <is>
          <t>D8活跃</t>
        </is>
      </c>
      <c r="O419" s="5" t="inlineStr">
        <is>
          <t>大成交额加分</t>
        </is>
      </c>
      <c r="P419" s="5" t="inlineStr">
        <is>
          <t>得分明细</t>
        </is>
      </c>
    </row>
    <row r="420">
      <c r="A420" t="n">
        <v>1</v>
      </c>
      <c r="B420" t="inlineStr">
        <is>
          <t>688041</t>
        </is>
      </c>
      <c r="C420" t="inlineStr">
        <is>
          <t>海光信息</t>
        </is>
      </c>
      <c r="D420" t="n">
        <v>5</v>
      </c>
      <c r="E420" t="n">
        <v>4.73</v>
      </c>
      <c r="F420" t="n">
        <v>0.43</v>
      </c>
      <c r="G420" t="n">
        <v>0</v>
      </c>
      <c r="H420" t="n">
        <v>0</v>
      </c>
      <c r="I420" t="n">
        <v>5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inlineStr">
        <is>
          <t>D1新高=0,D2强势=0,D3突破=5,D4首板=0,D5潜突=0,D6连板=0,D7一字=0,D8活跃=0,bonus=0</t>
        </is>
      </c>
    </row>
    <row r="421"/>
    <row r="422">
      <c r="A422" s="4" t="inlineStr">
        <is>
          <t>--- 细分: 中段设备 ---</t>
        </is>
      </c>
    </row>
    <row r="423">
      <c r="A423" s="5" t="inlineStr">
        <is>
          <t>排名</t>
        </is>
      </c>
      <c r="B423" s="5" t="inlineStr">
        <is>
          <t>代码</t>
        </is>
      </c>
      <c r="C423" s="5" t="inlineStr">
        <is>
          <t>名称</t>
        </is>
      </c>
      <c r="D423" s="5" t="inlineStr">
        <is>
          <t>得分</t>
        </is>
      </c>
      <c r="E423" s="5" t="inlineStr">
        <is>
          <t>涨跌幅%</t>
        </is>
      </c>
      <c r="F423" s="5" t="inlineStr">
        <is>
          <t>成交额(亿)</t>
        </is>
      </c>
      <c r="G423" s="5" t="inlineStr">
        <is>
          <t>D1新高</t>
        </is>
      </c>
      <c r="H423" s="5" t="inlineStr">
        <is>
          <t>D2强势</t>
        </is>
      </c>
      <c r="I423" s="5" t="inlineStr">
        <is>
          <t>D3突破</t>
        </is>
      </c>
      <c r="J423" s="5" t="inlineStr">
        <is>
          <t>D4首板</t>
        </is>
      </c>
      <c r="K423" s="5" t="inlineStr">
        <is>
          <t>D5潜突</t>
        </is>
      </c>
      <c r="L423" s="5" t="inlineStr">
        <is>
          <t>D6连板</t>
        </is>
      </c>
      <c r="M423" s="5" t="inlineStr">
        <is>
          <t>D7一字</t>
        </is>
      </c>
      <c r="N423" s="5" t="inlineStr">
        <is>
          <t>D8活跃</t>
        </is>
      </c>
      <c r="O423" s="5" t="inlineStr">
        <is>
          <t>大成交额加分</t>
        </is>
      </c>
      <c r="P423" s="5" t="inlineStr">
        <is>
          <t>得分明细</t>
        </is>
      </c>
    </row>
    <row r="424">
      <c r="A424" t="n">
        <v>2</v>
      </c>
      <c r="B424" t="inlineStr">
        <is>
          <t>688518</t>
        </is>
      </c>
      <c r="C424" t="inlineStr">
        <is>
          <t>联赢激光</t>
        </is>
      </c>
      <c r="D424" t="n">
        <v>0</v>
      </c>
      <c r="E424" t="n">
        <v>1.56</v>
      </c>
      <c r="F424" t="n">
        <v>0.21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inlineStr">
        <is>
          <t>D1新高=0,D2强势=0,D3突破=0,D4首板=0,D5潜突=0,D6连板=0,D7一字=0,D8活跃=0,bonus=0</t>
        </is>
      </c>
    </row>
    <row r="425"/>
    <row r="426">
      <c r="A426" s="4" t="inlineStr">
        <is>
          <t>--- 细分: AMHS ---</t>
        </is>
      </c>
    </row>
    <row r="427">
      <c r="A427" s="5" t="inlineStr">
        <is>
          <t>排名</t>
        </is>
      </c>
      <c r="B427" s="5" t="inlineStr">
        <is>
          <t>代码</t>
        </is>
      </c>
      <c r="C427" s="5" t="inlineStr">
        <is>
          <t>名称</t>
        </is>
      </c>
      <c r="D427" s="5" t="inlineStr">
        <is>
          <t>得分</t>
        </is>
      </c>
      <c r="E427" s="5" t="inlineStr">
        <is>
          <t>涨跌幅%</t>
        </is>
      </c>
      <c r="F427" s="5" t="inlineStr">
        <is>
          <t>成交额(亿)</t>
        </is>
      </c>
      <c r="G427" s="5" t="inlineStr">
        <is>
          <t>D1新高</t>
        </is>
      </c>
      <c r="H427" s="5" t="inlineStr">
        <is>
          <t>D2强势</t>
        </is>
      </c>
      <c r="I427" s="5" t="inlineStr">
        <is>
          <t>D3突破</t>
        </is>
      </c>
      <c r="J427" s="5" t="inlineStr">
        <is>
          <t>D4首板</t>
        </is>
      </c>
      <c r="K427" s="5" t="inlineStr">
        <is>
          <t>D5潜突</t>
        </is>
      </c>
      <c r="L427" s="5" t="inlineStr">
        <is>
          <t>D6连板</t>
        </is>
      </c>
      <c r="M427" s="5" t="inlineStr">
        <is>
          <t>D7一字</t>
        </is>
      </c>
      <c r="N427" s="5" t="inlineStr">
        <is>
          <t>D8活跃</t>
        </is>
      </c>
      <c r="O427" s="5" t="inlineStr">
        <is>
          <t>大成交额加分</t>
        </is>
      </c>
      <c r="P427" s="5" t="inlineStr">
        <is>
          <t>得分明细</t>
        </is>
      </c>
    </row>
    <row r="428">
      <c r="A428" t="n">
        <v>1</v>
      </c>
      <c r="B428" t="inlineStr">
        <is>
          <t>300873</t>
        </is>
      </c>
      <c r="C428" t="inlineStr">
        <is>
          <t>海晨股份</t>
        </is>
      </c>
      <c r="D428" t="n">
        <v>8</v>
      </c>
      <c r="E428" t="n">
        <v>0.08</v>
      </c>
      <c r="F428" t="n">
        <v>0</v>
      </c>
      <c r="G428" t="n">
        <v>8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inlineStr">
        <is>
          <t>D1新高=8,D2强势=0,D3突破=0,D4首板=0,D5潜突=0,D6连板=0,D7一字=0,D8活跃=0,bonus=0</t>
        </is>
      </c>
    </row>
    <row r="429">
      <c r="A429" t="n">
        <v>2</v>
      </c>
      <c r="B429" t="inlineStr">
        <is>
          <t>000333</t>
        </is>
      </c>
      <c r="C429" t="inlineStr">
        <is>
          <t>美的集团</t>
        </is>
      </c>
      <c r="D429" t="n">
        <v>0</v>
      </c>
      <c r="E429" t="n">
        <v>0.33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inlineStr">
        <is>
          <t>D1新高=0,D2强势=0,D3突破=0,D4首板=0,D5潜突=0,D6连板=0,D7一字=0,D8活跃=0,bonus=0</t>
        </is>
      </c>
    </row>
    <row r="430"/>
    <row r="431">
      <c r="A431" s="4" t="inlineStr">
        <is>
          <t>--- 细分: 光刻胶 ---</t>
        </is>
      </c>
    </row>
    <row r="432">
      <c r="A432" s="5" t="inlineStr">
        <is>
          <t>排名</t>
        </is>
      </c>
      <c r="B432" s="5" t="inlineStr">
        <is>
          <t>代码</t>
        </is>
      </c>
      <c r="C432" s="5" t="inlineStr">
        <is>
          <t>名称</t>
        </is>
      </c>
      <c r="D432" s="5" t="inlineStr">
        <is>
          <t>得分</t>
        </is>
      </c>
      <c r="E432" s="5" t="inlineStr">
        <is>
          <t>涨跌幅%</t>
        </is>
      </c>
      <c r="F432" s="5" t="inlineStr">
        <is>
          <t>成交额(亿)</t>
        </is>
      </c>
      <c r="G432" s="5" t="inlineStr">
        <is>
          <t>D1新高</t>
        </is>
      </c>
      <c r="H432" s="5" t="inlineStr">
        <is>
          <t>D2强势</t>
        </is>
      </c>
      <c r="I432" s="5" t="inlineStr">
        <is>
          <t>D3突破</t>
        </is>
      </c>
      <c r="J432" s="5" t="inlineStr">
        <is>
          <t>D4首板</t>
        </is>
      </c>
      <c r="K432" s="5" t="inlineStr">
        <is>
          <t>D5潜突</t>
        </is>
      </c>
      <c r="L432" s="5" t="inlineStr">
        <is>
          <t>D6连板</t>
        </is>
      </c>
      <c r="M432" s="5" t="inlineStr">
        <is>
          <t>D7一字</t>
        </is>
      </c>
      <c r="N432" s="5" t="inlineStr">
        <is>
          <t>D8活跃</t>
        </is>
      </c>
      <c r="O432" s="5" t="inlineStr">
        <is>
          <t>大成交额加分</t>
        </is>
      </c>
      <c r="P432" s="5" t="inlineStr">
        <is>
          <t>得分明细</t>
        </is>
      </c>
    </row>
    <row r="433">
      <c r="A433" t="n">
        <v>2</v>
      </c>
      <c r="B433" t="inlineStr">
        <is>
          <t>300655</t>
        </is>
      </c>
      <c r="C433" t="inlineStr">
        <is>
          <t>晶瑞电材</t>
        </is>
      </c>
      <c r="D433" t="n">
        <v>5</v>
      </c>
      <c r="E433" t="n">
        <v>2.85</v>
      </c>
      <c r="F433" t="n">
        <v>0.01</v>
      </c>
      <c r="G433" t="n">
        <v>0</v>
      </c>
      <c r="H433" t="n">
        <v>0</v>
      </c>
      <c r="I433" t="n">
        <v>5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inlineStr">
        <is>
          <t>D1新高=0,D2强势=0,D3突破=5,D4首板=0,D5潜突=0,D6连板=0,D7一字=0,D8活跃=0,bonus=0</t>
        </is>
      </c>
    </row>
    <row r="434"/>
    <row r="435">
      <c r="A435" s="4" t="inlineStr">
        <is>
          <t>--- 细分: 其他电子级 ---</t>
        </is>
      </c>
    </row>
    <row r="436">
      <c r="A436" s="5" t="inlineStr">
        <is>
          <t>排名</t>
        </is>
      </c>
      <c r="B436" s="5" t="inlineStr">
        <is>
          <t>代码</t>
        </is>
      </c>
      <c r="C436" s="5" t="inlineStr">
        <is>
          <t>名称</t>
        </is>
      </c>
      <c r="D436" s="5" t="inlineStr">
        <is>
          <t>得分</t>
        </is>
      </c>
      <c r="E436" s="5" t="inlineStr">
        <is>
          <t>涨跌幅%</t>
        </is>
      </c>
      <c r="F436" s="5" t="inlineStr">
        <is>
          <t>成交额(亿)</t>
        </is>
      </c>
      <c r="G436" s="5" t="inlineStr">
        <is>
          <t>D1新高</t>
        </is>
      </c>
      <c r="H436" s="5" t="inlineStr">
        <is>
          <t>D2强势</t>
        </is>
      </c>
      <c r="I436" s="5" t="inlineStr">
        <is>
          <t>D3突破</t>
        </is>
      </c>
      <c r="J436" s="5" t="inlineStr">
        <is>
          <t>D4首板</t>
        </is>
      </c>
      <c r="K436" s="5" t="inlineStr">
        <is>
          <t>D5潜突</t>
        </is>
      </c>
      <c r="L436" s="5" t="inlineStr">
        <is>
          <t>D6连板</t>
        </is>
      </c>
      <c r="M436" s="5" t="inlineStr">
        <is>
          <t>D7一字</t>
        </is>
      </c>
      <c r="N436" s="5" t="inlineStr">
        <is>
          <t>D8活跃</t>
        </is>
      </c>
      <c r="O436" s="5" t="inlineStr">
        <is>
          <t>大成交额加分</t>
        </is>
      </c>
      <c r="P436" s="5" t="inlineStr">
        <is>
          <t>得分明细</t>
        </is>
      </c>
    </row>
    <row r="437">
      <c r="A437" t="n">
        <v>1</v>
      </c>
      <c r="B437" t="inlineStr">
        <is>
          <t>603078</t>
        </is>
      </c>
      <c r="C437" t="inlineStr">
        <is>
          <t>江化微</t>
        </is>
      </c>
      <c r="D437" t="n">
        <v>11</v>
      </c>
      <c r="E437" t="n">
        <v>0.51</v>
      </c>
      <c r="F437" t="n">
        <v>0</v>
      </c>
      <c r="G437" t="n">
        <v>8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3</v>
      </c>
      <c r="O437" t="n">
        <v>0</v>
      </c>
      <c r="P437" t="inlineStr">
        <is>
          <t>D1新高=8,D2强势=0,D3突破=0,D4首板=0,D5潜突=0,D6连板=0,D7一字=0,D8活跃=3,bonus=0</t>
        </is>
      </c>
    </row>
    <row r="438">
      <c r="A438" t="n">
        <v>2</v>
      </c>
      <c r="B438" t="inlineStr">
        <is>
          <t>002709</t>
        </is>
      </c>
      <c r="C438" t="inlineStr">
        <is>
          <t>天赐材料</t>
        </is>
      </c>
      <c r="D438" t="n">
        <v>0</v>
      </c>
      <c r="E438" t="n">
        <v>1.09</v>
      </c>
      <c r="F438" t="n">
        <v>0.01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D1新高=0,D2强势=0,D3突破=0,D4首板=0,D5潜突=0,D6连板=0,D7一字=0,D8活跃=0,bonus=0</t>
        </is>
      </c>
    </row>
    <row r="439">
      <c r="A439" t="n">
        <v>3</v>
      </c>
      <c r="B439" t="inlineStr">
        <is>
          <t>002915</t>
        </is>
      </c>
      <c r="C439" t="inlineStr">
        <is>
          <t>中欣氟材</t>
        </is>
      </c>
      <c r="D439" t="n">
        <v>0</v>
      </c>
      <c r="E439" t="n">
        <v>-4.83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inlineStr">
        <is>
          <t>D1新高=0,D2强势=0,D3突破=0,D4首板=0,D5潜突=0,D6连板=0,D7一字=0,D8活跃=0,bonus=0</t>
        </is>
      </c>
    </row>
    <row r="440"/>
    <row r="441">
      <c r="A441" s="4" t="inlineStr">
        <is>
          <t>--- 细分: 双氟磺酰亚胺锂 ---</t>
        </is>
      </c>
    </row>
    <row r="442">
      <c r="A442" s="5" t="inlineStr">
        <is>
          <t>排名</t>
        </is>
      </c>
      <c r="B442" s="5" t="inlineStr">
        <is>
          <t>代码</t>
        </is>
      </c>
      <c r="C442" s="5" t="inlineStr">
        <is>
          <t>名称</t>
        </is>
      </c>
      <c r="D442" s="5" t="inlineStr">
        <is>
          <t>得分</t>
        </is>
      </c>
      <c r="E442" s="5" t="inlineStr">
        <is>
          <t>涨跌幅%</t>
        </is>
      </c>
      <c r="F442" s="5" t="inlineStr">
        <is>
          <t>成交额(亿)</t>
        </is>
      </c>
      <c r="G442" s="5" t="inlineStr">
        <is>
          <t>D1新高</t>
        </is>
      </c>
      <c r="H442" s="5" t="inlineStr">
        <is>
          <t>D2强势</t>
        </is>
      </c>
      <c r="I442" s="5" t="inlineStr">
        <is>
          <t>D3突破</t>
        </is>
      </c>
      <c r="J442" s="5" t="inlineStr">
        <is>
          <t>D4首板</t>
        </is>
      </c>
      <c r="K442" s="5" t="inlineStr">
        <is>
          <t>D5潜突</t>
        </is>
      </c>
      <c r="L442" s="5" t="inlineStr">
        <is>
          <t>D6连板</t>
        </is>
      </c>
      <c r="M442" s="5" t="inlineStr">
        <is>
          <t>D7一字</t>
        </is>
      </c>
      <c r="N442" s="5" t="inlineStr">
        <is>
          <t>D8活跃</t>
        </is>
      </c>
      <c r="O442" s="5" t="inlineStr">
        <is>
          <t>大成交额加分</t>
        </is>
      </c>
      <c r="P442" s="5" t="inlineStr">
        <is>
          <t>得分明细</t>
        </is>
      </c>
    </row>
    <row r="443">
      <c r="A443" t="n">
        <v>1</v>
      </c>
      <c r="B443" t="inlineStr">
        <is>
          <t>300037</t>
        </is>
      </c>
      <c r="C443" t="inlineStr">
        <is>
          <t>新宙邦</t>
        </is>
      </c>
      <c r="D443" t="n">
        <v>16</v>
      </c>
      <c r="E443" t="n">
        <v>6.99</v>
      </c>
      <c r="F443" t="n">
        <v>0</v>
      </c>
      <c r="G443" t="n">
        <v>8</v>
      </c>
      <c r="H443" t="n">
        <v>0</v>
      </c>
      <c r="I443" t="n">
        <v>5</v>
      </c>
      <c r="J443" t="n">
        <v>0</v>
      </c>
      <c r="K443" t="n">
        <v>0</v>
      </c>
      <c r="L443" t="n">
        <v>0</v>
      </c>
      <c r="M443" t="n">
        <v>0</v>
      </c>
      <c r="N443" t="n">
        <v>3</v>
      </c>
      <c r="O443" t="n">
        <v>0</v>
      </c>
      <c r="P443" t="inlineStr">
        <is>
          <t>D1新高=8,D2强势=0,D3突破=5,D4首板=0,D5潜突=0,D6连板=0,D7一字=0,D8活跃=3,bonus=0</t>
        </is>
      </c>
    </row>
    <row r="444">
      <c r="A444" t="n">
        <v>2</v>
      </c>
      <c r="B444" t="inlineStr">
        <is>
          <t>002407</t>
        </is>
      </c>
      <c r="C444" t="inlineStr">
        <is>
          <t>多氟多</t>
        </is>
      </c>
      <c r="D444" t="n">
        <v>3</v>
      </c>
      <c r="E444" t="n">
        <v>-2.19</v>
      </c>
      <c r="F444" t="n">
        <v>0.02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3</v>
      </c>
      <c r="O444" t="n">
        <v>0</v>
      </c>
      <c r="P444" t="inlineStr">
        <is>
          <t>D1新高=0,D2强势=0,D3突破=0,D4首板=0,D5潜突=0,D6连板=0,D7一字=0,D8活跃=3,bonus=0</t>
        </is>
      </c>
    </row>
    <row r="445">
      <c r="A445" t="n">
        <v>3</v>
      </c>
      <c r="B445" t="inlineStr">
        <is>
          <t>002326</t>
        </is>
      </c>
      <c r="C445" t="inlineStr">
        <is>
          <t>永太科技</t>
        </is>
      </c>
      <c r="D445" t="n">
        <v>0</v>
      </c>
      <c r="E445" t="n">
        <v>-0.18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inlineStr">
        <is>
          <t>D1新高=0,D2强势=0,D3突破=0,D4首板=0,D5潜突=0,D6连板=0,D7一字=0,D8活跃=0,bonus=0</t>
        </is>
      </c>
    </row>
    <row r="446">
      <c r="A446" t="n">
        <v>6</v>
      </c>
      <c r="B446" t="inlineStr">
        <is>
          <t>688602</t>
        </is>
      </c>
      <c r="C446" t="inlineStr">
        <is>
          <t>康鹏科技</t>
        </is>
      </c>
      <c r="D446" t="n">
        <v>0</v>
      </c>
      <c r="E446" t="n">
        <v>-2.09</v>
      </c>
      <c r="F446" t="n">
        <v>0.11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D1新高=0,D2强势=0,D3突破=0,D4首板=0,D5潜突=0,D6连板=0,D7一字=0,D8活跃=0,bonus=0</t>
        </is>
      </c>
    </row>
    <row r="447"/>
    <row r="448">
      <c r="A448" s="4" t="inlineStr">
        <is>
          <t>--- 细分: GPU股权 ---</t>
        </is>
      </c>
    </row>
    <row r="449">
      <c r="A449" s="5" t="inlineStr">
        <is>
          <t>排名</t>
        </is>
      </c>
      <c r="B449" s="5" t="inlineStr">
        <is>
          <t>代码</t>
        </is>
      </c>
      <c r="C449" s="5" t="inlineStr">
        <is>
          <t>名称</t>
        </is>
      </c>
      <c r="D449" s="5" t="inlineStr">
        <is>
          <t>得分</t>
        </is>
      </c>
      <c r="E449" s="5" t="inlineStr">
        <is>
          <t>涨跌幅%</t>
        </is>
      </c>
      <c r="F449" s="5" t="inlineStr">
        <is>
          <t>成交额(亿)</t>
        </is>
      </c>
      <c r="G449" s="5" t="inlineStr">
        <is>
          <t>D1新高</t>
        </is>
      </c>
      <c r="H449" s="5" t="inlineStr">
        <is>
          <t>D2强势</t>
        </is>
      </c>
      <c r="I449" s="5" t="inlineStr">
        <is>
          <t>D3突破</t>
        </is>
      </c>
      <c r="J449" s="5" t="inlineStr">
        <is>
          <t>D4首板</t>
        </is>
      </c>
      <c r="K449" s="5" t="inlineStr">
        <is>
          <t>D5潜突</t>
        </is>
      </c>
      <c r="L449" s="5" t="inlineStr">
        <is>
          <t>D6连板</t>
        </is>
      </c>
      <c r="M449" s="5" t="inlineStr">
        <is>
          <t>D7一字</t>
        </is>
      </c>
      <c r="N449" s="5" t="inlineStr">
        <is>
          <t>D8活跃</t>
        </is>
      </c>
      <c r="O449" s="5" t="inlineStr">
        <is>
          <t>大成交额加分</t>
        </is>
      </c>
      <c r="P449" s="5" t="inlineStr">
        <is>
          <t>得分明细</t>
        </is>
      </c>
    </row>
    <row r="450">
      <c r="A450" t="n">
        <v>1</v>
      </c>
      <c r="B450" t="inlineStr">
        <is>
          <t>301536</t>
        </is>
      </c>
      <c r="C450" t="inlineStr">
        <is>
          <t>星宸科技</t>
        </is>
      </c>
      <c r="D450" t="n">
        <v>9</v>
      </c>
      <c r="E450" t="n">
        <v>-0.26</v>
      </c>
      <c r="F450" t="n">
        <v>0</v>
      </c>
      <c r="G450" t="n">
        <v>0</v>
      </c>
      <c r="H450" t="n">
        <v>6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3</v>
      </c>
      <c r="O450" t="n">
        <v>0</v>
      </c>
      <c r="P450" t="inlineStr">
        <is>
          <t>D1新高=0,D2强势=6,D3突破=0,D4首板=0,D5潜突=0,D6连板=0,D7一字=0,D8活跃=3,bonus=0</t>
        </is>
      </c>
    </row>
    <row r="451">
      <c r="A451" t="n">
        <v>2</v>
      </c>
      <c r="B451" t="inlineStr">
        <is>
          <t>001339</t>
        </is>
      </c>
      <c r="C451" t="inlineStr">
        <is>
          <t>智微智能</t>
        </is>
      </c>
      <c r="D451" t="n">
        <v>8</v>
      </c>
      <c r="E451" t="n">
        <v>10</v>
      </c>
      <c r="F451" t="n">
        <v>0</v>
      </c>
      <c r="G451" t="n">
        <v>0</v>
      </c>
      <c r="H451" t="n">
        <v>0</v>
      </c>
      <c r="I451" t="n">
        <v>5</v>
      </c>
      <c r="J451" t="n">
        <v>3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inlineStr">
        <is>
          <t>D1新高=0,D2强势=0,D3突破=5,D4首板=3,D5潜突=0,D6连板=0,D7一字=0,D8活跃=0,bonus=0</t>
        </is>
      </c>
    </row>
    <row r="452">
      <c r="A452" t="n">
        <v>3</v>
      </c>
      <c r="B452" t="inlineStr">
        <is>
          <t>688110</t>
        </is>
      </c>
      <c r="C452" t="inlineStr">
        <is>
          <t>东芯股份</t>
        </is>
      </c>
      <c r="D452" t="n">
        <v>5</v>
      </c>
      <c r="E452" t="n">
        <v>9.140000000000001</v>
      </c>
      <c r="F452" t="n">
        <v>0.29</v>
      </c>
      <c r="G452" t="n">
        <v>0</v>
      </c>
      <c r="H452" t="n">
        <v>0</v>
      </c>
      <c r="I452" t="n">
        <v>5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inlineStr">
        <is>
          <t>D1新高=0,D2强势=0,D3突破=5,D4首板=0,D5潜突=0,D6连板=0,D7一字=0,D8活跃=0,bonus=0</t>
        </is>
      </c>
    </row>
    <row r="453">
      <c r="A453" t="n">
        <v>4</v>
      </c>
      <c r="B453" t="inlineStr">
        <is>
          <t>603687</t>
        </is>
      </c>
      <c r="C453" t="inlineStr">
        <is>
          <t>大胜达</t>
        </is>
      </c>
      <c r="D453" t="n">
        <v>3</v>
      </c>
      <c r="E453" t="n">
        <v>1.77</v>
      </c>
      <c r="F453" t="n">
        <v>0.01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3</v>
      </c>
      <c r="O453" t="n">
        <v>0</v>
      </c>
      <c r="P453" t="inlineStr">
        <is>
          <t>D1新高=0,D2强势=0,D3突破=0,D4首板=0,D5潜突=0,D6连板=0,D7一字=0,D8活跃=3,bonus=0</t>
        </is>
      </c>
    </row>
    <row r="454">
      <c r="A454" t="n">
        <v>5</v>
      </c>
      <c r="B454" t="inlineStr">
        <is>
          <t>603661</t>
        </is>
      </c>
      <c r="C454" t="inlineStr">
        <is>
          <t>恒林股份</t>
        </is>
      </c>
      <c r="D454" t="n">
        <v>3</v>
      </c>
      <c r="E454" t="n">
        <v>-0.12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3</v>
      </c>
      <c r="O454" t="n">
        <v>0</v>
      </c>
      <c r="P454" t="inlineStr">
        <is>
          <t>D1新高=0,D2强势=0,D3突破=0,D4首板=0,D5潜突=0,D6连板=0,D7一字=0,D8活跃=3,bonus=0</t>
        </is>
      </c>
    </row>
    <row r="455">
      <c r="A455" t="n">
        <v>6</v>
      </c>
      <c r="B455" t="inlineStr">
        <is>
          <t>603031</t>
        </is>
      </c>
      <c r="C455" t="inlineStr">
        <is>
          <t>安孚科技</t>
        </is>
      </c>
      <c r="D455" t="n">
        <v>0</v>
      </c>
      <c r="E455" t="n">
        <v>-0.73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D1新高=0,D2强势=0,D3突破=0,D4首板=0,D5潜突=0,D6连板=0,D7一字=0,D8活跃=0,bonus=0</t>
        </is>
      </c>
    </row>
    <row r="456">
      <c r="A456" t="n">
        <v>7</v>
      </c>
      <c r="B456" t="inlineStr">
        <is>
          <t>603215</t>
        </is>
      </c>
      <c r="C456" t="inlineStr">
        <is>
          <t>比依股份</t>
        </is>
      </c>
      <c r="D456" t="n">
        <v>0</v>
      </c>
      <c r="E456" t="n">
        <v>2.31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inlineStr">
        <is>
          <t>D1新高=0,D2强势=0,D3突破=0,D4首板=0,D5潜突=0,D6连板=0,D7一字=0,D8活跃=0,bonus=0</t>
        </is>
      </c>
    </row>
    <row r="457">
      <c r="A457" t="n">
        <v>8</v>
      </c>
      <c r="B457" t="inlineStr">
        <is>
          <t>300324</t>
        </is>
      </c>
      <c r="C457" t="inlineStr">
        <is>
          <t>旋极信息</t>
        </is>
      </c>
      <c r="D457" t="n">
        <v>0</v>
      </c>
      <c r="E457" t="n">
        <v>-2.47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inlineStr">
        <is>
          <t>D1新高=0,D2强势=0,D3突破=0,D4首板=0,D5潜突=0,D6连板=0,D7一字=0,D8活跃=0,bonus=0</t>
        </is>
      </c>
    </row>
    <row r="458">
      <c r="A458" t="n">
        <v>9</v>
      </c>
      <c r="B458" t="inlineStr">
        <is>
          <t>002685</t>
        </is>
      </c>
      <c r="C458" t="inlineStr">
        <is>
          <t>华东重机</t>
        </is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inlineStr">
        <is>
          <t>D1新高=0,D2强势=0,D3突破=0,D4首板=0,D5潜突=0,D6连板=0,D7一字=0,D8活跃=0,bonus=0</t>
        </is>
      </c>
    </row>
    <row r="459"/>
    <row r="460">
      <c r="A460" s="4" t="inlineStr">
        <is>
          <t>--- 细分: G5级 ---</t>
        </is>
      </c>
    </row>
    <row r="461">
      <c r="A461" s="5" t="inlineStr">
        <is>
          <t>排名</t>
        </is>
      </c>
      <c r="B461" s="5" t="inlineStr">
        <is>
          <t>代码</t>
        </is>
      </c>
      <c r="C461" s="5" t="inlineStr">
        <is>
          <t>名称</t>
        </is>
      </c>
      <c r="D461" s="5" t="inlineStr">
        <is>
          <t>得分</t>
        </is>
      </c>
      <c r="E461" s="5" t="inlineStr">
        <is>
          <t>涨跌幅%</t>
        </is>
      </c>
      <c r="F461" s="5" t="inlineStr">
        <is>
          <t>成交额(亿)</t>
        </is>
      </c>
      <c r="G461" s="5" t="inlineStr">
        <is>
          <t>D1新高</t>
        </is>
      </c>
      <c r="H461" s="5" t="inlineStr">
        <is>
          <t>D2强势</t>
        </is>
      </c>
      <c r="I461" s="5" t="inlineStr">
        <is>
          <t>D3突破</t>
        </is>
      </c>
      <c r="J461" s="5" t="inlineStr">
        <is>
          <t>D4首板</t>
        </is>
      </c>
      <c r="K461" s="5" t="inlineStr">
        <is>
          <t>D5潜突</t>
        </is>
      </c>
      <c r="L461" s="5" t="inlineStr">
        <is>
          <t>D6连板</t>
        </is>
      </c>
      <c r="M461" s="5" t="inlineStr">
        <is>
          <t>D7一字</t>
        </is>
      </c>
      <c r="N461" s="5" t="inlineStr">
        <is>
          <t>D8活跃</t>
        </is>
      </c>
      <c r="O461" s="5" t="inlineStr">
        <is>
          <t>大成交额加分</t>
        </is>
      </c>
      <c r="P461" s="5" t="inlineStr">
        <is>
          <t>得分明细</t>
        </is>
      </c>
    </row>
    <row r="462">
      <c r="A462" t="n">
        <v>1</v>
      </c>
      <c r="B462" t="inlineStr">
        <is>
          <t>600160</t>
        </is>
      </c>
      <c r="C462" t="inlineStr">
        <is>
          <t>巨化股份</t>
        </is>
      </c>
      <c r="D462" t="n">
        <v>3</v>
      </c>
      <c r="E462" t="n">
        <v>2.14</v>
      </c>
      <c r="F462" t="n">
        <v>0.01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3</v>
      </c>
      <c r="O462" t="n">
        <v>0</v>
      </c>
      <c r="P462" t="inlineStr">
        <is>
          <t>D1新高=0,D2强势=0,D3突破=0,D4首板=0,D5潜突=0,D6连板=0,D7一字=0,D8活跃=3,bonus=0</t>
        </is>
      </c>
    </row>
    <row r="463"/>
    <row r="464">
      <c r="A464" s="4" t="inlineStr">
        <is>
          <t>--- 细分: PCIe交换芯片 ---</t>
        </is>
      </c>
    </row>
    <row r="465">
      <c r="A465" s="5" t="inlineStr">
        <is>
          <t>排名</t>
        </is>
      </c>
      <c r="B465" s="5" t="inlineStr">
        <is>
          <t>代码</t>
        </is>
      </c>
      <c r="C465" s="5" t="inlineStr">
        <is>
          <t>名称</t>
        </is>
      </c>
      <c r="D465" s="5" t="inlineStr">
        <is>
          <t>得分</t>
        </is>
      </c>
      <c r="E465" s="5" t="inlineStr">
        <is>
          <t>涨跌幅%</t>
        </is>
      </c>
      <c r="F465" s="5" t="inlineStr">
        <is>
          <t>成交额(亿)</t>
        </is>
      </c>
      <c r="G465" s="5" t="inlineStr">
        <is>
          <t>D1新高</t>
        </is>
      </c>
      <c r="H465" s="5" t="inlineStr">
        <is>
          <t>D2强势</t>
        </is>
      </c>
      <c r="I465" s="5" t="inlineStr">
        <is>
          <t>D3突破</t>
        </is>
      </c>
      <c r="J465" s="5" t="inlineStr">
        <is>
          <t>D4首板</t>
        </is>
      </c>
      <c r="K465" s="5" t="inlineStr">
        <is>
          <t>D5潜突</t>
        </is>
      </c>
      <c r="L465" s="5" t="inlineStr">
        <is>
          <t>D6连板</t>
        </is>
      </c>
      <c r="M465" s="5" t="inlineStr">
        <is>
          <t>D7一字</t>
        </is>
      </c>
      <c r="N465" s="5" t="inlineStr">
        <is>
          <t>D8活跃</t>
        </is>
      </c>
      <c r="O465" s="5" t="inlineStr">
        <is>
          <t>大成交额加分</t>
        </is>
      </c>
      <c r="P465" s="5" t="inlineStr">
        <is>
          <t>得分明细</t>
        </is>
      </c>
    </row>
    <row r="466">
      <c r="A466" t="n">
        <v>1</v>
      </c>
      <c r="B466" t="inlineStr">
        <is>
          <t>600246</t>
        </is>
      </c>
      <c r="C466" t="inlineStr">
        <is>
          <t>万通发展</t>
        </is>
      </c>
      <c r="D466" t="n">
        <v>3</v>
      </c>
      <c r="E466" t="n">
        <v>4.95</v>
      </c>
      <c r="F466" t="n">
        <v>0.01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3</v>
      </c>
      <c r="O466" t="n">
        <v>0</v>
      </c>
      <c r="P466" t="inlineStr">
        <is>
          <t>D1新高=0,D2强势=0,D3突破=0,D4首板=0,D5潜突=0,D6连板=0,D7一字=0,D8活跃=3,bonus=0</t>
        </is>
      </c>
    </row>
    <row r="467"/>
    <row r="468">
      <c r="A468" s="4" t="inlineStr">
        <is>
          <t>--- 细分: 其他硫化物 ---</t>
        </is>
      </c>
    </row>
    <row r="469">
      <c r="A469" s="5" t="inlineStr">
        <is>
          <t>排名</t>
        </is>
      </c>
      <c r="B469" s="5" t="inlineStr">
        <is>
          <t>代码</t>
        </is>
      </c>
      <c r="C469" s="5" t="inlineStr">
        <is>
          <t>名称</t>
        </is>
      </c>
      <c r="D469" s="5" t="inlineStr">
        <is>
          <t>得分</t>
        </is>
      </c>
      <c r="E469" s="5" t="inlineStr">
        <is>
          <t>涨跌幅%</t>
        </is>
      </c>
      <c r="F469" s="5" t="inlineStr">
        <is>
          <t>成交额(亿)</t>
        </is>
      </c>
      <c r="G469" s="5" t="inlineStr">
        <is>
          <t>D1新高</t>
        </is>
      </c>
      <c r="H469" s="5" t="inlineStr">
        <is>
          <t>D2强势</t>
        </is>
      </c>
      <c r="I469" s="5" t="inlineStr">
        <is>
          <t>D3突破</t>
        </is>
      </c>
      <c r="J469" s="5" t="inlineStr">
        <is>
          <t>D4首板</t>
        </is>
      </c>
      <c r="K469" s="5" t="inlineStr">
        <is>
          <t>D5潜突</t>
        </is>
      </c>
      <c r="L469" s="5" t="inlineStr">
        <is>
          <t>D6连板</t>
        </is>
      </c>
      <c r="M469" s="5" t="inlineStr">
        <is>
          <t>D7一字</t>
        </is>
      </c>
      <c r="N469" s="5" t="inlineStr">
        <is>
          <t>D8活跃</t>
        </is>
      </c>
      <c r="O469" s="5" t="inlineStr">
        <is>
          <t>大成交额加分</t>
        </is>
      </c>
      <c r="P469" s="5" t="inlineStr">
        <is>
          <t>得分明细</t>
        </is>
      </c>
    </row>
    <row r="470">
      <c r="A470" t="n">
        <v>1</v>
      </c>
      <c r="B470" t="inlineStr">
        <is>
          <t>600141</t>
        </is>
      </c>
      <c r="C470" t="inlineStr">
        <is>
          <t>兴发集团</t>
        </is>
      </c>
      <c r="D470" t="n">
        <v>3</v>
      </c>
      <c r="E470" t="n">
        <v>-3.91</v>
      </c>
      <c r="F470" t="n">
        <v>0.01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3</v>
      </c>
      <c r="O470" t="n">
        <v>0</v>
      </c>
      <c r="P470" t="inlineStr">
        <is>
          <t>D1新高=0,D2强势=0,D3突破=0,D4首板=0,D5潜突=0,D6连板=0,D7一字=0,D8活跃=3,bonus=0</t>
        </is>
      </c>
    </row>
    <row r="471"/>
    <row r="472">
      <c r="A472" s="4" t="inlineStr">
        <is>
          <t>--- 细分: 其他电子级 ---</t>
        </is>
      </c>
    </row>
    <row r="473">
      <c r="A473" s="5" t="inlineStr">
        <is>
          <t>排名</t>
        </is>
      </c>
      <c r="B473" s="5" t="inlineStr">
        <is>
          <t>代码</t>
        </is>
      </c>
      <c r="C473" s="5" t="inlineStr">
        <is>
          <t>名称</t>
        </is>
      </c>
      <c r="D473" s="5" t="inlineStr">
        <is>
          <t>得分</t>
        </is>
      </c>
      <c r="E473" s="5" t="inlineStr">
        <is>
          <t>涨跌幅%</t>
        </is>
      </c>
      <c r="F473" s="5" t="inlineStr">
        <is>
          <t>成交额(亿)</t>
        </is>
      </c>
      <c r="G473" s="5" t="inlineStr">
        <is>
          <t>D1新高</t>
        </is>
      </c>
      <c r="H473" s="5" t="inlineStr">
        <is>
          <t>D2强势</t>
        </is>
      </c>
      <c r="I473" s="5" t="inlineStr">
        <is>
          <t>D3突破</t>
        </is>
      </c>
      <c r="J473" s="5" t="inlineStr">
        <is>
          <t>D4首板</t>
        </is>
      </c>
      <c r="K473" s="5" t="inlineStr">
        <is>
          <t>D5潜突</t>
        </is>
      </c>
      <c r="L473" s="5" t="inlineStr">
        <is>
          <t>D6连板</t>
        </is>
      </c>
      <c r="M473" s="5" t="inlineStr">
        <is>
          <t>D7一字</t>
        </is>
      </c>
      <c r="N473" s="5" t="inlineStr">
        <is>
          <t>D8活跃</t>
        </is>
      </c>
      <c r="O473" s="5" t="inlineStr">
        <is>
          <t>大成交额加分</t>
        </is>
      </c>
      <c r="P473" s="5" t="inlineStr">
        <is>
          <t>得分明细</t>
        </is>
      </c>
    </row>
    <row r="474">
      <c r="A474" t="n">
        <v>1</v>
      </c>
      <c r="B474" t="inlineStr">
        <is>
          <t>603379</t>
        </is>
      </c>
      <c r="C474" t="inlineStr">
        <is>
          <t>三美股份</t>
        </is>
      </c>
      <c r="D474" t="n">
        <v>8</v>
      </c>
      <c r="E474" t="n">
        <v>3.2</v>
      </c>
      <c r="F474" t="n">
        <v>0</v>
      </c>
      <c r="G474" t="n">
        <v>8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inlineStr">
        <is>
          <t>D1新高=8,D2强势=0,D3突破=0,D4首板=0,D5潜突=0,D6连板=0,D7一字=0,D8活跃=0,bonus=0</t>
        </is>
      </c>
    </row>
    <row r="475">
      <c r="A475" t="n">
        <v>3</v>
      </c>
      <c r="B475" t="inlineStr">
        <is>
          <t>600096</t>
        </is>
      </c>
      <c r="C475" t="inlineStr">
        <is>
          <t>云天化</t>
        </is>
      </c>
      <c r="D475" t="n">
        <v>0</v>
      </c>
      <c r="E475" t="n">
        <v>-1.27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inlineStr">
        <is>
          <t>D1新高=0,D2强势=0,D3突破=0,D4首板=0,D5潜突=0,D6连板=0,D7一字=0,D8活跃=0,bonus=0</t>
        </is>
      </c>
    </row>
    <row r="476">
      <c r="A476" t="n">
        <v>4</v>
      </c>
      <c r="B476" t="inlineStr">
        <is>
          <t>603333</t>
        </is>
      </c>
      <c r="C476" t="inlineStr">
        <is>
          <t>尚纬股份</t>
        </is>
      </c>
      <c r="D476" t="n">
        <v>0</v>
      </c>
      <c r="E476" t="n">
        <v>-2.64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inlineStr">
        <is>
          <t>D1新高=0,D2强势=0,D3突破=0,D4首板=0,D5潜突=0,D6连板=0,D7一字=0,D8活跃=0,bonus=0</t>
        </is>
      </c>
    </row>
    <row r="477"/>
    <row r="478">
      <c r="A478" s="4" t="inlineStr">
        <is>
          <t>--- 细分: ASIC ---</t>
        </is>
      </c>
    </row>
    <row r="479">
      <c r="A479" s="5" t="inlineStr">
        <is>
          <t>排名</t>
        </is>
      </c>
      <c r="B479" s="5" t="inlineStr">
        <is>
          <t>代码</t>
        </is>
      </c>
      <c r="C479" s="5" t="inlineStr">
        <is>
          <t>名称</t>
        </is>
      </c>
      <c r="D479" s="5" t="inlineStr">
        <is>
          <t>得分</t>
        </is>
      </c>
      <c r="E479" s="5" t="inlineStr">
        <is>
          <t>涨跌幅%</t>
        </is>
      </c>
      <c r="F479" s="5" t="inlineStr">
        <is>
          <t>成交额(亿)</t>
        </is>
      </c>
      <c r="G479" s="5" t="inlineStr">
        <is>
          <t>D1新高</t>
        </is>
      </c>
      <c r="H479" s="5" t="inlineStr">
        <is>
          <t>D2强势</t>
        </is>
      </c>
      <c r="I479" s="5" t="inlineStr">
        <is>
          <t>D3突破</t>
        </is>
      </c>
      <c r="J479" s="5" t="inlineStr">
        <is>
          <t>D4首板</t>
        </is>
      </c>
      <c r="K479" s="5" t="inlineStr">
        <is>
          <t>D5潜突</t>
        </is>
      </c>
      <c r="L479" s="5" t="inlineStr">
        <is>
          <t>D6连板</t>
        </is>
      </c>
      <c r="M479" s="5" t="inlineStr">
        <is>
          <t>D7一字</t>
        </is>
      </c>
      <c r="N479" s="5" t="inlineStr">
        <is>
          <t>D8活跃</t>
        </is>
      </c>
      <c r="O479" s="5" t="inlineStr">
        <is>
          <t>大成交额加分</t>
        </is>
      </c>
      <c r="P479" s="5" t="inlineStr">
        <is>
          <t>得分明细</t>
        </is>
      </c>
    </row>
    <row r="480">
      <c r="A480" t="n">
        <v>1</v>
      </c>
      <c r="B480" t="inlineStr">
        <is>
          <t>688691</t>
        </is>
      </c>
      <c r="C480" t="inlineStr">
        <is>
          <t>灿芯股份</t>
        </is>
      </c>
      <c r="D480" t="n">
        <v>5</v>
      </c>
      <c r="E480" t="n">
        <v>2.98</v>
      </c>
      <c r="F480" t="n">
        <v>0.07000000000000001</v>
      </c>
      <c r="G480" t="n">
        <v>0</v>
      </c>
      <c r="H480" t="n">
        <v>0</v>
      </c>
      <c r="I480" t="n">
        <v>5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inlineStr">
        <is>
          <t>D1新高=0,D2强势=0,D3突破=5,D4首板=0,D5潜突=0,D6连板=0,D7一字=0,D8活跃=0,bonus=0</t>
        </is>
      </c>
    </row>
    <row r="481">
      <c r="A481" t="n">
        <v>2</v>
      </c>
      <c r="B481" t="inlineStr">
        <is>
          <t>688521</t>
        </is>
      </c>
      <c r="C481" t="inlineStr">
        <is>
          <t>芯原股份</t>
        </is>
      </c>
      <c r="D481" t="n">
        <v>0</v>
      </c>
      <c r="E481" t="n">
        <v>3.36</v>
      </c>
      <c r="F481" t="n">
        <v>0.21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inlineStr">
        <is>
          <t>D1新高=0,D2强势=0,D3突破=0,D4首板=0,D5潜突=0,D6连板=0,D7一字=0,D8活跃=0,bonus=0</t>
        </is>
      </c>
    </row>
    <row r="482"/>
    <row r="483">
      <c r="A483" s="4" t="inlineStr">
        <is>
          <t>--- 细分: CPU ---</t>
        </is>
      </c>
    </row>
    <row r="484">
      <c r="A484" s="5" t="inlineStr">
        <is>
          <t>排名</t>
        </is>
      </c>
      <c r="B484" s="5" t="inlineStr">
        <is>
          <t>代码</t>
        </is>
      </c>
      <c r="C484" s="5" t="inlineStr">
        <is>
          <t>名称</t>
        </is>
      </c>
      <c r="D484" s="5" t="inlineStr">
        <is>
          <t>得分</t>
        </is>
      </c>
      <c r="E484" s="5" t="inlineStr">
        <is>
          <t>涨跌幅%</t>
        </is>
      </c>
      <c r="F484" s="5" t="inlineStr">
        <is>
          <t>成交额(亿)</t>
        </is>
      </c>
      <c r="G484" s="5" t="inlineStr">
        <is>
          <t>D1新高</t>
        </is>
      </c>
      <c r="H484" s="5" t="inlineStr">
        <is>
          <t>D2强势</t>
        </is>
      </c>
      <c r="I484" s="5" t="inlineStr">
        <is>
          <t>D3突破</t>
        </is>
      </c>
      <c r="J484" s="5" t="inlineStr">
        <is>
          <t>D4首板</t>
        </is>
      </c>
      <c r="K484" s="5" t="inlineStr">
        <is>
          <t>D5潜突</t>
        </is>
      </c>
      <c r="L484" s="5" t="inlineStr">
        <is>
          <t>D6连板</t>
        </is>
      </c>
      <c r="M484" s="5" t="inlineStr">
        <is>
          <t>D7一字</t>
        </is>
      </c>
      <c r="N484" s="5" t="inlineStr">
        <is>
          <t>D8活跃</t>
        </is>
      </c>
      <c r="O484" s="5" t="inlineStr">
        <is>
          <t>大成交额加分</t>
        </is>
      </c>
      <c r="P484" s="5" t="inlineStr">
        <is>
          <t>得分明细</t>
        </is>
      </c>
    </row>
    <row r="485">
      <c r="A485" t="n">
        <v>1</v>
      </c>
      <c r="B485" t="inlineStr">
        <is>
          <t>000066</t>
        </is>
      </c>
      <c r="C485" t="inlineStr">
        <is>
          <t>中国长城</t>
        </is>
      </c>
      <c r="D485" t="n">
        <v>5</v>
      </c>
      <c r="E485" t="n">
        <v>7.29</v>
      </c>
      <c r="F485" t="n">
        <v>0.03</v>
      </c>
      <c r="G485" t="n">
        <v>0</v>
      </c>
      <c r="H485" t="n">
        <v>0</v>
      </c>
      <c r="I485" t="n">
        <v>5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inlineStr">
        <is>
          <t>D1新高=0,D2强势=0,D3突破=5,D4首板=0,D5潜突=0,D6连板=0,D7一字=0,D8活跃=0,bonus=0</t>
        </is>
      </c>
    </row>
    <row r="486">
      <c r="A486" t="n">
        <v>2</v>
      </c>
      <c r="B486" t="inlineStr">
        <is>
          <t>688047</t>
        </is>
      </c>
      <c r="C486" t="inlineStr">
        <is>
          <t>龙芯中科</t>
        </is>
      </c>
      <c r="D486" t="n">
        <v>0</v>
      </c>
      <c r="E486" t="n">
        <v>0.91</v>
      </c>
      <c r="F486" t="n">
        <v>0.09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inlineStr">
        <is>
          <t>D1新高=0,D2强势=0,D3突破=0,D4首板=0,D5潜突=0,D6连板=0,D7一字=0,D8活跃=0,bonus=0</t>
        </is>
      </c>
    </row>
    <row r="487"/>
    <row r="488">
      <c r="A488" s="4" t="inlineStr">
        <is>
          <t>--- 细分: GPU ---</t>
        </is>
      </c>
    </row>
    <row r="489">
      <c r="A489" s="5" t="inlineStr">
        <is>
          <t>排名</t>
        </is>
      </c>
      <c r="B489" s="5" t="inlineStr">
        <is>
          <t>代码</t>
        </is>
      </c>
      <c r="C489" s="5" t="inlineStr">
        <is>
          <t>名称</t>
        </is>
      </c>
      <c r="D489" s="5" t="inlineStr">
        <is>
          <t>得分</t>
        </is>
      </c>
      <c r="E489" s="5" t="inlineStr">
        <is>
          <t>涨跌幅%</t>
        </is>
      </c>
      <c r="F489" s="5" t="inlineStr">
        <is>
          <t>成交额(亿)</t>
        </is>
      </c>
      <c r="G489" s="5" t="inlineStr">
        <is>
          <t>D1新高</t>
        </is>
      </c>
      <c r="H489" s="5" t="inlineStr">
        <is>
          <t>D2强势</t>
        </is>
      </c>
      <c r="I489" s="5" t="inlineStr">
        <is>
          <t>D3突破</t>
        </is>
      </c>
      <c r="J489" s="5" t="inlineStr">
        <is>
          <t>D4首板</t>
        </is>
      </c>
      <c r="K489" s="5" t="inlineStr">
        <is>
          <t>D5潜突</t>
        </is>
      </c>
      <c r="L489" s="5" t="inlineStr">
        <is>
          <t>D6连板</t>
        </is>
      </c>
      <c r="M489" s="5" t="inlineStr">
        <is>
          <t>D7一字</t>
        </is>
      </c>
      <c r="N489" s="5" t="inlineStr">
        <is>
          <t>D8活跃</t>
        </is>
      </c>
      <c r="O489" s="5" t="inlineStr">
        <is>
          <t>大成交额加分</t>
        </is>
      </c>
      <c r="P489" s="5" t="inlineStr">
        <is>
          <t>得分明细</t>
        </is>
      </c>
    </row>
    <row r="490">
      <c r="A490" t="n">
        <v>1</v>
      </c>
      <c r="B490" t="inlineStr">
        <is>
          <t>688262</t>
        </is>
      </c>
      <c r="C490" t="inlineStr">
        <is>
          <t>国芯科技</t>
        </is>
      </c>
      <c r="D490" t="n">
        <v>5</v>
      </c>
      <c r="E490" t="n">
        <v>4.13</v>
      </c>
      <c r="F490" t="n">
        <v>0.13</v>
      </c>
      <c r="G490" t="n">
        <v>0</v>
      </c>
      <c r="H490" t="n">
        <v>0</v>
      </c>
      <c r="I490" t="n">
        <v>5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inlineStr">
        <is>
          <t>D1新高=0,D2强势=0,D3突破=5,D4首板=0,D5潜突=0,D6连板=0,D7一字=0,D8活跃=0,bonus=0</t>
        </is>
      </c>
    </row>
    <row r="491">
      <c r="A491" t="n">
        <v>2</v>
      </c>
      <c r="B491" t="inlineStr">
        <is>
          <t>300474</t>
        </is>
      </c>
      <c r="C491" t="inlineStr">
        <is>
          <t>景嘉微</t>
        </is>
      </c>
      <c r="D491" t="n">
        <v>0</v>
      </c>
      <c r="E491" t="n">
        <v>0.15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inlineStr">
        <is>
          <t>D1新高=0,D2强势=0,D3突破=0,D4首板=0,D5潜突=0,D6连板=0,D7一字=0,D8活跃=0,bonus=0</t>
        </is>
      </c>
    </row>
    <row r="492"/>
    <row r="493">
      <c r="A493" s="4" t="inlineStr">
        <is>
          <t>--- 细分: GPU股东 ---</t>
        </is>
      </c>
    </row>
    <row r="494">
      <c r="A494" s="5" t="inlineStr">
        <is>
          <t>排名</t>
        </is>
      </c>
      <c r="B494" s="5" t="inlineStr">
        <is>
          <t>代码</t>
        </is>
      </c>
      <c r="C494" s="5" t="inlineStr">
        <is>
          <t>名称</t>
        </is>
      </c>
      <c r="D494" s="5" t="inlineStr">
        <is>
          <t>得分</t>
        </is>
      </c>
      <c r="E494" s="5" t="inlineStr">
        <is>
          <t>涨跌幅%</t>
        </is>
      </c>
      <c r="F494" s="5" t="inlineStr">
        <is>
          <t>成交额(亿)</t>
        </is>
      </c>
      <c r="G494" s="5" t="inlineStr">
        <is>
          <t>D1新高</t>
        </is>
      </c>
      <c r="H494" s="5" t="inlineStr">
        <is>
          <t>D2强势</t>
        </is>
      </c>
      <c r="I494" s="5" t="inlineStr">
        <is>
          <t>D3突破</t>
        </is>
      </c>
      <c r="J494" s="5" t="inlineStr">
        <is>
          <t>D4首板</t>
        </is>
      </c>
      <c r="K494" s="5" t="inlineStr">
        <is>
          <t>D5潜突</t>
        </is>
      </c>
      <c r="L494" s="5" t="inlineStr">
        <is>
          <t>D6连板</t>
        </is>
      </c>
      <c r="M494" s="5" t="inlineStr">
        <is>
          <t>D7一字</t>
        </is>
      </c>
      <c r="N494" s="5" t="inlineStr">
        <is>
          <t>D8活跃</t>
        </is>
      </c>
      <c r="O494" s="5" t="inlineStr">
        <is>
          <t>大成交额加分</t>
        </is>
      </c>
      <c r="P494" s="5" t="inlineStr">
        <is>
          <t>得分明细</t>
        </is>
      </c>
    </row>
    <row r="495">
      <c r="A495" t="n">
        <v>1</v>
      </c>
      <c r="B495" t="inlineStr">
        <is>
          <t>300475</t>
        </is>
      </c>
      <c r="C495" t="inlineStr">
        <is>
          <t>香农芯创</t>
        </is>
      </c>
      <c r="D495" t="n">
        <v>22</v>
      </c>
      <c r="E495" t="n">
        <v>20</v>
      </c>
      <c r="F495" t="n">
        <v>0.01</v>
      </c>
      <c r="G495" t="n">
        <v>8</v>
      </c>
      <c r="H495" t="n">
        <v>6</v>
      </c>
      <c r="I495" t="n">
        <v>5</v>
      </c>
      <c r="J495" t="n">
        <v>3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inlineStr">
        <is>
          <t>D1新高=8,D2强势=6,D3突破=5,D4首板=3,D5潜突=0,D6连板=0,D7一字=0,D8活跃=0,bonus=0</t>
        </is>
      </c>
    </row>
    <row r="496">
      <c r="A496" t="n">
        <v>2</v>
      </c>
      <c r="B496" t="inlineStr">
        <is>
          <t>688332</t>
        </is>
      </c>
      <c r="C496" t="inlineStr">
        <is>
          <t>中科蓝讯</t>
        </is>
      </c>
      <c r="D496" t="n">
        <v>22</v>
      </c>
      <c r="E496" t="n">
        <v>7.9</v>
      </c>
      <c r="F496" t="n">
        <v>0.07000000000000001</v>
      </c>
      <c r="G496" t="n">
        <v>8</v>
      </c>
      <c r="H496" t="n">
        <v>6</v>
      </c>
      <c r="I496" t="n">
        <v>5</v>
      </c>
      <c r="J496" t="n">
        <v>0</v>
      </c>
      <c r="K496" t="n">
        <v>0</v>
      </c>
      <c r="L496" t="n">
        <v>0</v>
      </c>
      <c r="M496" t="n">
        <v>0</v>
      </c>
      <c r="N496" t="n">
        <v>3</v>
      </c>
      <c r="O496" t="n">
        <v>0</v>
      </c>
      <c r="P496" t="inlineStr">
        <is>
          <t>D1新高=8,D2强势=6,D3突破=5,D4首板=0,D5潜突=0,D6连板=0,D7一字=0,D8活跃=3,bonus=0</t>
        </is>
      </c>
    </row>
    <row r="497">
      <c r="A497" t="n">
        <v>3</v>
      </c>
      <c r="B497" t="inlineStr">
        <is>
          <t>603516</t>
        </is>
      </c>
      <c r="C497" t="inlineStr">
        <is>
          <t>淳中科技</t>
        </is>
      </c>
      <c r="D497" t="n">
        <v>11</v>
      </c>
      <c r="E497" t="n">
        <v>0.74</v>
      </c>
      <c r="F497" t="n">
        <v>0</v>
      </c>
      <c r="G497" t="n">
        <v>8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3</v>
      </c>
      <c r="O497" t="n">
        <v>0</v>
      </c>
      <c r="P497" t="inlineStr">
        <is>
          <t>D1新高=8,D2强势=0,D3突破=0,D4首板=0,D5潜突=0,D6连板=0,D7一字=0,D8活跃=3,bonus=0</t>
        </is>
      </c>
    </row>
    <row r="498">
      <c r="A498" t="n">
        <v>4</v>
      </c>
      <c r="B498" t="inlineStr">
        <is>
          <t>600030</t>
        </is>
      </c>
      <c r="C498" t="inlineStr">
        <is>
          <t>中信证券</t>
        </is>
      </c>
      <c r="D498" t="n">
        <v>8</v>
      </c>
      <c r="E498" t="n">
        <v>0.44</v>
      </c>
      <c r="F498" t="n">
        <v>0.02</v>
      </c>
      <c r="G498" t="n">
        <v>8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inlineStr">
        <is>
          <t>D1新高=8,D2强势=0,D3突破=0,D4首板=0,D5潜突=0,D6连板=0,D7一字=0,D8活跃=0,bonus=0</t>
        </is>
      </c>
    </row>
    <row r="499">
      <c r="A499" t="n">
        <v>5</v>
      </c>
      <c r="B499" t="inlineStr">
        <is>
          <t>600999</t>
        </is>
      </c>
      <c r="C499" t="inlineStr">
        <is>
          <t>招商证券</t>
        </is>
      </c>
      <c r="D499" t="n">
        <v>8</v>
      </c>
      <c r="E499" t="n">
        <v>0.9</v>
      </c>
      <c r="F499" t="n">
        <v>0.01</v>
      </c>
      <c r="G499" t="n">
        <v>8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inlineStr">
        <is>
          <t>D1新高=8,D2强势=0,D3突破=0,D4首板=0,D5潜突=0,D6连板=0,D7一字=0,D8活跃=0,bonus=0</t>
        </is>
      </c>
    </row>
    <row r="500">
      <c r="A500" t="n">
        <v>6</v>
      </c>
      <c r="B500" t="inlineStr">
        <is>
          <t>000539</t>
        </is>
      </c>
      <c r="C500" t="inlineStr">
        <is>
          <t>粤电力A</t>
        </is>
      </c>
      <c r="D500" t="n">
        <v>5</v>
      </c>
      <c r="E500" t="n">
        <v>6.61</v>
      </c>
      <c r="F500" t="n">
        <v>0.03</v>
      </c>
      <c r="G500" t="n">
        <v>0</v>
      </c>
      <c r="H500" t="n">
        <v>0</v>
      </c>
      <c r="I500" t="n">
        <v>5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inlineStr">
        <is>
          <t>D1新高=0,D2强势=0,D3突破=5,D4首板=0,D5潜突=0,D6连板=0,D7一字=0,D8活跃=0,bonus=0</t>
        </is>
      </c>
    </row>
    <row r="501">
      <c r="A501" t="n">
        <v>7</v>
      </c>
      <c r="B501" t="inlineStr">
        <is>
          <t>600979</t>
        </is>
      </c>
      <c r="C501" t="inlineStr">
        <is>
          <t>广安爱众</t>
        </is>
      </c>
      <c r="D501" t="n">
        <v>3</v>
      </c>
      <c r="E501" t="n">
        <v>-2.09</v>
      </c>
      <c r="F501" t="n">
        <v>0.01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3</v>
      </c>
      <c r="O501" t="n">
        <v>0</v>
      </c>
      <c r="P501" t="inlineStr">
        <is>
          <t>D1新高=0,D2强势=0,D3突破=0,D4首板=0,D5潜突=0,D6连板=0,D7一字=0,D8活跃=3,bonus=0</t>
        </is>
      </c>
    </row>
    <row r="502">
      <c r="A502" t="n">
        <v>8</v>
      </c>
      <c r="B502" t="inlineStr">
        <is>
          <t>300816</t>
        </is>
      </c>
      <c r="C502" t="inlineStr">
        <is>
          <t>艾可蓝</t>
        </is>
      </c>
      <c r="D502" t="n">
        <v>3</v>
      </c>
      <c r="E502" t="n">
        <v>-2.03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3</v>
      </c>
      <c r="O502" t="n">
        <v>0</v>
      </c>
      <c r="P502" t="inlineStr">
        <is>
          <t>D1新高=0,D2强势=0,D3突破=0,D4首板=0,D5潜突=0,D6连板=0,D7一字=0,D8活跃=3,bonus=0</t>
        </is>
      </c>
    </row>
    <row r="503">
      <c r="A503" t="n">
        <v>9</v>
      </c>
      <c r="B503" t="inlineStr">
        <is>
          <t>002432</t>
        </is>
      </c>
      <c r="C503" t="inlineStr">
        <is>
          <t>九安医疗</t>
        </is>
      </c>
      <c r="D503" t="n">
        <v>3</v>
      </c>
      <c r="E503" t="n">
        <v>-5.74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3</v>
      </c>
      <c r="O503" t="n">
        <v>0</v>
      </c>
      <c r="P503" t="inlineStr">
        <is>
          <t>D1新高=0,D2强势=0,D3突破=0,D4首板=0,D5潜突=0,D6连板=0,D7一字=0,D8活跃=3,bonus=0</t>
        </is>
      </c>
    </row>
    <row r="504">
      <c r="A504" t="n">
        <v>10</v>
      </c>
      <c r="B504" t="inlineStr">
        <is>
          <t>688590</t>
        </is>
      </c>
      <c r="C504" t="inlineStr">
        <is>
          <t>新致软件</t>
        </is>
      </c>
      <c r="D504" t="n">
        <v>3</v>
      </c>
      <c r="E504" t="n">
        <v>-2.49</v>
      </c>
      <c r="F504" t="n">
        <v>0.21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3</v>
      </c>
      <c r="O504" t="n">
        <v>0</v>
      </c>
      <c r="P504" t="inlineStr">
        <is>
          <t>D1新高=0,D2强势=0,D3突破=0,D4首板=0,D5潜突=0,D6连板=0,D7一字=0,D8活跃=3,bonus=0</t>
        </is>
      </c>
    </row>
    <row r="505">
      <c r="A505" t="n">
        <v>11</v>
      </c>
      <c r="B505" t="inlineStr">
        <is>
          <t>000027</t>
        </is>
      </c>
      <c r="C505" t="inlineStr">
        <is>
          <t>深圳能源</t>
        </is>
      </c>
      <c r="D505" t="n">
        <v>0</v>
      </c>
      <c r="E505" t="n">
        <v>0.55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inlineStr">
        <is>
          <t>D1新高=0,D2强势=0,D3突破=0,D4首板=0,D5潜突=0,D6连板=0,D7一字=0,D8活跃=0,bonus=0</t>
        </is>
      </c>
    </row>
    <row r="506">
      <c r="A506" t="n">
        <v>12</v>
      </c>
      <c r="B506" t="inlineStr">
        <is>
          <t>002543</t>
        </is>
      </c>
      <c r="C506" t="inlineStr">
        <is>
          <t>万和电气</t>
        </is>
      </c>
      <c r="D506" t="n">
        <v>0</v>
      </c>
      <c r="E506" t="n">
        <v>-1.93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inlineStr">
        <is>
          <t>D1新高=0,D2强势=0,D3突破=0,D4首板=0,D5潜突=0,D6连板=0,D7一字=0,D8活跃=0,bonus=0</t>
        </is>
      </c>
    </row>
    <row r="507">
      <c r="A507" t="n">
        <v>13</v>
      </c>
      <c r="B507" t="inlineStr">
        <is>
          <t>600031</t>
        </is>
      </c>
      <c r="C507" t="inlineStr">
        <is>
          <t>三一重工</t>
        </is>
      </c>
      <c r="D507" t="n">
        <v>0</v>
      </c>
      <c r="E507" t="n">
        <v>1.39</v>
      </c>
      <c r="F507" t="n">
        <v>0.01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inlineStr">
        <is>
          <t>D1新高=0,D2强势=0,D3突破=0,D4首板=0,D5潜突=0,D6连板=0,D7一字=0,D8活跃=0,bonus=0</t>
        </is>
      </c>
    </row>
    <row r="508">
      <c r="A508" t="n">
        <v>14</v>
      </c>
      <c r="B508" t="inlineStr">
        <is>
          <t>002402</t>
        </is>
      </c>
      <c r="C508" t="inlineStr">
        <is>
          <t>和而泰</t>
        </is>
      </c>
      <c r="D508" t="n">
        <v>0</v>
      </c>
      <c r="E508" t="n">
        <v>-0.75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inlineStr">
        <is>
          <t>D1新高=0,D2强势=0,D3突破=0,D4首板=0,D5潜突=0,D6连板=0,D7一字=0,D8活跃=0,bonus=0</t>
        </is>
      </c>
    </row>
    <row r="509">
      <c r="A509" t="n">
        <v>15</v>
      </c>
      <c r="B509" t="inlineStr">
        <is>
          <t>600170</t>
        </is>
      </c>
      <c r="C509" t="inlineStr">
        <is>
          <t>上海建工</t>
        </is>
      </c>
      <c r="D509" t="n">
        <v>0</v>
      </c>
      <c r="E509" t="n">
        <v>0</v>
      </c>
      <c r="F509" t="n">
        <v>0.01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inlineStr">
        <is>
          <t>D1新高=0,D2强势=0,D3突破=0,D4首板=0,D5潜突=0,D6连板=0,D7一字=0,D8活跃=0,bonus=0</t>
        </is>
      </c>
    </row>
    <row r="510">
      <c r="A510" t="n">
        <v>16</v>
      </c>
      <c r="B510" t="inlineStr">
        <is>
          <t>600167</t>
        </is>
      </c>
      <c r="C510" t="inlineStr">
        <is>
          <t>联美控股</t>
        </is>
      </c>
      <c r="D510" t="n">
        <v>0</v>
      </c>
      <c r="E510" t="n">
        <v>-3.76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inlineStr">
        <is>
          <t>D1新高=0,D2强势=0,D3突破=0,D4首板=0,D5潜突=0,D6连板=0,D7一字=0,D8活跃=0,bonus=0</t>
        </is>
      </c>
    </row>
    <row r="511">
      <c r="A511" t="n">
        <v>17</v>
      </c>
      <c r="B511" t="inlineStr">
        <is>
          <t>300981</t>
        </is>
      </c>
      <c r="C511" t="inlineStr">
        <is>
          <t>中红医疗</t>
        </is>
      </c>
      <c r="D511" t="n">
        <v>0</v>
      </c>
      <c r="E511" t="n">
        <v>-1.12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inlineStr">
        <is>
          <t>D1新高=0,D2强势=0,D3突破=0,D4首板=0,D5潜突=0,D6连板=0,D7一字=0,D8活跃=0,bonus=0</t>
        </is>
      </c>
    </row>
    <row r="512">
      <c r="A512" t="n">
        <v>18</v>
      </c>
      <c r="B512" t="inlineStr">
        <is>
          <t>300910</t>
        </is>
      </c>
      <c r="C512" t="inlineStr">
        <is>
          <t>瑞丰新材</t>
        </is>
      </c>
      <c r="D512" t="n">
        <v>0</v>
      </c>
      <c r="E512" t="n">
        <v>-8.18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inlineStr">
        <is>
          <t>D1新高=0,D2强势=0,D3突破=0,D4首板=0,D5潜突=0,D6连板=0,D7一字=0,D8活跃=0,bonus=0</t>
        </is>
      </c>
    </row>
    <row r="513">
      <c r="A513" t="n">
        <v>19</v>
      </c>
      <c r="B513" t="inlineStr">
        <is>
          <t>600635</t>
        </is>
      </c>
      <c r="C513" t="inlineStr">
        <is>
          <t>大众公用</t>
        </is>
      </c>
      <c r="D513" t="n">
        <v>0</v>
      </c>
      <c r="E513" t="n">
        <v>-2.51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inlineStr">
        <is>
          <t>D1新高=0,D2强势=0,D3突破=0,D4首板=0,D5潜突=0,D6连板=0,D7一字=0,D8活跃=0,bonus=0</t>
        </is>
      </c>
    </row>
    <row r="514">
      <c r="A514" t="n">
        <v>20</v>
      </c>
      <c r="B514" t="inlineStr">
        <is>
          <t>600604</t>
        </is>
      </c>
      <c r="C514" t="inlineStr">
        <is>
          <t>市北高新</t>
        </is>
      </c>
      <c r="D514" t="n">
        <v>0</v>
      </c>
      <c r="E514" t="n">
        <v>-2.12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inlineStr">
        <is>
          <t>D1新高=0,D2强势=0,D3突破=0,D4首板=0,D5潜突=0,D6连板=0,D7一字=0,D8活跃=0,bonus=0</t>
        </is>
      </c>
    </row>
    <row r="515">
      <c r="A515" t="n">
        <v>21</v>
      </c>
      <c r="B515" t="inlineStr">
        <is>
          <t>600848</t>
        </is>
      </c>
      <c r="C515" t="inlineStr">
        <is>
          <t>上海临港</t>
        </is>
      </c>
      <c r="D515" t="n">
        <v>0</v>
      </c>
      <c r="E515" t="n">
        <v>0.12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inlineStr">
        <is>
          <t>D1新高=0,D2强势=0,D3突破=0,D4首板=0,D5潜突=0,D6连板=0,D7一字=0,D8活跃=0,bonus=0</t>
        </is>
      </c>
    </row>
    <row r="516">
      <c r="A516" t="n">
        <v>22</v>
      </c>
      <c r="B516" t="inlineStr">
        <is>
          <t>600755</t>
        </is>
      </c>
      <c r="C516" t="inlineStr">
        <is>
          <t>厦门国贸</t>
        </is>
      </c>
      <c r="D516" t="n">
        <v>0</v>
      </c>
      <c r="E516" t="n">
        <v>-0.53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inlineStr">
        <is>
          <t>D1新高=0,D2强势=0,D3突破=0,D4首板=0,D5潜突=0,D6连板=0,D7一字=0,D8活跃=0,bonus=0</t>
        </is>
      </c>
    </row>
    <row r="517">
      <c r="A517" t="n">
        <v>23</v>
      </c>
      <c r="B517" t="inlineStr">
        <is>
          <t>600640</t>
        </is>
      </c>
      <c r="C517" t="inlineStr">
        <is>
          <t>国脉文化</t>
        </is>
      </c>
      <c r="D517" t="n">
        <v>0</v>
      </c>
      <c r="E517" t="n">
        <v>-2.14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inlineStr">
        <is>
          <t>D1新高=0,D2强势=0,D3突破=0,D4首板=0,D5潜突=0,D6连板=0,D7一字=0,D8活跃=0,bonus=0</t>
        </is>
      </c>
    </row>
    <row r="518">
      <c r="A518" t="n">
        <v>24</v>
      </c>
      <c r="B518" t="inlineStr">
        <is>
          <t>600637</t>
        </is>
      </c>
      <c r="C518" t="inlineStr">
        <is>
          <t>东方明珠</t>
        </is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inlineStr">
        <is>
          <t>D1新高=0,D2强势=0,D3突破=0,D4首板=0,D5潜突=0,D6连板=0,D7一字=0,D8活跃=0,bonus=0</t>
        </is>
      </c>
    </row>
    <row r="519">
      <c r="A519" t="n">
        <v>25</v>
      </c>
      <c r="B519" t="inlineStr">
        <is>
          <t>300867</t>
        </is>
      </c>
      <c r="C519" t="inlineStr">
        <is>
          <t>圣元环保</t>
        </is>
      </c>
      <c r="D519" t="n">
        <v>0</v>
      </c>
      <c r="E519" t="n">
        <v>-2.51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inlineStr">
        <is>
          <t>D1新高=0,D2强势=0,D3突破=0,D4首板=0,D5潜突=0,D6连板=0,D7一字=0,D8活跃=0,bonus=0</t>
        </is>
      </c>
    </row>
    <row r="520">
      <c r="A520" t="n">
        <v>26</v>
      </c>
      <c r="B520" t="inlineStr">
        <is>
          <t>300809</t>
        </is>
      </c>
      <c r="C520" t="inlineStr">
        <is>
          <t>华辰装备</t>
        </is>
      </c>
      <c r="D520" t="n">
        <v>0</v>
      </c>
      <c r="E520" t="n">
        <v>-4.45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inlineStr">
        <is>
          <t>D1新高=0,D2强势=0,D3突破=0,D4首板=0,D5潜突=0,D6连板=0,D7一字=0,D8活跃=0,bonus=0</t>
        </is>
      </c>
    </row>
    <row r="521">
      <c r="A521" t="n">
        <v>27</v>
      </c>
      <c r="B521" t="inlineStr">
        <is>
          <t>601686</t>
        </is>
      </c>
      <c r="C521" t="inlineStr">
        <is>
          <t>友发集团</t>
        </is>
      </c>
      <c r="D521" t="n">
        <v>0</v>
      </c>
      <c r="E521" t="n">
        <v>-1.38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inlineStr">
        <is>
          <t>D1新高=0,D2强势=0,D3突破=0,D4首板=0,D5潜突=0,D6连板=0,D7一字=0,D8活跃=0,bonus=0</t>
        </is>
      </c>
    </row>
    <row r="522">
      <c r="A522" t="n">
        <v>28</v>
      </c>
      <c r="B522" t="inlineStr">
        <is>
          <t>601336</t>
        </is>
      </c>
      <c r="C522" t="inlineStr">
        <is>
          <t>新华保险</t>
        </is>
      </c>
      <c r="D522" t="n">
        <v>0</v>
      </c>
      <c r="E522" t="n">
        <v>-0.37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inlineStr">
        <is>
          <t>D1新高=0,D2强势=0,D3突破=0,D4首板=0,D5潜突=0,D6连板=0,D7一字=0,D8活跃=0,bonus=0</t>
        </is>
      </c>
    </row>
    <row r="523">
      <c r="A523" t="n">
        <v>29</v>
      </c>
      <c r="B523" t="inlineStr">
        <is>
          <t>601333</t>
        </is>
      </c>
      <c r="C523" t="inlineStr">
        <is>
          <t>广深铁路</t>
        </is>
      </c>
      <c r="D523" t="n">
        <v>0</v>
      </c>
      <c r="E523" t="n">
        <v>1.35</v>
      </c>
      <c r="F523" t="n">
        <v>0.01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inlineStr">
        <is>
          <t>D1新高=0,D2强势=0,D3突破=0,D4首板=0,D5潜突=0,D6连板=0,D7一字=0,D8活跃=0,bonus=0</t>
        </is>
      </c>
    </row>
    <row r="524">
      <c r="A524" t="n">
        <v>30</v>
      </c>
      <c r="B524" t="inlineStr">
        <is>
          <t>601288</t>
        </is>
      </c>
      <c r="C524" t="inlineStr">
        <is>
          <t>农业银行</t>
        </is>
      </c>
      <c r="D524" t="n">
        <v>0</v>
      </c>
      <c r="E524" t="n">
        <v>-1.21</v>
      </c>
      <c r="F524" t="n">
        <v>0.03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inlineStr">
        <is>
          <t>D1新高=0,D2强势=0,D3突破=0,D4首板=0,D5潜突=0,D6连板=0,D7一字=0,D8活跃=0,bonus=0</t>
        </is>
      </c>
    </row>
    <row r="525">
      <c r="A525" t="n">
        <v>31</v>
      </c>
      <c r="B525" t="inlineStr">
        <is>
          <t>601900</t>
        </is>
      </c>
      <c r="C525" t="inlineStr">
        <is>
          <t>南方传媒</t>
        </is>
      </c>
      <c r="D525" t="n">
        <v>0</v>
      </c>
      <c r="E525" t="n">
        <v>-1.44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inlineStr">
        <is>
          <t>D1新高=0,D2强势=0,D3突破=0,D4首板=0,D5潜突=0,D6连板=0,D7一字=0,D8活跃=0,bonus=0</t>
        </is>
      </c>
    </row>
    <row r="526">
      <c r="A526" t="n">
        <v>32</v>
      </c>
      <c r="B526" t="inlineStr">
        <is>
          <t>300465</t>
        </is>
      </c>
      <c r="C526" t="inlineStr">
        <is>
          <t>高伟达</t>
        </is>
      </c>
      <c r="D526" t="n">
        <v>0</v>
      </c>
      <c r="E526" t="n">
        <v>-3.05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inlineStr">
        <is>
          <t>D1新高=0,D2强势=0,D3突破=0,D4首板=0,D5潜突=0,D6连板=0,D7一字=0,D8活跃=0,bonus=0</t>
        </is>
      </c>
    </row>
    <row r="527">
      <c r="A527" t="n">
        <v>33</v>
      </c>
      <c r="B527" t="inlineStr">
        <is>
          <t>002029</t>
        </is>
      </c>
      <c r="C527" t="inlineStr">
        <is>
          <t>七 匹 狼</t>
        </is>
      </c>
      <c r="D527" t="n">
        <v>0</v>
      </c>
      <c r="E527" t="n">
        <v>0.6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inlineStr">
        <is>
          <t>D1新高=0,D2强势=0,D3突破=0,D4首板=0,D5潜突=0,D6连板=0,D7一字=0,D8活跃=0,bonus=0</t>
        </is>
      </c>
    </row>
    <row r="528">
      <c r="A528" t="n">
        <v>34</v>
      </c>
      <c r="B528" t="inlineStr">
        <is>
          <t>002602</t>
        </is>
      </c>
      <c r="C528" t="inlineStr">
        <is>
          <t>世纪华通</t>
        </is>
      </c>
      <c r="D528" t="n">
        <v>0</v>
      </c>
      <c r="E528" t="n">
        <v>-1.28</v>
      </c>
      <c r="F528" t="n">
        <v>0.01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inlineStr">
        <is>
          <t>D1新高=0,D2强势=0,D3突破=0,D4首板=0,D5潜突=0,D6连板=0,D7一字=0,D8活跃=0,bonus=0</t>
        </is>
      </c>
    </row>
    <row r="529">
      <c r="A529" t="n">
        <v>35</v>
      </c>
      <c r="B529" t="inlineStr">
        <is>
          <t>300383</t>
        </is>
      </c>
      <c r="C529" t="inlineStr">
        <is>
          <t>光环新网</t>
        </is>
      </c>
      <c r="D529" t="n">
        <v>0</v>
      </c>
      <c r="E529" t="n">
        <v>-0.48</v>
      </c>
      <c r="F529" t="n">
        <v>0.01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inlineStr">
        <is>
          <t>D1新高=0,D2强势=0,D3突破=0,D4首板=0,D5潜突=0,D6连板=0,D7一字=0,D8活跃=0,bonus=0</t>
        </is>
      </c>
    </row>
    <row r="530">
      <c r="A530" t="n">
        <v>36</v>
      </c>
      <c r="B530" t="inlineStr">
        <is>
          <t>300250</t>
        </is>
      </c>
      <c r="C530" t="inlineStr">
        <is>
          <t>初灵信息</t>
        </is>
      </c>
      <c r="D530" t="n">
        <v>0</v>
      </c>
      <c r="E530" t="n">
        <v>-2.52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inlineStr">
        <is>
          <t>D1新高=0,D2强势=0,D3突破=0,D4首板=0,D5潜突=0,D6连板=0,D7一字=0,D8活跃=0,bonus=0</t>
        </is>
      </c>
    </row>
    <row r="531">
      <c r="A531" t="n">
        <v>37</v>
      </c>
      <c r="B531" t="inlineStr">
        <is>
          <t>688039</t>
        </is>
      </c>
      <c r="C531" t="inlineStr">
        <is>
          <t>当虹科技</t>
        </is>
      </c>
      <c r="D531" t="n">
        <v>0</v>
      </c>
      <c r="E531" t="n">
        <v>-2.88</v>
      </c>
      <c r="F531" t="n">
        <v>0.02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inlineStr">
        <is>
          <t>D1新高=0,D2强势=0,D3突破=0,D4首板=0,D5潜突=0,D6连板=0,D7一字=0,D8活跃=0,bonus=0</t>
        </is>
      </c>
    </row>
    <row r="532">
      <c r="A532" t="n">
        <v>38</v>
      </c>
      <c r="B532" t="inlineStr">
        <is>
          <t>300075</t>
        </is>
      </c>
      <c r="C532" t="inlineStr">
        <is>
          <t>数字政通</t>
        </is>
      </c>
      <c r="D532" t="n">
        <v>0</v>
      </c>
      <c r="E532" t="n">
        <v>-2.32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inlineStr">
        <is>
          <t>D1新高=0,D2强势=0,D3突破=0,D4首板=0,D5潜突=0,D6连板=0,D7一字=0,D8活跃=0,bonus=0</t>
        </is>
      </c>
    </row>
    <row r="533">
      <c r="A533" t="n">
        <v>39</v>
      </c>
      <c r="B533" t="inlineStr">
        <is>
          <t>688330</t>
        </is>
      </c>
      <c r="C533" t="inlineStr">
        <is>
          <t>宏力达</t>
        </is>
      </c>
      <c r="D533" t="n">
        <v>0</v>
      </c>
      <c r="E533" t="n">
        <v>-2.4</v>
      </c>
      <c r="F533" t="n">
        <v>0.02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inlineStr">
        <is>
          <t>D1新高=0,D2强势=0,D3突破=0,D4首板=0,D5潜突=0,D6连板=0,D7一字=0,D8活跃=0,bonus=0</t>
        </is>
      </c>
    </row>
    <row r="534">
      <c r="A534" t="n">
        <v>40</v>
      </c>
      <c r="B534" t="inlineStr">
        <is>
          <t>002925</t>
        </is>
      </c>
      <c r="C534" t="inlineStr">
        <is>
          <t>盈趣科技</t>
        </is>
      </c>
      <c r="D534" t="n">
        <v>0</v>
      </c>
      <c r="E534" t="n">
        <v>1.91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inlineStr">
        <is>
          <t>D1新高=0,D2强势=0,D3突破=0,D4首板=0,D5潜突=0,D6连板=0,D7一字=0,D8活跃=0,bonus=0</t>
        </is>
      </c>
    </row>
    <row r="535">
      <c r="A535" t="n">
        <v>41</v>
      </c>
      <c r="B535" t="inlineStr">
        <is>
          <t>000685</t>
        </is>
      </c>
      <c r="C535" t="inlineStr">
        <is>
          <t>中山公用</t>
        </is>
      </c>
      <c r="D535" t="n">
        <v>0</v>
      </c>
      <c r="E535" t="n">
        <v>1.08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inlineStr">
        <is>
          <t>D1新高=0,D2强势=0,D3突破=0,D4首板=0,D5潜突=0,D6连板=0,D7一字=0,D8活跃=0,bonus=0</t>
        </is>
      </c>
    </row>
    <row r="536"/>
    <row r="537">
      <c r="A537" s="4" t="inlineStr">
        <is>
          <t>--- 细分: XPU ---</t>
        </is>
      </c>
    </row>
    <row r="538">
      <c r="A538" s="5" t="inlineStr">
        <is>
          <t>排名</t>
        </is>
      </c>
      <c r="B538" s="5" t="inlineStr">
        <is>
          <t>代码</t>
        </is>
      </c>
      <c r="C538" s="5" t="inlineStr">
        <is>
          <t>名称</t>
        </is>
      </c>
      <c r="D538" s="5" t="inlineStr">
        <is>
          <t>得分</t>
        </is>
      </c>
      <c r="E538" s="5" t="inlineStr">
        <is>
          <t>涨跌幅%</t>
        </is>
      </c>
      <c r="F538" s="5" t="inlineStr">
        <is>
          <t>成交额(亿)</t>
        </is>
      </c>
      <c r="G538" s="5" t="inlineStr">
        <is>
          <t>D1新高</t>
        </is>
      </c>
      <c r="H538" s="5" t="inlineStr">
        <is>
          <t>D2强势</t>
        </is>
      </c>
      <c r="I538" s="5" t="inlineStr">
        <is>
          <t>D3突破</t>
        </is>
      </c>
      <c r="J538" s="5" t="inlineStr">
        <is>
          <t>D4首板</t>
        </is>
      </c>
      <c r="K538" s="5" t="inlineStr">
        <is>
          <t>D5潜突</t>
        </is>
      </c>
      <c r="L538" s="5" t="inlineStr">
        <is>
          <t>D6连板</t>
        </is>
      </c>
      <c r="M538" s="5" t="inlineStr">
        <is>
          <t>D7一字</t>
        </is>
      </c>
      <c r="N538" s="5" t="inlineStr">
        <is>
          <t>D8活跃</t>
        </is>
      </c>
      <c r="O538" s="5" t="inlineStr">
        <is>
          <t>大成交额加分</t>
        </is>
      </c>
      <c r="P538" s="5" t="inlineStr">
        <is>
          <t>得分明细</t>
        </is>
      </c>
    </row>
    <row r="539">
      <c r="A539" t="n">
        <v>1</v>
      </c>
      <c r="B539" t="inlineStr">
        <is>
          <t>300223</t>
        </is>
      </c>
      <c r="C539" t="inlineStr">
        <is>
          <t>北京君正</t>
        </is>
      </c>
      <c r="D539" t="n">
        <v>8</v>
      </c>
      <c r="E539" t="n">
        <v>5.97</v>
      </c>
      <c r="F539" t="n">
        <v>0</v>
      </c>
      <c r="G539" t="n">
        <v>0</v>
      </c>
      <c r="H539" t="n">
        <v>0</v>
      </c>
      <c r="I539" t="n">
        <v>5</v>
      </c>
      <c r="J539" t="n">
        <v>0</v>
      </c>
      <c r="K539" t="n">
        <v>0</v>
      </c>
      <c r="L539" t="n">
        <v>0</v>
      </c>
      <c r="M539" t="n">
        <v>0</v>
      </c>
      <c r="N539" t="n">
        <v>3</v>
      </c>
      <c r="O539" t="n">
        <v>0</v>
      </c>
      <c r="P539" t="inlineStr">
        <is>
          <t>D1新高=0,D2强势=0,D3突破=5,D4首板=0,D5潜突=0,D6连板=0,D7一字=0,D8活跃=3,bonus=0</t>
        </is>
      </c>
    </row>
    <row r="540">
      <c r="A540" t="n">
        <v>2</v>
      </c>
      <c r="B540" t="inlineStr">
        <is>
          <t>002594</t>
        </is>
      </c>
      <c r="C540" t="inlineStr">
        <is>
          <t>比亚迪</t>
        </is>
      </c>
      <c r="D540" t="n">
        <v>0</v>
      </c>
      <c r="E540" t="n">
        <v>-2.42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inlineStr">
        <is>
          <t>D1新高=0,D2强势=0,D3突破=0,D4首板=0,D5潜突=0,D6连板=0,D7一字=0,D8活跃=0,bonus=0</t>
        </is>
      </c>
    </row>
    <row r="541">
      <c r="A541" t="n">
        <v>3</v>
      </c>
      <c r="B541" t="inlineStr">
        <is>
          <t>601512</t>
        </is>
      </c>
      <c r="C541" t="inlineStr">
        <is>
          <t>中新集团</t>
        </is>
      </c>
      <c r="D541" t="n">
        <v>0</v>
      </c>
      <c r="E541" t="n">
        <v>-1.08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inlineStr">
        <is>
          <t>D1新高=0,D2强势=0,D3突破=0,D4首板=0,D5潜突=0,D6连板=0,D7一字=0,D8活跃=0,bonus=0</t>
        </is>
      </c>
    </row>
    <row r="542">
      <c r="A542" t="n">
        <v>4</v>
      </c>
      <c r="B542" t="inlineStr">
        <is>
          <t>603858</t>
        </is>
      </c>
      <c r="C542" t="inlineStr">
        <is>
          <t>步长制药</t>
        </is>
      </c>
      <c r="D542" t="n">
        <v>0</v>
      </c>
      <c r="E542" t="n">
        <v>-1.35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inlineStr">
        <is>
          <t>D1新高=0,D2强势=0,D3突破=0,D4首板=0,D5潜突=0,D6连板=0,D7一字=0,D8活跃=0,bonus=0</t>
        </is>
      </c>
    </row>
    <row r="543"/>
    <row r="544">
      <c r="A544" s="4" t="inlineStr">
        <is>
          <t>--- 细分: PVDF ---</t>
        </is>
      </c>
    </row>
    <row r="545">
      <c r="A545" s="5" t="inlineStr">
        <is>
          <t>排名</t>
        </is>
      </c>
      <c r="B545" s="5" t="inlineStr">
        <is>
          <t>代码</t>
        </is>
      </c>
      <c r="C545" s="5" t="inlineStr">
        <is>
          <t>名称</t>
        </is>
      </c>
      <c r="D545" s="5" t="inlineStr">
        <is>
          <t>得分</t>
        </is>
      </c>
      <c r="E545" s="5" t="inlineStr">
        <is>
          <t>涨跌幅%</t>
        </is>
      </c>
      <c r="F545" s="5" t="inlineStr">
        <is>
          <t>成交额(亿)</t>
        </is>
      </c>
      <c r="G545" s="5" t="inlineStr">
        <is>
          <t>D1新高</t>
        </is>
      </c>
      <c r="H545" s="5" t="inlineStr">
        <is>
          <t>D2强势</t>
        </is>
      </c>
      <c r="I545" s="5" t="inlineStr">
        <is>
          <t>D3突破</t>
        </is>
      </c>
      <c r="J545" s="5" t="inlineStr">
        <is>
          <t>D4首板</t>
        </is>
      </c>
      <c r="K545" s="5" t="inlineStr">
        <is>
          <t>D5潜突</t>
        </is>
      </c>
      <c r="L545" s="5" t="inlineStr">
        <is>
          <t>D6连板</t>
        </is>
      </c>
      <c r="M545" s="5" t="inlineStr">
        <is>
          <t>D7一字</t>
        </is>
      </c>
      <c r="N545" s="5" t="inlineStr">
        <is>
          <t>D8活跃</t>
        </is>
      </c>
      <c r="O545" s="5" t="inlineStr">
        <is>
          <t>大成交额加分</t>
        </is>
      </c>
      <c r="P545" s="5" t="inlineStr">
        <is>
          <t>得分明细</t>
        </is>
      </c>
    </row>
    <row r="546">
      <c r="A546" t="n">
        <v>2</v>
      </c>
      <c r="B546" t="inlineStr">
        <is>
          <t>603659</t>
        </is>
      </c>
      <c r="C546" t="inlineStr">
        <is>
          <t>璞泰来</t>
        </is>
      </c>
      <c r="D546" t="n">
        <v>0</v>
      </c>
      <c r="E546" t="n">
        <v>-0.57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inlineStr">
        <is>
          <t>D1新高=0,D2强势=0,D3突破=0,D4首板=0,D5潜突=0,D6连板=0,D7一字=0,D8活跃=0,bonus=0</t>
        </is>
      </c>
    </row>
    <row r="547"/>
    <row r="548">
      <c r="A548" s="4" t="inlineStr">
        <is>
          <t>--- 细分: TPU ---</t>
        </is>
      </c>
    </row>
    <row r="549">
      <c r="A549" s="5" t="inlineStr">
        <is>
          <t>排名</t>
        </is>
      </c>
      <c r="B549" s="5" t="inlineStr">
        <is>
          <t>代码</t>
        </is>
      </c>
      <c r="C549" s="5" t="inlineStr">
        <is>
          <t>名称</t>
        </is>
      </c>
      <c r="D549" s="5" t="inlineStr">
        <is>
          <t>得分</t>
        </is>
      </c>
      <c r="E549" s="5" t="inlineStr">
        <is>
          <t>涨跌幅%</t>
        </is>
      </c>
      <c r="F549" s="5" t="inlineStr">
        <is>
          <t>成交额(亿)</t>
        </is>
      </c>
      <c r="G549" s="5" t="inlineStr">
        <is>
          <t>D1新高</t>
        </is>
      </c>
      <c r="H549" s="5" t="inlineStr">
        <is>
          <t>D2强势</t>
        </is>
      </c>
      <c r="I549" s="5" t="inlineStr">
        <is>
          <t>D3突破</t>
        </is>
      </c>
      <c r="J549" s="5" t="inlineStr">
        <is>
          <t>D4首板</t>
        </is>
      </c>
      <c r="K549" s="5" t="inlineStr">
        <is>
          <t>D5潜突</t>
        </is>
      </c>
      <c r="L549" s="5" t="inlineStr">
        <is>
          <t>D6连板</t>
        </is>
      </c>
      <c r="M549" s="5" t="inlineStr">
        <is>
          <t>D7一字</t>
        </is>
      </c>
      <c r="N549" s="5" t="inlineStr">
        <is>
          <t>D8活跃</t>
        </is>
      </c>
      <c r="O549" s="5" t="inlineStr">
        <is>
          <t>大成交额加分</t>
        </is>
      </c>
      <c r="P549" s="5" t="inlineStr">
        <is>
          <t>得分明细</t>
        </is>
      </c>
    </row>
    <row r="550">
      <c r="A550" t="n">
        <v>1</v>
      </c>
      <c r="B550" t="inlineStr">
        <is>
          <t>301259</t>
        </is>
      </c>
      <c r="C550" t="inlineStr">
        <is>
          <t>艾布鲁</t>
        </is>
      </c>
      <c r="D550" t="n">
        <v>3</v>
      </c>
      <c r="E550" t="n">
        <v>-4.62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3</v>
      </c>
      <c r="O550" t="n">
        <v>0</v>
      </c>
      <c r="P550" t="inlineStr">
        <is>
          <t>D1新高=0,D2强势=0,D3突破=0,D4首板=0,D5潜突=0,D6连板=0,D7一字=0,D8活跃=3,bonus=0</t>
        </is>
      </c>
    </row>
    <row r="551">
      <c r="A551" t="n">
        <v>2</v>
      </c>
      <c r="B551" t="inlineStr">
        <is>
          <t>605255</t>
        </is>
      </c>
      <c r="C551" t="inlineStr">
        <is>
          <t>天普股份</t>
        </is>
      </c>
      <c r="D551" t="n">
        <v>3</v>
      </c>
      <c r="E551" t="n">
        <v>-6.8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3</v>
      </c>
      <c r="O551" t="n">
        <v>0</v>
      </c>
      <c r="P551" t="inlineStr">
        <is>
          <t>D1新高=0,D2强势=0,D3突破=0,D4首板=0,D5潜突=0,D6连板=0,D7一字=0,D8活跃=3,bonus=0</t>
        </is>
      </c>
    </row>
    <row r="552">
      <c r="A552" t="n">
        <v>3</v>
      </c>
      <c r="B552" t="inlineStr">
        <is>
          <t>600633</t>
        </is>
      </c>
      <c r="C552" t="inlineStr">
        <is>
          <t>浙数文化</t>
        </is>
      </c>
      <c r="D552" t="n">
        <v>0</v>
      </c>
      <c r="E552" t="n">
        <v>-1.83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inlineStr">
        <is>
          <t>D1新高=0,D2强势=0,D3突破=0,D4首板=0,D5潜突=0,D6连板=0,D7一字=0,D8活跃=0,bonus=0</t>
        </is>
      </c>
    </row>
    <row r="553">
      <c r="A553" t="n">
        <v>4</v>
      </c>
      <c r="B553" t="inlineStr">
        <is>
          <t>600797</t>
        </is>
      </c>
      <c r="C553" t="inlineStr">
        <is>
          <t>浙大网新</t>
        </is>
      </c>
      <c r="D553" t="n">
        <v>0</v>
      </c>
      <c r="E553" t="n">
        <v>-1.77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inlineStr">
        <is>
          <t>D1新高=0,D2强势=0,D3突破=0,D4首板=0,D5潜突=0,D6连板=0,D7一字=0,D8活跃=0,bonus=0</t>
        </is>
      </c>
    </row>
    <row r="554">
      <c r="A554" t="n">
        <v>5</v>
      </c>
      <c r="B554" t="inlineStr">
        <is>
          <t>300192</t>
        </is>
      </c>
      <c r="C554" t="inlineStr">
        <is>
          <t>科德教育</t>
        </is>
      </c>
      <c r="D554" t="n">
        <v>0</v>
      </c>
      <c r="E554" t="n">
        <v>-1.62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inlineStr">
        <is>
          <t>D1新高=0,D2强势=0,D3突破=0,D4首板=0,D5潜突=0,D6连板=0,D7一字=0,D8活跃=0,bonus=0</t>
        </is>
      </c>
    </row>
    <row r="555"/>
    <row r="556">
      <c r="A556" s="4" t="inlineStr">
        <is>
          <t>--- 细分: 其他算力芯片 ---</t>
        </is>
      </c>
    </row>
    <row r="557">
      <c r="A557" s="5" t="inlineStr">
        <is>
          <t>排名</t>
        </is>
      </c>
      <c r="B557" s="5" t="inlineStr">
        <is>
          <t>代码</t>
        </is>
      </c>
      <c r="C557" s="5" t="inlineStr">
        <is>
          <t>名称</t>
        </is>
      </c>
      <c r="D557" s="5" t="inlineStr">
        <is>
          <t>得分</t>
        </is>
      </c>
      <c r="E557" s="5" t="inlineStr">
        <is>
          <t>涨跌幅%</t>
        </is>
      </c>
      <c r="F557" s="5" t="inlineStr">
        <is>
          <t>成交额(亿)</t>
        </is>
      </c>
      <c r="G557" s="5" t="inlineStr">
        <is>
          <t>D1新高</t>
        </is>
      </c>
      <c r="H557" s="5" t="inlineStr">
        <is>
          <t>D2强势</t>
        </is>
      </c>
      <c r="I557" s="5" t="inlineStr">
        <is>
          <t>D3突破</t>
        </is>
      </c>
      <c r="J557" s="5" t="inlineStr">
        <is>
          <t>D4首板</t>
        </is>
      </c>
      <c r="K557" s="5" t="inlineStr">
        <is>
          <t>D5潜突</t>
        </is>
      </c>
      <c r="L557" s="5" t="inlineStr">
        <is>
          <t>D6连板</t>
        </is>
      </c>
      <c r="M557" s="5" t="inlineStr">
        <is>
          <t>D7一字</t>
        </is>
      </c>
      <c r="N557" s="5" t="inlineStr">
        <is>
          <t>D8活跃</t>
        </is>
      </c>
      <c r="O557" s="5" t="inlineStr">
        <is>
          <t>大成交额加分</t>
        </is>
      </c>
      <c r="P557" s="5" t="inlineStr">
        <is>
          <t>得分明细</t>
        </is>
      </c>
    </row>
    <row r="558">
      <c r="A558" t="n">
        <v>1</v>
      </c>
      <c r="B558" t="inlineStr">
        <is>
          <t>688227</t>
        </is>
      </c>
      <c r="C558" t="inlineStr">
        <is>
          <t>品高股份</t>
        </is>
      </c>
      <c r="D558" t="n">
        <v>3</v>
      </c>
      <c r="E558" t="n">
        <v>-0.13</v>
      </c>
      <c r="F558" t="n">
        <v>0.06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3</v>
      </c>
      <c r="O558" t="n">
        <v>0</v>
      </c>
      <c r="P558" t="inlineStr">
        <is>
          <t>D1新高=0,D2强势=0,D3突破=0,D4首板=0,D5潜突=0,D6连板=0,D7一字=0,D8活跃=3,bonus=0</t>
        </is>
      </c>
    </row>
    <row r="559">
      <c r="A559" t="n">
        <v>2</v>
      </c>
      <c r="B559" t="inlineStr">
        <is>
          <t>688168</t>
        </is>
      </c>
      <c r="C559" t="inlineStr">
        <is>
          <t>安博通</t>
        </is>
      </c>
      <c r="D559" t="n">
        <v>3</v>
      </c>
      <c r="E559" t="n">
        <v>-0.76</v>
      </c>
      <c r="F559" t="n">
        <v>0.03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3</v>
      </c>
      <c r="O559" t="n">
        <v>0</v>
      </c>
      <c r="P559" t="inlineStr">
        <is>
          <t>D1新高=0,D2强势=0,D3突破=0,D4首板=0,D5潜突=0,D6连板=0,D7一字=0,D8活跃=3,bonus=0</t>
        </is>
      </c>
    </row>
    <row r="560">
      <c r="A560" t="n">
        <v>3</v>
      </c>
      <c r="B560" t="inlineStr">
        <is>
          <t>600352</t>
        </is>
      </c>
      <c r="C560" t="inlineStr">
        <is>
          <t>浙江龙盛</t>
        </is>
      </c>
      <c r="D560" t="n">
        <v>0</v>
      </c>
      <c r="E560" t="n">
        <v>2.4</v>
      </c>
      <c r="F560" t="n">
        <v>0.01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inlineStr">
        <is>
          <t>D1新高=0,D2强势=0,D3突破=0,D4首板=0,D5潜突=0,D6连板=0,D7一字=0,D8活跃=0,bonus=0</t>
        </is>
      </c>
    </row>
    <row r="561">
      <c r="A561" t="n">
        <v>4</v>
      </c>
      <c r="B561" t="inlineStr">
        <is>
          <t>002647</t>
        </is>
      </c>
      <c r="C561" t="inlineStr">
        <is>
          <t>仁东控股</t>
        </is>
      </c>
      <c r="D561" t="n">
        <v>0</v>
      </c>
      <c r="E561" t="n">
        <v>-0.61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inlineStr">
        <is>
          <t>D1新高=0,D2强势=0,D3突破=0,D4首板=0,D5潜突=0,D6连板=0,D7一字=0,D8活跃=0,bonus=0</t>
        </is>
      </c>
    </row>
    <row r="562">
      <c r="A562" t="n">
        <v>5</v>
      </c>
      <c r="B562" t="inlineStr">
        <is>
          <t>002049</t>
        </is>
      </c>
      <c r="C562" t="inlineStr">
        <is>
          <t>紫光国微</t>
        </is>
      </c>
      <c r="D562" t="n">
        <v>0</v>
      </c>
      <c r="E562" t="n">
        <v>4.29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inlineStr">
        <is>
          <t>D1新高=0,D2强势=0,D3突破=0,D4首板=0,D5潜突=0,D6连板=0,D7一字=0,D8活跃=0,bonus=0</t>
        </is>
      </c>
    </row>
    <row r="563">
      <c r="A563" t="n">
        <v>6</v>
      </c>
      <c r="B563" t="inlineStr">
        <is>
          <t>000938</t>
        </is>
      </c>
      <c r="C563" t="inlineStr">
        <is>
          <t>紫光股份</t>
        </is>
      </c>
      <c r="D563" t="n">
        <v>0</v>
      </c>
      <c r="E563" t="n">
        <v>1.61</v>
      </c>
      <c r="F563" t="n">
        <v>0.01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inlineStr">
        <is>
          <t>D1新高=0,D2强势=0,D3突破=0,D4首板=0,D5潜突=0,D6连板=0,D7一字=0,D8活跃=0,bonus=0</t>
        </is>
      </c>
    </row>
    <row r="564"/>
    <row r="565">
      <c r="A565" s="4" t="inlineStr">
        <is>
          <t>--- 细分: 六氟磷酸锂 ---</t>
        </is>
      </c>
    </row>
    <row r="566">
      <c r="A566" s="5" t="inlineStr">
        <is>
          <t>排名</t>
        </is>
      </c>
      <c r="B566" s="5" t="inlineStr">
        <is>
          <t>代码</t>
        </is>
      </c>
      <c r="C566" s="5" t="inlineStr">
        <is>
          <t>名称</t>
        </is>
      </c>
      <c r="D566" s="5" t="inlineStr">
        <is>
          <t>得分</t>
        </is>
      </c>
      <c r="E566" s="5" t="inlineStr">
        <is>
          <t>涨跌幅%</t>
        </is>
      </c>
      <c r="F566" s="5" t="inlineStr">
        <is>
          <t>成交额(亿)</t>
        </is>
      </c>
      <c r="G566" s="5" t="inlineStr">
        <is>
          <t>D1新高</t>
        </is>
      </c>
      <c r="H566" s="5" t="inlineStr">
        <is>
          <t>D2强势</t>
        </is>
      </c>
      <c r="I566" s="5" t="inlineStr">
        <is>
          <t>D3突破</t>
        </is>
      </c>
      <c r="J566" s="5" t="inlineStr">
        <is>
          <t>D4首板</t>
        </is>
      </c>
      <c r="K566" s="5" t="inlineStr">
        <is>
          <t>D5潜突</t>
        </is>
      </c>
      <c r="L566" s="5" t="inlineStr">
        <is>
          <t>D6连板</t>
        </is>
      </c>
      <c r="M566" s="5" t="inlineStr">
        <is>
          <t>D7一字</t>
        </is>
      </c>
      <c r="N566" s="5" t="inlineStr">
        <is>
          <t>D8活跃</t>
        </is>
      </c>
      <c r="O566" s="5" t="inlineStr">
        <is>
          <t>大成交额加分</t>
        </is>
      </c>
      <c r="P566" s="5" t="inlineStr">
        <is>
          <t>得分明细</t>
        </is>
      </c>
    </row>
    <row r="567">
      <c r="A567" t="n">
        <v>4</v>
      </c>
      <c r="B567" t="inlineStr">
        <is>
          <t>002759</t>
        </is>
      </c>
      <c r="C567" t="inlineStr">
        <is>
          <t>天际股份</t>
        </is>
      </c>
      <c r="D567" t="n">
        <v>0</v>
      </c>
      <c r="E567" t="n">
        <v>-2.72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inlineStr">
        <is>
          <t>D1新高=0,D2强势=0,D3突破=0,D4首板=0,D5潜突=0,D6连板=0,D7一字=0,D8活跃=0,bonus=0</t>
        </is>
      </c>
    </row>
    <row r="568"/>
    <row r="569">
      <c r="A569" s="4" t="inlineStr">
        <is>
          <t>--- 细分: 长光所 ---</t>
        </is>
      </c>
    </row>
    <row r="570">
      <c r="A570" s="5" t="inlineStr">
        <is>
          <t>排名</t>
        </is>
      </c>
      <c r="B570" s="5" t="inlineStr">
        <is>
          <t>代码</t>
        </is>
      </c>
      <c r="C570" s="5" t="inlineStr">
        <is>
          <t>名称</t>
        </is>
      </c>
      <c r="D570" s="5" t="inlineStr">
        <is>
          <t>得分</t>
        </is>
      </c>
      <c r="E570" s="5" t="inlineStr">
        <is>
          <t>涨跌幅%</t>
        </is>
      </c>
      <c r="F570" s="5" t="inlineStr">
        <is>
          <t>成交额(亿)</t>
        </is>
      </c>
      <c r="G570" s="5" t="inlineStr">
        <is>
          <t>D1新高</t>
        </is>
      </c>
      <c r="H570" s="5" t="inlineStr">
        <is>
          <t>D2强势</t>
        </is>
      </c>
      <c r="I570" s="5" t="inlineStr">
        <is>
          <t>D3突破</t>
        </is>
      </c>
      <c r="J570" s="5" t="inlineStr">
        <is>
          <t>D4首板</t>
        </is>
      </c>
      <c r="K570" s="5" t="inlineStr">
        <is>
          <t>D5潜突</t>
        </is>
      </c>
      <c r="L570" s="5" t="inlineStr">
        <is>
          <t>D6连板</t>
        </is>
      </c>
      <c r="M570" s="5" t="inlineStr">
        <is>
          <t>D7一字</t>
        </is>
      </c>
      <c r="N570" s="5" t="inlineStr">
        <is>
          <t>D8活跃</t>
        </is>
      </c>
      <c r="O570" s="5" t="inlineStr">
        <is>
          <t>大成交额加分</t>
        </is>
      </c>
      <c r="P570" s="5" t="inlineStr">
        <is>
          <t>得分明细</t>
        </is>
      </c>
    </row>
    <row r="571">
      <c r="A571" t="n">
        <v>1</v>
      </c>
      <c r="B571" t="inlineStr">
        <is>
          <t>002338</t>
        </is>
      </c>
      <c r="C571" t="inlineStr">
        <is>
          <t>奥普光电</t>
        </is>
      </c>
      <c r="D571" t="n">
        <v>0</v>
      </c>
      <c r="E571" t="n">
        <v>-1.5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inlineStr">
        <is>
          <t>D1新高=0,D2强势=0,D3突破=0,D4首板=0,D5潜突=0,D6连板=0,D7一字=0,D8活跃=0,bonus=0</t>
        </is>
      </c>
    </row>
    <row r="572"/>
    <row r="573">
      <c r="A573" s="4" t="inlineStr">
        <is>
          <t>--- 细分: 上海微电子 ---</t>
        </is>
      </c>
    </row>
    <row r="574">
      <c r="A574" s="5" t="inlineStr">
        <is>
          <t>排名</t>
        </is>
      </c>
      <c r="B574" s="5" t="inlineStr">
        <is>
          <t>代码</t>
        </is>
      </c>
      <c r="C574" s="5" t="inlineStr">
        <is>
          <t>名称</t>
        </is>
      </c>
      <c r="D574" s="5" t="inlineStr">
        <is>
          <t>得分</t>
        </is>
      </c>
      <c r="E574" s="5" t="inlineStr">
        <is>
          <t>涨跌幅%</t>
        </is>
      </c>
      <c r="F574" s="5" t="inlineStr">
        <is>
          <t>成交额(亿)</t>
        </is>
      </c>
      <c r="G574" s="5" t="inlineStr">
        <is>
          <t>D1新高</t>
        </is>
      </c>
      <c r="H574" s="5" t="inlineStr">
        <is>
          <t>D2强势</t>
        </is>
      </c>
      <c r="I574" s="5" t="inlineStr">
        <is>
          <t>D3突破</t>
        </is>
      </c>
      <c r="J574" s="5" t="inlineStr">
        <is>
          <t>D4首板</t>
        </is>
      </c>
      <c r="K574" s="5" t="inlineStr">
        <is>
          <t>D5潜突</t>
        </is>
      </c>
      <c r="L574" s="5" t="inlineStr">
        <is>
          <t>D6连板</t>
        </is>
      </c>
      <c r="M574" s="5" t="inlineStr">
        <is>
          <t>D7一字</t>
        </is>
      </c>
      <c r="N574" s="5" t="inlineStr">
        <is>
          <t>D8活跃</t>
        </is>
      </c>
      <c r="O574" s="5" t="inlineStr">
        <is>
          <t>大成交额加分</t>
        </is>
      </c>
      <c r="P574" s="5" t="inlineStr">
        <is>
          <t>得分明细</t>
        </is>
      </c>
    </row>
    <row r="575">
      <c r="A575" t="n">
        <v>1</v>
      </c>
      <c r="B575" t="inlineStr">
        <is>
          <t>688660</t>
        </is>
      </c>
      <c r="C575" t="inlineStr">
        <is>
          <t>电气风电</t>
        </is>
      </c>
      <c r="D575" t="n">
        <v>0</v>
      </c>
      <c r="E575" t="n">
        <v>-2.56</v>
      </c>
      <c r="F575" t="n">
        <v>0.14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inlineStr">
        <is>
          <t>D1新高=0,D2强势=0,D3突破=0,D4首板=0,D5潜突=0,D6连板=0,D7一字=0,D8活跃=0,bonus=0</t>
        </is>
      </c>
    </row>
    <row r="576">
      <c r="A576" t="n">
        <v>3</v>
      </c>
      <c r="B576" t="inlineStr">
        <is>
          <t>600619</t>
        </is>
      </c>
      <c r="C576" t="inlineStr">
        <is>
          <t>海立股份</t>
        </is>
      </c>
      <c r="D576" t="n">
        <v>0</v>
      </c>
      <c r="E576" t="n">
        <v>-1.65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inlineStr">
        <is>
          <t>D1新高=0,D2强势=0,D3突破=0,D4首板=0,D5潜突=0,D6连板=0,D7一字=0,D8活跃=0,bonus=0</t>
        </is>
      </c>
    </row>
    <row r="577">
      <c r="A577" t="n">
        <v>4</v>
      </c>
      <c r="B577" t="inlineStr">
        <is>
          <t>600835</t>
        </is>
      </c>
      <c r="C577" t="inlineStr">
        <is>
          <t>上海机电</t>
        </is>
      </c>
      <c r="D577" t="n">
        <v>0</v>
      </c>
      <c r="E577" t="n">
        <v>-0.49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inlineStr">
        <is>
          <t>D1新高=0,D2强势=0,D3突破=0,D4首板=0,D5潜突=0,D6连板=0,D7一字=0,D8活跃=0,bonus=0</t>
        </is>
      </c>
    </row>
    <row r="578">
      <c r="A578" t="n">
        <v>5</v>
      </c>
      <c r="B578" t="inlineStr">
        <is>
          <t>600895</t>
        </is>
      </c>
      <c r="C578" t="inlineStr">
        <is>
          <t>张江高科</t>
        </is>
      </c>
      <c r="D578" t="n">
        <v>0</v>
      </c>
      <c r="E578" t="n">
        <v>-0.09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inlineStr">
        <is>
          <t>D1新高=0,D2强势=0,D3突破=0,D4首板=0,D5潜突=0,D6连板=0,D7一字=0,D8活跃=0,bonus=0</t>
        </is>
      </c>
    </row>
    <row r="579">
      <c r="A579" t="n">
        <v>6</v>
      </c>
      <c r="B579" t="inlineStr">
        <is>
          <t>601727</t>
        </is>
      </c>
      <c r="C579" t="inlineStr">
        <is>
          <t>上海电气</t>
        </is>
      </c>
      <c r="D579" t="n">
        <v>0</v>
      </c>
      <c r="E579" t="n">
        <v>0.82</v>
      </c>
      <c r="F579" t="n">
        <v>0.01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inlineStr">
        <is>
          <t>D1新高=0,D2强势=0,D3突破=0,D4首板=0,D5潜突=0,D6连板=0,D7一字=0,D8活跃=0,bonus=0</t>
        </is>
      </c>
    </row>
    <row r="580">
      <c r="A580" t="n">
        <v>7</v>
      </c>
      <c r="B580" t="inlineStr">
        <is>
          <t>300457</t>
        </is>
      </c>
      <c r="C580" t="inlineStr">
        <is>
          <t>赢合科技</t>
        </is>
      </c>
      <c r="D580" t="n">
        <v>0</v>
      </c>
      <c r="E580" t="n">
        <v>-1.34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inlineStr">
        <is>
          <t>D1新高=0,D2强势=0,D3突破=0,D4首板=0,D5潜突=0,D6连板=0,D7一字=0,D8活跃=0,bonus=0</t>
        </is>
      </c>
    </row>
    <row r="581"/>
    <row r="582">
      <c r="A582" s="4" t="inlineStr">
        <is>
          <t>--- 细分: 车企布局 ---</t>
        </is>
      </c>
    </row>
    <row r="583">
      <c r="A583" s="5" t="inlineStr">
        <is>
          <t>排名</t>
        </is>
      </c>
      <c r="B583" s="5" t="inlineStr">
        <is>
          <t>代码</t>
        </is>
      </c>
      <c r="C583" s="5" t="inlineStr">
        <is>
          <t>名称</t>
        </is>
      </c>
      <c r="D583" s="5" t="inlineStr">
        <is>
          <t>得分</t>
        </is>
      </c>
      <c r="E583" s="5" t="inlineStr">
        <is>
          <t>涨跌幅%</t>
        </is>
      </c>
      <c r="F583" s="5" t="inlineStr">
        <is>
          <t>成交额(亿)</t>
        </is>
      </c>
      <c r="G583" s="5" t="inlineStr">
        <is>
          <t>D1新高</t>
        </is>
      </c>
      <c r="H583" s="5" t="inlineStr">
        <is>
          <t>D2强势</t>
        </is>
      </c>
      <c r="I583" s="5" t="inlineStr">
        <is>
          <t>D3突破</t>
        </is>
      </c>
      <c r="J583" s="5" t="inlineStr">
        <is>
          <t>D4首板</t>
        </is>
      </c>
      <c r="K583" s="5" t="inlineStr">
        <is>
          <t>D5潜突</t>
        </is>
      </c>
      <c r="L583" s="5" t="inlineStr">
        <is>
          <t>D6连板</t>
        </is>
      </c>
      <c r="M583" s="5" t="inlineStr">
        <is>
          <t>D7一字</t>
        </is>
      </c>
      <c r="N583" s="5" t="inlineStr">
        <is>
          <t>D8活跃</t>
        </is>
      </c>
      <c r="O583" s="5" t="inlineStr">
        <is>
          <t>大成交额加分</t>
        </is>
      </c>
      <c r="P583" s="5" t="inlineStr">
        <is>
          <t>得分明细</t>
        </is>
      </c>
    </row>
    <row r="584">
      <c r="A584" t="n">
        <v>2</v>
      </c>
      <c r="B584" t="inlineStr">
        <is>
          <t>600104</t>
        </is>
      </c>
      <c r="C584" t="inlineStr">
        <is>
          <t>上汽集团</t>
        </is>
      </c>
      <c r="D584" t="n">
        <v>0</v>
      </c>
      <c r="E584" t="n">
        <v>-0.85</v>
      </c>
      <c r="F584" t="n">
        <v>0.01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inlineStr">
        <is>
          <t>D1新高=0,D2强势=0,D3突破=0,D4首板=0,D5潜突=0,D6连板=0,D7一字=0,D8活跃=0,bonus=0</t>
        </is>
      </c>
    </row>
    <row r="585">
      <c r="A585" t="n">
        <v>3</v>
      </c>
      <c r="B585" t="inlineStr">
        <is>
          <t>600418</t>
        </is>
      </c>
      <c r="C585" t="inlineStr">
        <is>
          <t>江淮汽车</t>
        </is>
      </c>
      <c r="D585" t="n">
        <v>0</v>
      </c>
      <c r="E585" t="n">
        <v>-4.26</v>
      </c>
      <c r="F585" t="n">
        <v>0.01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inlineStr">
        <is>
          <t>D1新高=0,D2强势=0,D3突破=0,D4首板=0,D5潜突=0,D6连板=0,D7一字=0,D8活跃=0,bonus=0</t>
        </is>
      </c>
    </row>
    <row r="586">
      <c r="A586" t="n">
        <v>4</v>
      </c>
      <c r="B586" t="inlineStr">
        <is>
          <t>601238</t>
        </is>
      </c>
      <c r="C586" t="inlineStr">
        <is>
          <t>广汽集团</t>
        </is>
      </c>
      <c r="D586" t="n">
        <v>0</v>
      </c>
      <c r="E586" t="n">
        <v>-2.56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inlineStr">
        <is>
          <t>D1新高=0,D2强势=0,D3突破=0,D4首板=0,D5潜突=0,D6连板=0,D7一字=0,D8活跃=0,bonus=0</t>
        </is>
      </c>
    </row>
    <row r="587"/>
    <row r="588">
      <c r="A588" s="4" t="inlineStr">
        <is>
          <t>--- 细分: MLU ---</t>
        </is>
      </c>
    </row>
    <row r="589">
      <c r="A589" s="5" t="inlineStr">
        <is>
          <t>排名</t>
        </is>
      </c>
      <c r="B589" s="5" t="inlineStr">
        <is>
          <t>代码</t>
        </is>
      </c>
      <c r="C589" s="5" t="inlineStr">
        <is>
          <t>名称</t>
        </is>
      </c>
      <c r="D589" s="5" t="inlineStr">
        <is>
          <t>得分</t>
        </is>
      </c>
      <c r="E589" s="5" t="inlineStr">
        <is>
          <t>涨跌幅%</t>
        </is>
      </c>
      <c r="F589" s="5" t="inlineStr">
        <is>
          <t>成交额(亿)</t>
        </is>
      </c>
      <c r="G589" s="5" t="inlineStr">
        <is>
          <t>D1新高</t>
        </is>
      </c>
      <c r="H589" s="5" t="inlineStr">
        <is>
          <t>D2强势</t>
        </is>
      </c>
      <c r="I589" s="5" t="inlineStr">
        <is>
          <t>D3突破</t>
        </is>
      </c>
      <c r="J589" s="5" t="inlineStr">
        <is>
          <t>D4首板</t>
        </is>
      </c>
      <c r="K589" s="5" t="inlineStr">
        <is>
          <t>D5潜突</t>
        </is>
      </c>
      <c r="L589" s="5" t="inlineStr">
        <is>
          <t>D6连板</t>
        </is>
      </c>
      <c r="M589" s="5" t="inlineStr">
        <is>
          <t>D7一字</t>
        </is>
      </c>
      <c r="N589" s="5" t="inlineStr">
        <is>
          <t>D8活跃</t>
        </is>
      </c>
      <c r="O589" s="5" t="inlineStr">
        <is>
          <t>大成交额加分</t>
        </is>
      </c>
      <c r="P589" s="5" t="inlineStr">
        <is>
          <t>得分明细</t>
        </is>
      </c>
    </row>
    <row r="590">
      <c r="A590" t="n">
        <v>1</v>
      </c>
      <c r="B590" t="inlineStr">
        <is>
          <t>688256</t>
        </is>
      </c>
      <c r="C590" t="inlineStr">
        <is>
          <t>寒武纪</t>
        </is>
      </c>
      <c r="D590" t="n">
        <v>0</v>
      </c>
      <c r="E590" t="n">
        <v>1</v>
      </c>
      <c r="F590" t="n">
        <v>0.13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inlineStr">
        <is>
          <t>D1新高=0,D2强势=0,D3突破=0,D4首板=0,D5潜突=0,D6连板=0,D7一字=0,D8活跃=0,bonus=0</t>
        </is>
      </c>
    </row>
    <row r="591"/>
    <row r="592">
      <c r="A592" s="4" t="inlineStr">
        <is>
          <t>--- 细分: DPU ---</t>
        </is>
      </c>
    </row>
    <row r="593">
      <c r="A593" s="5" t="inlineStr">
        <is>
          <t>排名</t>
        </is>
      </c>
      <c r="B593" s="5" t="inlineStr">
        <is>
          <t>代码</t>
        </is>
      </c>
      <c r="C593" s="5" t="inlineStr">
        <is>
          <t>名称</t>
        </is>
      </c>
      <c r="D593" s="5" t="inlineStr">
        <is>
          <t>得分</t>
        </is>
      </c>
      <c r="E593" s="5" t="inlineStr">
        <is>
          <t>涨跌幅%</t>
        </is>
      </c>
      <c r="F593" s="5" t="inlineStr">
        <is>
          <t>成交额(亿)</t>
        </is>
      </c>
      <c r="G593" s="5" t="inlineStr">
        <is>
          <t>D1新高</t>
        </is>
      </c>
      <c r="H593" s="5" t="inlineStr">
        <is>
          <t>D2强势</t>
        </is>
      </c>
      <c r="I593" s="5" t="inlineStr">
        <is>
          <t>D3突破</t>
        </is>
      </c>
      <c r="J593" s="5" t="inlineStr">
        <is>
          <t>D4首板</t>
        </is>
      </c>
      <c r="K593" s="5" t="inlineStr">
        <is>
          <t>D5潜突</t>
        </is>
      </c>
      <c r="L593" s="5" t="inlineStr">
        <is>
          <t>D6连板</t>
        </is>
      </c>
      <c r="M593" s="5" t="inlineStr">
        <is>
          <t>D7一字</t>
        </is>
      </c>
      <c r="N593" s="5" t="inlineStr">
        <is>
          <t>D8活跃</t>
        </is>
      </c>
      <c r="O593" s="5" t="inlineStr">
        <is>
          <t>大成交额加分</t>
        </is>
      </c>
      <c r="P593" s="5" t="inlineStr">
        <is>
          <t>得分明细</t>
        </is>
      </c>
    </row>
    <row r="594">
      <c r="A594" t="n">
        <v>1</v>
      </c>
      <c r="B594" t="inlineStr">
        <is>
          <t>000063</t>
        </is>
      </c>
      <c r="C594" t="inlineStr">
        <is>
          <t>中兴通讯</t>
        </is>
      </c>
      <c r="D594" t="n">
        <v>0</v>
      </c>
      <c r="E594" t="n">
        <v>-0.95</v>
      </c>
      <c r="F594" t="n">
        <v>0.02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inlineStr">
        <is>
          <t>D1新高=0,D2强势=0,D3突破=0,D4首板=0,D5潜突=0,D6连板=0,D7一字=0,D8活跃=0,bonus=0</t>
        </is>
      </c>
    </row>
    <row r="595"/>
    <row r="596">
      <c r="A596" s="4" t="inlineStr">
        <is>
          <t>--- 细分: CPU股权 ---</t>
        </is>
      </c>
    </row>
    <row r="597">
      <c r="A597" s="5" t="inlineStr">
        <is>
          <t>排名</t>
        </is>
      </c>
      <c r="B597" s="5" t="inlineStr">
        <is>
          <t>代码</t>
        </is>
      </c>
      <c r="C597" s="5" t="inlineStr">
        <is>
          <t>名称</t>
        </is>
      </c>
      <c r="D597" s="5" t="inlineStr">
        <is>
          <t>得分</t>
        </is>
      </c>
      <c r="E597" s="5" t="inlineStr">
        <is>
          <t>涨跌幅%</t>
        </is>
      </c>
      <c r="F597" s="5" t="inlineStr">
        <is>
          <t>成交额(亿)</t>
        </is>
      </c>
      <c r="G597" s="5" t="inlineStr">
        <is>
          <t>D1新高</t>
        </is>
      </c>
      <c r="H597" s="5" t="inlineStr">
        <is>
          <t>D2强势</t>
        </is>
      </c>
      <c r="I597" s="5" t="inlineStr">
        <is>
          <t>D3突破</t>
        </is>
      </c>
      <c r="J597" s="5" t="inlineStr">
        <is>
          <t>D4首板</t>
        </is>
      </c>
      <c r="K597" s="5" t="inlineStr">
        <is>
          <t>D5潜突</t>
        </is>
      </c>
      <c r="L597" s="5" t="inlineStr">
        <is>
          <t>D6连板</t>
        </is>
      </c>
      <c r="M597" s="5" t="inlineStr">
        <is>
          <t>D7一字</t>
        </is>
      </c>
      <c r="N597" s="5" t="inlineStr">
        <is>
          <t>D8活跃</t>
        </is>
      </c>
      <c r="O597" s="5" t="inlineStr">
        <is>
          <t>大成交额加分</t>
        </is>
      </c>
      <c r="P597" s="5" t="inlineStr">
        <is>
          <t>得分明细</t>
        </is>
      </c>
    </row>
    <row r="598">
      <c r="A598" t="n">
        <v>1</v>
      </c>
      <c r="B598" t="inlineStr">
        <is>
          <t>600373</t>
        </is>
      </c>
      <c r="C598" t="inlineStr">
        <is>
          <t>中文传媒</t>
        </is>
      </c>
      <c r="D598" t="n">
        <v>0</v>
      </c>
      <c r="E598" t="n">
        <v>-0.4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inlineStr">
        <is>
          <t>D1新高=0,D2强势=0,D3突破=0,D4首板=0,D5潜突=0,D6连板=0,D7一字=0,D8活跃=0,bonus=0</t>
        </is>
      </c>
    </row>
    <row r="599">
      <c r="A599" t="n">
        <v>2</v>
      </c>
      <c r="B599" t="inlineStr">
        <is>
          <t>600770</t>
        </is>
      </c>
      <c r="C599" t="inlineStr">
        <is>
          <t>综艺股份</t>
        </is>
      </c>
      <c r="D599" t="n">
        <v>0</v>
      </c>
      <c r="E599" t="n">
        <v>0.67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inlineStr">
        <is>
          <t>D1新高=0,D2强势=0,D3突破=0,D4首板=0,D5潜突=0,D6连板=0,D7一字=0,D8活跃=0,bonus=0</t>
        </is>
      </c>
    </row>
    <row r="600">
      <c r="A600" t="n">
        <v>3</v>
      </c>
      <c r="B600" t="inlineStr">
        <is>
          <t>002290</t>
        </is>
      </c>
      <c r="C600" t="inlineStr">
        <is>
          <t>禾盛新材</t>
        </is>
      </c>
      <c r="D600" t="n">
        <v>0</v>
      </c>
      <c r="E600" t="n">
        <v>1.1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inlineStr">
        <is>
          <t>D1新高=0,D2强势=0,D3突破=0,D4首板=0,D5潜突=0,D6连板=0,D7一字=0,D8活跃=0,bonus=0</t>
        </is>
      </c>
    </row>
    <row r="601">
      <c r="A601" t="n">
        <v>4</v>
      </c>
      <c r="B601" t="inlineStr">
        <is>
          <t>603123</t>
        </is>
      </c>
      <c r="C601" t="inlineStr">
        <is>
          <t>翠微股份</t>
        </is>
      </c>
      <c r="D601" t="n">
        <v>0</v>
      </c>
      <c r="E601" t="n">
        <v>4.82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inlineStr">
        <is>
          <t>D1新高=0,D2强势=0,D3突破=0,D4首板=0,D5潜突=0,D6连板=0,D7一字=0,D8活跃=0,bonus=0</t>
        </is>
      </c>
    </row>
    <row r="602"/>
    <row r="603">
      <c r="A603" s="4" t="inlineStr">
        <is>
          <t>--- 细分: 其他 ---</t>
        </is>
      </c>
    </row>
    <row r="604">
      <c r="A604" s="5" t="inlineStr">
        <is>
          <t>排名</t>
        </is>
      </c>
      <c r="B604" s="5" t="inlineStr">
        <is>
          <t>代码</t>
        </is>
      </c>
      <c r="C604" s="5" t="inlineStr">
        <is>
          <t>名称</t>
        </is>
      </c>
      <c r="D604" s="5" t="inlineStr">
        <is>
          <t>得分</t>
        </is>
      </c>
      <c r="E604" s="5" t="inlineStr">
        <is>
          <t>涨跌幅%</t>
        </is>
      </c>
      <c r="F604" s="5" t="inlineStr">
        <is>
          <t>成交额(亿)</t>
        </is>
      </c>
      <c r="G604" s="5" t="inlineStr">
        <is>
          <t>D1新高</t>
        </is>
      </c>
      <c r="H604" s="5" t="inlineStr">
        <is>
          <t>D2强势</t>
        </is>
      </c>
      <c r="I604" s="5" t="inlineStr">
        <is>
          <t>D3突破</t>
        </is>
      </c>
      <c r="J604" s="5" t="inlineStr">
        <is>
          <t>D4首板</t>
        </is>
      </c>
      <c r="K604" s="5" t="inlineStr">
        <is>
          <t>D5潜突</t>
        </is>
      </c>
      <c r="L604" s="5" t="inlineStr">
        <is>
          <t>D6连板</t>
        </is>
      </c>
      <c r="M604" s="5" t="inlineStr">
        <is>
          <t>D7一字</t>
        </is>
      </c>
      <c r="N604" s="5" t="inlineStr">
        <is>
          <t>D8活跃</t>
        </is>
      </c>
      <c r="O604" s="5" t="inlineStr">
        <is>
          <t>大成交额加分</t>
        </is>
      </c>
      <c r="P604" s="5" t="inlineStr">
        <is>
          <t>得分明细</t>
        </is>
      </c>
    </row>
    <row r="605">
      <c r="A605" t="n">
        <v>1</v>
      </c>
      <c r="B605" t="inlineStr">
        <is>
          <t>688516</t>
        </is>
      </c>
      <c r="C605" t="inlineStr">
        <is>
          <t>奥特维</t>
        </is>
      </c>
      <c r="D605" t="n">
        <v>0</v>
      </c>
      <c r="E605" t="n">
        <v>0.23</v>
      </c>
      <c r="F605" t="n">
        <v>0.17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inlineStr">
        <is>
          <t>D1新高=0,D2强势=0,D3突破=0,D4首板=0,D5潜突=0,D6连板=0,D7一字=0,D8活跃=0,bonus=0</t>
        </is>
      </c>
    </row>
    <row r="606"/>
    <row r="607">
      <c r="A607" s="4" t="inlineStr">
        <is>
          <t>--- 细分: 垣信卫星 ---</t>
        </is>
      </c>
    </row>
    <row r="608">
      <c r="A608" s="5" t="inlineStr">
        <is>
          <t>排名</t>
        </is>
      </c>
      <c r="B608" s="5" t="inlineStr">
        <is>
          <t>代码</t>
        </is>
      </c>
      <c r="C608" s="5" t="inlineStr">
        <is>
          <t>名称</t>
        </is>
      </c>
      <c r="D608" s="5" t="inlineStr">
        <is>
          <t>得分</t>
        </is>
      </c>
      <c r="E608" s="5" t="inlineStr">
        <is>
          <t>涨跌幅%</t>
        </is>
      </c>
      <c r="F608" s="5" t="inlineStr">
        <is>
          <t>成交额(亿)</t>
        </is>
      </c>
      <c r="G608" s="5" t="inlineStr">
        <is>
          <t>D1新高</t>
        </is>
      </c>
      <c r="H608" s="5" t="inlineStr">
        <is>
          <t>D2强势</t>
        </is>
      </c>
      <c r="I608" s="5" t="inlineStr">
        <is>
          <t>D3突破</t>
        </is>
      </c>
      <c r="J608" s="5" t="inlineStr">
        <is>
          <t>D4首板</t>
        </is>
      </c>
      <c r="K608" s="5" t="inlineStr">
        <is>
          <t>D5潜突</t>
        </is>
      </c>
      <c r="L608" s="5" t="inlineStr">
        <is>
          <t>D6连板</t>
        </is>
      </c>
      <c r="M608" s="5" t="inlineStr">
        <is>
          <t>D7一字</t>
        </is>
      </c>
      <c r="N608" s="5" t="inlineStr">
        <is>
          <t>D8活跃</t>
        </is>
      </c>
      <c r="O608" s="5" t="inlineStr">
        <is>
          <t>大成交额加分</t>
        </is>
      </c>
      <c r="P608" s="5" t="inlineStr">
        <is>
          <t>得分明细</t>
        </is>
      </c>
    </row>
    <row r="609">
      <c r="A609" t="n">
        <v>2</v>
      </c>
      <c r="B609" t="inlineStr">
        <is>
          <t>601728</t>
        </is>
      </c>
      <c r="C609" t="inlineStr">
        <is>
          <t>中国电信</t>
        </is>
      </c>
      <c r="D609" t="n">
        <v>0</v>
      </c>
      <c r="E609" t="n">
        <v>-2.85</v>
      </c>
      <c r="F609" t="n">
        <v>0.02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inlineStr">
        <is>
          <t>D1新高=0,D2强势=0,D3突破=0,D4首板=0,D5潜突=0,D6连板=0,D7一字=0,D8活跃=0,bonus=0</t>
        </is>
      </c>
    </row>
    <row r="610">
      <c r="A610" t="n">
        <v>3</v>
      </c>
      <c r="B610" t="inlineStr">
        <is>
          <t>688225</t>
        </is>
      </c>
      <c r="C610" t="inlineStr">
        <is>
          <t>亚信安全</t>
        </is>
      </c>
      <c r="D610" t="n">
        <v>0</v>
      </c>
      <c r="E610" t="n">
        <v>-1.29</v>
      </c>
      <c r="F610" t="n">
        <v>0.04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460"/>
  <sheetViews>
    <sheetView workbookViewId="0">
      <selection activeCell="A1" sqref="A1"/>
    </sheetView>
  </sheetViews>
  <sheetFormatPr baseColWidth="8" defaultRowHeight="15"/>
  <sheetData>
    <row r="1">
      <c r="A1" s="2">
        <f>== 电池 产业链全局看板 ===</f>
        <v/>
      </c>
    </row>
    <row r="2">
      <c r="A2" t="inlineStr">
        <is>
          <t>板块整体均分</t>
        </is>
      </c>
      <c r="B2" t="n">
        <v>3.44</v>
      </c>
      <c r="C2" t="inlineStr">
        <is>
          <t>最强细分</t>
        </is>
      </c>
      <c r="D2" t="inlineStr">
        <is>
          <t>硫化锂 (22.0分)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6</v>
      </c>
      <c r="B6" t="inlineStr">
        <is>
          <t>硫化锂</t>
        </is>
      </c>
      <c r="C6" t="n">
        <v>22</v>
      </c>
      <c r="D6" t="n">
        <v>22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inlineStr">
        <is>
          <t>海辰药业</t>
        </is>
      </c>
      <c r="K6" t="n">
        <v>22</v>
      </c>
    </row>
    <row r="7">
      <c r="A7" t="n">
        <v>16</v>
      </c>
      <c r="B7" t="inlineStr">
        <is>
          <t>锗</t>
        </is>
      </c>
      <c r="C7" t="n">
        <v>17</v>
      </c>
      <c r="D7" t="n">
        <v>17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inlineStr">
        <is>
          <t>驰宏锌锗</t>
        </is>
      </c>
      <c r="K7" t="n">
        <v>17</v>
      </c>
    </row>
    <row r="8">
      <c r="A8" t="n">
        <v>17</v>
      </c>
      <c r="B8" t="inlineStr">
        <is>
          <t>锗原料</t>
        </is>
      </c>
      <c r="C8" t="n">
        <v>17</v>
      </c>
      <c r="D8" t="n">
        <v>17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inlineStr">
        <is>
          <t>驰宏锌锗</t>
        </is>
      </c>
      <c r="K8" t="n">
        <v>17</v>
      </c>
    </row>
    <row r="9">
      <c r="A9" t="n">
        <v>23</v>
      </c>
      <c r="B9" t="inlineStr">
        <is>
          <t>多孔碳</t>
        </is>
      </c>
      <c r="C9" t="n">
        <v>16.5</v>
      </c>
      <c r="D9" t="n">
        <v>25</v>
      </c>
      <c r="E9" t="n">
        <v>2</v>
      </c>
      <c r="F9" t="n">
        <v>1</v>
      </c>
      <c r="G9" t="n">
        <v>0</v>
      </c>
      <c r="H9" t="n">
        <v>0</v>
      </c>
      <c r="I9" t="n">
        <v>1</v>
      </c>
      <c r="J9" t="inlineStr">
        <is>
          <t>金博股份</t>
        </is>
      </c>
      <c r="K9" t="n">
        <v>25</v>
      </c>
    </row>
    <row r="10">
      <c r="A10" t="n">
        <v>31</v>
      </c>
      <c r="B10" t="inlineStr">
        <is>
          <t>电子布</t>
        </is>
      </c>
      <c r="C10" t="n">
        <v>15.5</v>
      </c>
      <c r="D10" t="n">
        <v>30</v>
      </c>
      <c r="E10" t="n">
        <v>8</v>
      </c>
      <c r="F10" t="n">
        <v>4</v>
      </c>
      <c r="G10" t="n">
        <v>1</v>
      </c>
      <c r="H10" t="n">
        <v>0</v>
      </c>
      <c r="I10" t="n">
        <v>3</v>
      </c>
      <c r="J10" t="inlineStr">
        <is>
          <t>中材科技</t>
        </is>
      </c>
      <c r="K10" t="n">
        <v>30</v>
      </c>
    </row>
    <row r="11">
      <c r="A11" t="n">
        <v>50</v>
      </c>
      <c r="B11" t="inlineStr">
        <is>
          <t>硫化物</t>
        </is>
      </c>
      <c r="C11" t="n">
        <v>12.8</v>
      </c>
      <c r="D11" t="n">
        <v>25</v>
      </c>
      <c r="E11" t="n">
        <v>5</v>
      </c>
      <c r="F11" t="n">
        <v>3</v>
      </c>
      <c r="G11" t="n">
        <v>0</v>
      </c>
      <c r="H11" t="n">
        <v>0</v>
      </c>
      <c r="I11" t="n">
        <v>2</v>
      </c>
      <c r="J11" t="inlineStr">
        <is>
          <t>光华科技</t>
        </is>
      </c>
      <c r="K11" t="n">
        <v>25</v>
      </c>
    </row>
    <row r="12">
      <c r="A12" t="n">
        <v>51</v>
      </c>
      <c r="B12" t="inlineStr">
        <is>
          <t>电解液添加剂</t>
        </is>
      </c>
      <c r="C12" t="n">
        <v>12.67</v>
      </c>
      <c r="D12" t="n">
        <v>22</v>
      </c>
      <c r="E12" t="n">
        <v>3</v>
      </c>
      <c r="F12" t="n">
        <v>2</v>
      </c>
      <c r="G12" t="n">
        <v>0</v>
      </c>
      <c r="H12" t="n">
        <v>0</v>
      </c>
      <c r="I12" t="n">
        <v>1</v>
      </c>
      <c r="J12" t="inlineStr">
        <is>
          <t>华盛锂电</t>
        </is>
      </c>
      <c r="K12" t="n">
        <v>22</v>
      </c>
    </row>
    <row r="13">
      <c r="A13" t="n">
        <v>69</v>
      </c>
      <c r="B13" t="inlineStr">
        <is>
          <t>VC+FEC</t>
        </is>
      </c>
      <c r="C13" t="n">
        <v>9.75</v>
      </c>
      <c r="D13" t="n">
        <v>22</v>
      </c>
      <c r="E13" t="n">
        <v>4</v>
      </c>
      <c r="F13" t="n">
        <v>2</v>
      </c>
      <c r="G13" t="n">
        <v>0</v>
      </c>
      <c r="H13" t="n">
        <v>0</v>
      </c>
      <c r="I13" t="n">
        <v>2</v>
      </c>
      <c r="J13" t="inlineStr">
        <is>
          <t>华盛锂电</t>
        </is>
      </c>
      <c r="K13" t="n">
        <v>22</v>
      </c>
    </row>
    <row r="14">
      <c r="A14" t="n">
        <v>75</v>
      </c>
      <c r="B14" t="inlineStr">
        <is>
          <t>电解液溶剂</t>
        </is>
      </c>
      <c r="C14" t="n">
        <v>8.6</v>
      </c>
      <c r="D14" t="n">
        <v>16</v>
      </c>
      <c r="E14" t="n">
        <v>5</v>
      </c>
      <c r="F14" t="n">
        <v>3</v>
      </c>
      <c r="G14" t="n">
        <v>0</v>
      </c>
      <c r="H14" t="n">
        <v>0</v>
      </c>
      <c r="I14" t="n">
        <v>2</v>
      </c>
      <c r="J14" t="inlineStr">
        <is>
          <t>新宙邦</t>
        </is>
      </c>
      <c r="K14" t="n">
        <v>16</v>
      </c>
    </row>
    <row r="15">
      <c r="A15" t="n">
        <v>79</v>
      </c>
      <c r="B15" t="inlineStr">
        <is>
          <t>骨架膜</t>
        </is>
      </c>
      <c r="C15" t="n">
        <v>8</v>
      </c>
      <c r="D15" t="n">
        <v>8</v>
      </c>
      <c r="E15" t="n">
        <v>1</v>
      </c>
      <c r="F15" t="n">
        <v>0</v>
      </c>
      <c r="G15" t="n">
        <v>1</v>
      </c>
      <c r="H15" t="n">
        <v>0</v>
      </c>
      <c r="I15" t="n">
        <v>0</v>
      </c>
      <c r="J15" t="inlineStr">
        <is>
          <t>星源材质</t>
        </is>
      </c>
      <c r="K15" t="n">
        <v>8</v>
      </c>
    </row>
    <row r="16">
      <c r="A16" t="n">
        <v>93</v>
      </c>
      <c r="B16" t="inlineStr">
        <is>
          <t>钨</t>
        </is>
      </c>
      <c r="C16" t="n">
        <v>7.67</v>
      </c>
      <c r="D16" t="n">
        <v>17</v>
      </c>
      <c r="E16" t="n">
        <v>3</v>
      </c>
      <c r="F16" t="n">
        <v>1</v>
      </c>
      <c r="G16" t="n">
        <v>0</v>
      </c>
      <c r="H16" t="n">
        <v>0</v>
      </c>
      <c r="I16" t="n">
        <v>2</v>
      </c>
      <c r="J16" t="inlineStr">
        <is>
          <t>厦门钨业</t>
        </is>
      </c>
      <c r="K16" t="n">
        <v>17</v>
      </c>
    </row>
    <row r="17">
      <c r="A17" t="n">
        <v>104</v>
      </c>
      <c r="B17" t="inlineStr">
        <is>
          <t>湿电子化学品</t>
        </is>
      </c>
      <c r="C17" t="n">
        <v>6.62</v>
      </c>
      <c r="D17" t="n">
        <v>16</v>
      </c>
      <c r="E17" t="n">
        <v>8</v>
      </c>
      <c r="F17" t="n">
        <v>3</v>
      </c>
      <c r="G17" t="n">
        <v>0</v>
      </c>
      <c r="H17" t="n">
        <v>3</v>
      </c>
      <c r="I17" t="n">
        <v>2</v>
      </c>
      <c r="J17" t="inlineStr">
        <is>
          <t>新宙邦</t>
        </is>
      </c>
      <c r="K17" t="n">
        <v>16</v>
      </c>
    </row>
    <row r="18">
      <c r="A18" t="n">
        <v>108</v>
      </c>
      <c r="B18" t="inlineStr">
        <is>
          <t>隔膜总出货量</t>
        </is>
      </c>
      <c r="C18" t="n">
        <v>5.86</v>
      </c>
      <c r="D18" t="n">
        <v>30</v>
      </c>
      <c r="E18" t="n">
        <v>7</v>
      </c>
      <c r="F18" t="n">
        <v>2</v>
      </c>
      <c r="G18" t="n">
        <v>0</v>
      </c>
      <c r="H18" t="n">
        <v>0</v>
      </c>
      <c r="I18" t="n">
        <v>5</v>
      </c>
      <c r="J18" t="inlineStr">
        <is>
          <t>中材科技</t>
        </is>
      </c>
      <c r="K18" t="n">
        <v>30</v>
      </c>
    </row>
    <row r="19">
      <c r="A19" t="n">
        <v>109</v>
      </c>
      <c r="B19" t="inlineStr">
        <is>
          <t>双三氟甲基磺酰亚胺锂LiTFSI</t>
        </is>
      </c>
      <c r="C19" t="n">
        <v>5.83</v>
      </c>
      <c r="D19" t="n">
        <v>22</v>
      </c>
      <c r="E19" t="n">
        <v>6</v>
      </c>
      <c r="F19" t="n">
        <v>2</v>
      </c>
      <c r="G19" t="n">
        <v>0</v>
      </c>
      <c r="H19" t="n">
        <v>1</v>
      </c>
      <c r="I19" t="n">
        <v>3</v>
      </c>
      <c r="J19" t="inlineStr">
        <is>
          <t>华盛锂电</t>
        </is>
      </c>
      <c r="K19" t="n">
        <v>22</v>
      </c>
    </row>
    <row r="20">
      <c r="A20" t="n">
        <v>111</v>
      </c>
      <c r="B20" t="inlineStr">
        <is>
          <t>酰亚胺类锂盐</t>
        </is>
      </c>
      <c r="C20" t="n">
        <v>5.67</v>
      </c>
      <c r="D20" t="n">
        <v>14</v>
      </c>
      <c r="E20" t="n">
        <v>3</v>
      </c>
      <c r="F20" t="n">
        <v>1</v>
      </c>
      <c r="G20" t="n">
        <v>0</v>
      </c>
      <c r="H20" t="n">
        <v>0</v>
      </c>
      <c r="I20" t="n">
        <v>2</v>
      </c>
      <c r="J20" t="inlineStr">
        <is>
          <t>海科新源</t>
        </is>
      </c>
      <c r="K20" t="n">
        <v>14</v>
      </c>
    </row>
    <row r="21">
      <c r="A21" t="n">
        <v>112</v>
      </c>
      <c r="B21" t="inlineStr">
        <is>
          <t>钴酸锂</t>
        </is>
      </c>
      <c r="C21" t="n">
        <v>5.67</v>
      </c>
      <c r="D21" t="n">
        <v>17</v>
      </c>
      <c r="E21" t="n">
        <v>3</v>
      </c>
      <c r="F21" t="n">
        <v>1</v>
      </c>
      <c r="G21" t="n">
        <v>0</v>
      </c>
      <c r="H21" t="n">
        <v>0</v>
      </c>
      <c r="I21" t="n">
        <v>2</v>
      </c>
      <c r="J21" t="inlineStr">
        <is>
          <t>厦门钨业</t>
        </is>
      </c>
      <c r="K21" t="n">
        <v>17</v>
      </c>
    </row>
    <row r="22">
      <c r="A22" t="n">
        <v>113</v>
      </c>
      <c r="B22" t="inlineStr">
        <is>
          <t>整线设备</t>
        </is>
      </c>
      <c r="C22" t="n">
        <v>5.5</v>
      </c>
      <c r="D22" t="n">
        <v>11</v>
      </c>
      <c r="E22" t="n">
        <v>2</v>
      </c>
      <c r="F22" t="n">
        <v>1</v>
      </c>
      <c r="G22" t="n">
        <v>0</v>
      </c>
      <c r="H22" t="n">
        <v>0</v>
      </c>
      <c r="I22" t="n">
        <v>1</v>
      </c>
      <c r="J22" t="inlineStr">
        <is>
          <t>海目星</t>
        </is>
      </c>
      <c r="K22" t="n">
        <v>11</v>
      </c>
    </row>
    <row r="23">
      <c r="A23" t="n">
        <v>114</v>
      </c>
      <c r="B23" t="inlineStr">
        <is>
          <t>涂覆隔膜</t>
        </is>
      </c>
      <c r="C23" t="n">
        <v>5.5</v>
      </c>
      <c r="D23" t="n">
        <v>11</v>
      </c>
      <c r="E23" t="n">
        <v>2</v>
      </c>
      <c r="F23" t="n">
        <v>1</v>
      </c>
      <c r="G23" t="n">
        <v>0</v>
      </c>
      <c r="H23" t="n">
        <v>0</v>
      </c>
      <c r="I23" t="n">
        <v>1</v>
      </c>
      <c r="J23" t="inlineStr">
        <is>
          <t>泰和新材</t>
        </is>
      </c>
      <c r="K23" t="n">
        <v>11</v>
      </c>
    </row>
    <row r="24">
      <c r="A24" t="n">
        <v>117</v>
      </c>
      <c r="B24" t="inlineStr">
        <is>
          <t>COFs材料</t>
        </is>
      </c>
      <c r="C24" t="n">
        <v>5.5</v>
      </c>
      <c r="D24" t="n">
        <v>22</v>
      </c>
      <c r="E24" t="n">
        <v>4</v>
      </c>
      <c r="F24" t="n">
        <v>1</v>
      </c>
      <c r="G24" t="n">
        <v>0</v>
      </c>
      <c r="H24" t="n">
        <v>0</v>
      </c>
      <c r="I24" t="n">
        <v>3</v>
      </c>
      <c r="J24" t="inlineStr">
        <is>
          <t>百合花</t>
        </is>
      </c>
      <c r="K24" t="n">
        <v>22</v>
      </c>
    </row>
    <row r="25">
      <c r="A25" t="n">
        <v>128</v>
      </c>
      <c r="B25" t="inlineStr">
        <is>
          <t>LiTFSI</t>
        </is>
      </c>
      <c r="C25" t="n">
        <v>5</v>
      </c>
      <c r="D25" t="n">
        <v>5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inlineStr">
        <is>
          <t>瑞泰新材</t>
        </is>
      </c>
      <c r="K25" t="n">
        <v>5</v>
      </c>
    </row>
    <row r="26">
      <c r="A26" t="n">
        <v>132</v>
      </c>
      <c r="B26" t="inlineStr">
        <is>
          <t>镧原料</t>
        </is>
      </c>
      <c r="C26" t="n">
        <v>4.5</v>
      </c>
      <c r="D26" t="n">
        <v>9</v>
      </c>
      <c r="E26" t="n">
        <v>2</v>
      </c>
      <c r="F26" t="n">
        <v>0</v>
      </c>
      <c r="G26" t="n">
        <v>0</v>
      </c>
      <c r="H26" t="n">
        <v>1</v>
      </c>
      <c r="I26" t="n">
        <v>1</v>
      </c>
      <c r="J26" t="inlineStr">
        <is>
          <t>盛和资源</t>
        </is>
      </c>
      <c r="K26" t="n">
        <v>9</v>
      </c>
    </row>
    <row r="27">
      <c r="A27" t="n">
        <v>134</v>
      </c>
      <c r="B27" t="inlineStr">
        <is>
          <t>碳酸亚乙烯酯VC</t>
        </is>
      </c>
      <c r="C27" t="n">
        <v>4.33</v>
      </c>
      <c r="D27" t="n">
        <v>16</v>
      </c>
      <c r="E27" t="n">
        <v>9</v>
      </c>
      <c r="F27" t="n">
        <v>2</v>
      </c>
      <c r="G27" t="n">
        <v>2</v>
      </c>
      <c r="H27" t="n">
        <v>0</v>
      </c>
      <c r="I27" t="n">
        <v>5</v>
      </c>
      <c r="J27" t="inlineStr">
        <is>
          <t>新宙邦</t>
        </is>
      </c>
      <c r="K27" t="n">
        <v>16</v>
      </c>
    </row>
    <row r="28">
      <c r="A28" t="n">
        <v>135</v>
      </c>
      <c r="B28" t="inlineStr">
        <is>
          <t>三元材料</t>
        </is>
      </c>
      <c r="C28" t="n">
        <v>4.25</v>
      </c>
      <c r="D28" t="n">
        <v>17</v>
      </c>
      <c r="E28" t="n">
        <v>4</v>
      </c>
      <c r="F28" t="n">
        <v>1</v>
      </c>
      <c r="G28" t="n">
        <v>0</v>
      </c>
      <c r="H28" t="n">
        <v>0</v>
      </c>
      <c r="I28" t="n">
        <v>3</v>
      </c>
      <c r="J28" t="inlineStr">
        <is>
          <t>丰元股份</t>
        </is>
      </c>
      <c r="K28" t="n">
        <v>17</v>
      </c>
    </row>
    <row r="29">
      <c r="A29" t="n">
        <v>137</v>
      </c>
      <c r="B29" t="inlineStr">
        <is>
          <t>设备</t>
        </is>
      </c>
      <c r="C29" t="n">
        <v>4.25</v>
      </c>
      <c r="D29" t="n">
        <v>13</v>
      </c>
      <c r="E29" t="n">
        <v>12</v>
      </c>
      <c r="F29" t="n">
        <v>3</v>
      </c>
      <c r="G29" t="n">
        <v>2</v>
      </c>
      <c r="H29" t="n">
        <v>2</v>
      </c>
      <c r="I29" t="n">
        <v>5</v>
      </c>
      <c r="J29" t="inlineStr">
        <is>
          <t>骄成超声</t>
        </is>
      </c>
      <c r="K29" t="n">
        <v>13</v>
      </c>
    </row>
    <row r="30">
      <c r="A30" t="n">
        <v>138</v>
      </c>
      <c r="B30" t="inlineStr">
        <is>
          <t>结构件</t>
        </is>
      </c>
      <c r="C30" t="n">
        <v>4</v>
      </c>
      <c r="D30" t="n">
        <v>8</v>
      </c>
      <c r="E30" t="n">
        <v>2</v>
      </c>
      <c r="F30" t="n">
        <v>1</v>
      </c>
      <c r="G30" t="n">
        <v>0</v>
      </c>
      <c r="H30" t="n">
        <v>0</v>
      </c>
      <c r="I30" t="n">
        <v>1</v>
      </c>
      <c r="J30" t="inlineStr">
        <is>
          <t>科达利</t>
        </is>
      </c>
      <c r="K30" t="n">
        <v>8</v>
      </c>
    </row>
    <row r="31">
      <c r="A31" t="n">
        <v>139</v>
      </c>
      <c r="B31" t="inlineStr">
        <is>
          <t>隔膜设备</t>
        </is>
      </c>
      <c r="C31" t="n">
        <v>4</v>
      </c>
      <c r="D31" t="n">
        <v>8</v>
      </c>
      <c r="E31" t="n">
        <v>2</v>
      </c>
      <c r="F31" t="n">
        <v>1</v>
      </c>
      <c r="G31" t="n">
        <v>0</v>
      </c>
      <c r="H31" t="n">
        <v>0</v>
      </c>
      <c r="I31" t="n">
        <v>1</v>
      </c>
      <c r="J31" t="inlineStr">
        <is>
          <t>欧克科技</t>
        </is>
      </c>
      <c r="K31" t="n">
        <v>8</v>
      </c>
    </row>
    <row r="32">
      <c r="A32" t="n">
        <v>142</v>
      </c>
      <c r="B32" t="inlineStr">
        <is>
          <t>氟代碳酸乙烯酯FEC</t>
        </is>
      </c>
      <c r="C32" t="n">
        <v>4</v>
      </c>
      <c r="D32" t="n">
        <v>19</v>
      </c>
      <c r="E32" t="n">
        <v>6</v>
      </c>
      <c r="F32" t="n">
        <v>2</v>
      </c>
      <c r="G32" t="n">
        <v>0</v>
      </c>
      <c r="H32" t="n">
        <v>0</v>
      </c>
      <c r="I32" t="n">
        <v>4</v>
      </c>
      <c r="J32" t="inlineStr">
        <is>
          <t>孚日股份</t>
        </is>
      </c>
      <c r="K32" t="n">
        <v>19</v>
      </c>
    </row>
    <row r="33">
      <c r="A33" t="n">
        <v>144</v>
      </c>
      <c r="B33" t="inlineStr">
        <is>
          <t>双氟磺酰亚胺锂LiFSI</t>
        </is>
      </c>
      <c r="C33" t="n">
        <v>4</v>
      </c>
      <c r="D33" t="n">
        <v>22</v>
      </c>
      <c r="E33" t="n">
        <v>7</v>
      </c>
      <c r="F33" t="n">
        <v>1</v>
      </c>
      <c r="G33" t="n">
        <v>0</v>
      </c>
      <c r="H33" t="n">
        <v>2</v>
      </c>
      <c r="I33" t="n">
        <v>4</v>
      </c>
      <c r="J33" t="inlineStr">
        <is>
          <t>华盛锂电</t>
        </is>
      </c>
      <c r="K33" t="n">
        <v>22</v>
      </c>
    </row>
    <row r="34">
      <c r="A34" t="n">
        <v>145</v>
      </c>
      <c r="B34" t="inlineStr">
        <is>
          <t>硅碳负极</t>
        </is>
      </c>
      <c r="C34" t="n">
        <v>4</v>
      </c>
      <c r="D34" t="n">
        <v>13</v>
      </c>
      <c r="E34" t="n">
        <v>8</v>
      </c>
      <c r="F34" t="n">
        <v>3</v>
      </c>
      <c r="G34" t="n">
        <v>0</v>
      </c>
      <c r="H34" t="n">
        <v>0</v>
      </c>
      <c r="I34" t="n">
        <v>5</v>
      </c>
      <c r="J34" t="inlineStr">
        <is>
          <t>石大胜华</t>
        </is>
      </c>
      <c r="K34" t="n">
        <v>13</v>
      </c>
    </row>
    <row r="35">
      <c r="A35" t="n">
        <v>147</v>
      </c>
      <c r="B35" t="inlineStr">
        <is>
          <t>等静压设备</t>
        </is>
      </c>
      <c r="C35" t="n">
        <v>4</v>
      </c>
      <c r="D35" t="n">
        <v>5</v>
      </c>
      <c r="E35" t="n">
        <v>2</v>
      </c>
      <c r="F35" t="n">
        <v>1</v>
      </c>
      <c r="G35" t="n">
        <v>0</v>
      </c>
      <c r="H35" t="n">
        <v>1</v>
      </c>
      <c r="I35" t="n">
        <v>0</v>
      </c>
      <c r="J35" t="inlineStr">
        <is>
          <t>利元亨</t>
        </is>
      </c>
      <c r="K35" t="n">
        <v>5</v>
      </c>
    </row>
    <row r="36">
      <c r="A36" t="n">
        <v>149</v>
      </c>
      <c r="B36" t="inlineStr">
        <is>
          <t>锰矿</t>
        </is>
      </c>
      <c r="C36" t="n">
        <v>3.67</v>
      </c>
      <c r="D36" t="n">
        <v>11</v>
      </c>
      <c r="E36" t="n">
        <v>3</v>
      </c>
      <c r="F36" t="n">
        <v>1</v>
      </c>
      <c r="G36" t="n">
        <v>0</v>
      </c>
      <c r="H36" t="n">
        <v>0</v>
      </c>
      <c r="I36" t="n">
        <v>2</v>
      </c>
      <c r="J36" t="inlineStr">
        <is>
          <t>红星发展</t>
        </is>
      </c>
      <c r="K36" t="n">
        <v>11</v>
      </c>
    </row>
    <row r="37">
      <c r="A37" t="n">
        <v>156</v>
      </c>
      <c r="B37" t="inlineStr">
        <is>
          <t>锗</t>
        </is>
      </c>
      <c r="C37" t="n">
        <v>3</v>
      </c>
      <c r="D37" t="n">
        <v>3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inlineStr">
        <is>
          <t>云南锗业</t>
        </is>
      </c>
      <c r="K37" t="n">
        <v>3</v>
      </c>
    </row>
    <row r="38">
      <c r="A38" t="n">
        <v>165</v>
      </c>
      <c r="B38" t="inlineStr">
        <is>
          <t>磷化铟</t>
        </is>
      </c>
      <c r="C38" t="n">
        <v>3</v>
      </c>
      <c r="D38" t="n">
        <v>3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inlineStr">
        <is>
          <t>云南锗业</t>
        </is>
      </c>
      <c r="K38" t="n">
        <v>3</v>
      </c>
    </row>
    <row r="39">
      <c r="A39" t="n">
        <v>172</v>
      </c>
      <c r="B39" t="inlineStr">
        <is>
          <t>富锂锰基正极</t>
        </is>
      </c>
      <c r="C39" t="n">
        <v>3</v>
      </c>
      <c r="D39" t="n">
        <v>3</v>
      </c>
      <c r="E39" t="n">
        <v>1</v>
      </c>
      <c r="F39" t="n">
        <v>0</v>
      </c>
      <c r="G39" t="n">
        <v>0</v>
      </c>
      <c r="H39" t="n">
        <v>1</v>
      </c>
      <c r="I39" t="n">
        <v>0</v>
      </c>
      <c r="J39" t="inlineStr">
        <is>
          <t>湘潭电化</t>
        </is>
      </c>
      <c r="K39" t="n">
        <v>3</v>
      </c>
    </row>
    <row r="40">
      <c r="A40" t="n">
        <v>178</v>
      </c>
      <c r="B40" t="inlineStr">
        <is>
          <t>锗原料</t>
        </is>
      </c>
      <c r="C40" t="n">
        <v>3</v>
      </c>
      <c r="D40" t="n">
        <v>3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inlineStr">
        <is>
          <t>云南锗业</t>
        </is>
      </c>
      <c r="K40" t="n">
        <v>3</v>
      </c>
    </row>
    <row r="41">
      <c r="A41" t="n">
        <v>179</v>
      </c>
      <c r="B41" t="inlineStr">
        <is>
          <t>LiFSI</t>
        </is>
      </c>
      <c r="C41" t="n">
        <v>3</v>
      </c>
      <c r="D41" t="n">
        <v>3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inlineStr">
        <is>
          <t>利民股份</t>
        </is>
      </c>
      <c r="K41" t="n">
        <v>3</v>
      </c>
    </row>
    <row r="42">
      <c r="A42" t="n">
        <v>180</v>
      </c>
      <c r="B42" t="inlineStr">
        <is>
          <t>其他隔膜</t>
        </is>
      </c>
      <c r="C42" t="n">
        <v>3</v>
      </c>
      <c r="D42" t="n">
        <v>3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inlineStr">
        <is>
          <t>恩捷股份</t>
        </is>
      </c>
      <c r="K42" t="n">
        <v>3</v>
      </c>
    </row>
    <row r="43">
      <c r="A43" t="n">
        <v>181</v>
      </c>
      <c r="B43" t="inlineStr">
        <is>
          <t>硅碳负极</t>
        </is>
      </c>
      <c r="C43" t="n">
        <v>3</v>
      </c>
      <c r="D43" t="n">
        <v>3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inlineStr">
        <is>
          <t>金龙羽</t>
        </is>
      </c>
      <c r="K43" t="n">
        <v>3</v>
      </c>
    </row>
    <row r="44">
      <c r="A44" t="n">
        <v>187</v>
      </c>
      <c r="B44" t="inlineStr">
        <is>
          <t>干法隔膜</t>
        </is>
      </c>
      <c r="C44" t="n">
        <v>2.75</v>
      </c>
      <c r="D44" t="n">
        <v>8</v>
      </c>
      <c r="E44" t="n">
        <v>4</v>
      </c>
      <c r="F44" t="n">
        <v>1</v>
      </c>
      <c r="G44" t="n">
        <v>1</v>
      </c>
      <c r="H44" t="n">
        <v>0</v>
      </c>
      <c r="I44" t="n">
        <v>2</v>
      </c>
      <c r="J44" t="inlineStr">
        <is>
          <t>星源材质</t>
        </is>
      </c>
      <c r="K44" t="n">
        <v>8</v>
      </c>
    </row>
    <row r="45">
      <c r="A45" t="n">
        <v>192</v>
      </c>
      <c r="B45" t="inlineStr">
        <is>
          <t>磷酸铁锂</t>
        </is>
      </c>
      <c r="C45" t="n">
        <v>2.43</v>
      </c>
      <c r="D45" t="n">
        <v>17</v>
      </c>
      <c r="E45" t="n">
        <v>7</v>
      </c>
      <c r="F45" t="n">
        <v>1</v>
      </c>
      <c r="G45" t="n">
        <v>0</v>
      </c>
      <c r="H45" t="n">
        <v>0</v>
      </c>
      <c r="I45" t="n">
        <v>6</v>
      </c>
      <c r="J45" t="inlineStr">
        <is>
          <t>丰元股份</t>
        </is>
      </c>
      <c r="K45" t="n">
        <v>17</v>
      </c>
    </row>
    <row r="46">
      <c r="A46" t="n">
        <v>193</v>
      </c>
      <c r="B46" t="inlineStr">
        <is>
          <t>硫铁矿</t>
        </is>
      </c>
      <c r="C46" t="n">
        <v>2.25</v>
      </c>
      <c r="D46" t="n">
        <v>3</v>
      </c>
      <c r="E46" t="n">
        <v>4</v>
      </c>
      <c r="F46" t="n">
        <v>0</v>
      </c>
      <c r="G46" t="n">
        <v>0</v>
      </c>
      <c r="H46" t="n">
        <v>3</v>
      </c>
      <c r="I46" t="n">
        <v>1</v>
      </c>
      <c r="J46" t="inlineStr">
        <is>
          <t>粤桂股份</t>
        </is>
      </c>
      <c r="K46" t="n">
        <v>3</v>
      </c>
    </row>
    <row r="47">
      <c r="A47" t="n">
        <v>194</v>
      </c>
      <c r="B47" t="inlineStr">
        <is>
          <t>铝塑膜</t>
        </is>
      </c>
      <c r="C47" t="n">
        <v>2.2</v>
      </c>
      <c r="D47" t="n">
        <v>11</v>
      </c>
      <c r="E47" t="n">
        <v>5</v>
      </c>
      <c r="F47" t="n">
        <v>1</v>
      </c>
      <c r="G47" t="n">
        <v>0</v>
      </c>
      <c r="H47" t="n">
        <v>0</v>
      </c>
      <c r="I47" t="n">
        <v>4</v>
      </c>
      <c r="J47" t="inlineStr">
        <is>
          <t>大东南</t>
        </is>
      </c>
      <c r="K47" t="n">
        <v>11</v>
      </c>
    </row>
    <row r="48">
      <c r="A48" t="n">
        <v>200</v>
      </c>
      <c r="B48" t="inlineStr">
        <is>
          <t>铝箔</t>
        </is>
      </c>
      <c r="C48" t="n">
        <v>1.83</v>
      </c>
      <c r="D48" t="n">
        <v>11</v>
      </c>
      <c r="E48" t="n">
        <v>6</v>
      </c>
      <c r="F48" t="n">
        <v>1</v>
      </c>
      <c r="G48" t="n">
        <v>0</v>
      </c>
      <c r="H48" t="n">
        <v>0</v>
      </c>
      <c r="I48" t="n">
        <v>5</v>
      </c>
      <c r="J48" t="inlineStr">
        <is>
          <t>东阳光</t>
        </is>
      </c>
      <c r="K48" t="n">
        <v>11</v>
      </c>
    </row>
    <row r="49">
      <c r="A49" t="n">
        <v>201</v>
      </c>
      <c r="B49" t="inlineStr">
        <is>
          <t>锂辉石提锂</t>
        </is>
      </c>
      <c r="C49" t="n">
        <v>1.75</v>
      </c>
      <c r="D49" t="n">
        <v>8</v>
      </c>
      <c r="E49" t="n">
        <v>8</v>
      </c>
      <c r="F49" t="n">
        <v>1</v>
      </c>
      <c r="G49" t="n">
        <v>0</v>
      </c>
      <c r="H49" t="n">
        <v>2</v>
      </c>
      <c r="I49" t="n">
        <v>5</v>
      </c>
      <c r="J49" t="inlineStr">
        <is>
          <t>融捷股份</t>
        </is>
      </c>
      <c r="K49" t="n">
        <v>8</v>
      </c>
    </row>
    <row r="50">
      <c r="A50" t="n">
        <v>207</v>
      </c>
      <c r="B50" t="inlineStr">
        <is>
          <t>后段设备</t>
        </is>
      </c>
      <c r="C50" t="n">
        <v>1.5</v>
      </c>
      <c r="D50" t="n">
        <v>3</v>
      </c>
      <c r="E50" t="n">
        <v>2</v>
      </c>
      <c r="F50" t="n">
        <v>0</v>
      </c>
      <c r="G50" t="n">
        <v>0</v>
      </c>
      <c r="H50" t="n">
        <v>1</v>
      </c>
      <c r="I50" t="n">
        <v>1</v>
      </c>
      <c r="J50" t="inlineStr">
        <is>
          <t>杭可科技</t>
        </is>
      </c>
      <c r="K50" t="n">
        <v>3</v>
      </c>
    </row>
    <row r="51">
      <c r="A51" t="n">
        <v>215</v>
      </c>
      <c r="B51" t="inlineStr">
        <is>
          <t>行星减速器</t>
        </is>
      </c>
      <c r="C51" t="n">
        <v>1.22</v>
      </c>
      <c r="D51" t="n">
        <v>8</v>
      </c>
      <c r="E51" t="n">
        <v>9</v>
      </c>
      <c r="F51" t="n">
        <v>1</v>
      </c>
      <c r="G51" t="n">
        <v>0</v>
      </c>
      <c r="H51" t="n">
        <v>1</v>
      </c>
      <c r="I51" t="n">
        <v>7</v>
      </c>
      <c r="J51" t="inlineStr">
        <is>
          <t>科达利</t>
        </is>
      </c>
      <c r="K51" t="n">
        <v>8</v>
      </c>
    </row>
    <row r="52">
      <c r="A52" t="n">
        <v>222</v>
      </c>
      <c r="B52" t="inlineStr">
        <is>
          <t>氯化亚砜</t>
        </is>
      </c>
      <c r="C52" t="n">
        <v>1</v>
      </c>
      <c r="D52" t="n">
        <v>3</v>
      </c>
      <c r="E52" t="n">
        <v>3</v>
      </c>
      <c r="F52" t="n">
        <v>0</v>
      </c>
      <c r="G52" t="n">
        <v>0</v>
      </c>
      <c r="H52" t="n">
        <v>1</v>
      </c>
      <c r="I52" t="n">
        <v>2</v>
      </c>
      <c r="J52" t="inlineStr">
        <is>
          <t>金禾实业</t>
        </is>
      </c>
      <c r="K52" t="n">
        <v>3</v>
      </c>
    </row>
    <row r="53">
      <c r="A53" t="n">
        <v>223</v>
      </c>
      <c r="B53" t="inlineStr">
        <is>
          <t>盐湖提锂</t>
        </is>
      </c>
      <c r="C53" t="n">
        <v>0.8</v>
      </c>
      <c r="D53" t="n">
        <v>8</v>
      </c>
      <c r="E53" t="n">
        <v>10</v>
      </c>
      <c r="F53" t="n">
        <v>1</v>
      </c>
      <c r="G53" t="n">
        <v>0</v>
      </c>
      <c r="H53" t="n">
        <v>0</v>
      </c>
      <c r="I53" t="n">
        <v>9</v>
      </c>
      <c r="J53" t="inlineStr">
        <is>
          <t>争光股份</t>
        </is>
      </c>
      <c r="K53" t="n">
        <v>8</v>
      </c>
    </row>
    <row r="54">
      <c r="A54" t="n">
        <v>227</v>
      </c>
      <c r="B54" t="inlineStr">
        <is>
          <t>氯化亚砜</t>
        </is>
      </c>
      <c r="C54" t="n">
        <v>0.6</v>
      </c>
      <c r="D54" t="n">
        <v>3</v>
      </c>
      <c r="E54" t="n">
        <v>5</v>
      </c>
      <c r="F54" t="n">
        <v>0</v>
      </c>
      <c r="G54" t="n">
        <v>0</v>
      </c>
      <c r="H54" t="n">
        <v>1</v>
      </c>
      <c r="I54" t="n">
        <v>4</v>
      </c>
      <c r="J54" t="inlineStr">
        <is>
          <t>金禾实业</t>
        </is>
      </c>
      <c r="K54" t="n">
        <v>3</v>
      </c>
    </row>
    <row r="55">
      <c r="A55" t="n">
        <v>229</v>
      </c>
      <c r="B55" t="inlineStr">
        <is>
          <t>磷酸铁</t>
        </is>
      </c>
      <c r="C55" t="n">
        <v>0.6</v>
      </c>
      <c r="D55" t="n">
        <v>3</v>
      </c>
      <c r="E55" t="n">
        <v>5</v>
      </c>
      <c r="F55" t="n">
        <v>0</v>
      </c>
      <c r="G55" t="n">
        <v>0</v>
      </c>
      <c r="H55" t="n">
        <v>1</v>
      </c>
      <c r="I55" t="n">
        <v>4</v>
      </c>
      <c r="J55" t="inlineStr">
        <is>
          <t>湘潭电化</t>
        </is>
      </c>
      <c r="K55" t="n">
        <v>3</v>
      </c>
    </row>
    <row r="56">
      <c r="A56" t="n">
        <v>231</v>
      </c>
      <c r="B56" t="inlineStr">
        <is>
          <t>前段设备</t>
        </is>
      </c>
      <c r="C56" t="n">
        <v>0.5</v>
      </c>
      <c r="D56" t="n">
        <v>3</v>
      </c>
      <c r="E56" t="n">
        <v>6</v>
      </c>
      <c r="F56" t="n">
        <v>0</v>
      </c>
      <c r="G56" t="n">
        <v>0</v>
      </c>
      <c r="H56" t="n">
        <v>1</v>
      </c>
      <c r="I56" t="n">
        <v>5</v>
      </c>
      <c r="J56" t="inlineStr">
        <is>
          <t>华亚智能</t>
        </is>
      </c>
      <c r="K56" t="n">
        <v>3</v>
      </c>
    </row>
    <row r="57">
      <c r="A57" t="n">
        <v>233</v>
      </c>
      <c r="B57" t="inlineStr">
        <is>
          <t>云母提锂</t>
        </is>
      </c>
      <c r="C57" t="n">
        <v>0</v>
      </c>
      <c r="D57" t="n">
        <v>0</v>
      </c>
      <c r="E57" t="n">
        <v>3</v>
      </c>
      <c r="F57" t="n">
        <v>0</v>
      </c>
      <c r="G57" t="n">
        <v>0</v>
      </c>
      <c r="H57" t="n">
        <v>3</v>
      </c>
      <c r="I57" t="n">
        <v>0</v>
      </c>
      <c r="J57" t="inlineStr">
        <is>
          <t>江特电机</t>
        </is>
      </c>
      <c r="K57" t="n">
        <v>0</v>
      </c>
    </row>
    <row r="58">
      <c r="A58" t="n">
        <v>234</v>
      </c>
      <c r="B58" t="inlineStr">
        <is>
          <t>富锂锰基正极</t>
        </is>
      </c>
      <c r="C58" t="n">
        <v>0</v>
      </c>
      <c r="D58" t="n">
        <v>0</v>
      </c>
      <c r="E58" t="n">
        <v>8</v>
      </c>
      <c r="F58" t="n">
        <v>1</v>
      </c>
      <c r="G58" t="n">
        <v>0</v>
      </c>
      <c r="H58" t="n">
        <v>7</v>
      </c>
      <c r="I58" t="n">
        <v>0</v>
      </c>
      <c r="J58" t="inlineStr">
        <is>
          <t>格林美</t>
        </is>
      </c>
      <c r="K58" t="n">
        <v>0</v>
      </c>
    </row>
    <row r="59">
      <c r="A59" t="n">
        <v>235</v>
      </c>
      <c r="B59" t="inlineStr">
        <is>
          <t>聚合物路线电池</t>
        </is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inlineStr">
        <is>
          <t>当升科技</t>
        </is>
      </c>
      <c r="K59" t="n">
        <v>0</v>
      </c>
    </row>
    <row r="60">
      <c r="A60" t="n">
        <v>237</v>
      </c>
      <c r="B60" t="inlineStr">
        <is>
          <t>三元前驱</t>
        </is>
      </c>
      <c r="C60" t="n">
        <v>0</v>
      </c>
      <c r="D60" t="n">
        <v>0</v>
      </c>
      <c r="E60" t="n">
        <v>3</v>
      </c>
      <c r="F60" t="n">
        <v>0</v>
      </c>
      <c r="G60" t="n">
        <v>0</v>
      </c>
      <c r="H60" t="n">
        <v>3</v>
      </c>
      <c r="I60" t="n">
        <v>0</v>
      </c>
      <c r="J60" t="inlineStr">
        <is>
          <t>中伟新材</t>
        </is>
      </c>
      <c r="K60" t="n">
        <v>0</v>
      </c>
    </row>
    <row r="61">
      <c r="A61" t="n">
        <v>238</v>
      </c>
      <c r="B61" t="inlineStr">
        <is>
          <t>硅碳负极</t>
        </is>
      </c>
      <c r="C61" t="n">
        <v>0</v>
      </c>
      <c r="D61" t="n">
        <v>0</v>
      </c>
      <c r="E61" t="n">
        <v>3</v>
      </c>
      <c r="F61" t="n">
        <v>2</v>
      </c>
      <c r="G61" t="n">
        <v>0</v>
      </c>
      <c r="H61" t="n">
        <v>1</v>
      </c>
      <c r="I61" t="n">
        <v>0</v>
      </c>
      <c r="J61" t="inlineStr">
        <is>
          <t>翔丰华</t>
        </is>
      </c>
      <c r="K61" t="n">
        <v>0</v>
      </c>
    </row>
    <row r="62">
      <c r="A62" t="n">
        <v>239</v>
      </c>
      <c r="B62" t="inlineStr">
        <is>
          <t>整线设备</t>
        </is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1</v>
      </c>
      <c r="I62" t="n">
        <v>0</v>
      </c>
      <c r="J62" t="inlineStr">
        <is>
          <t>璞泰来</t>
        </is>
      </c>
      <c r="K62" t="n">
        <v>0</v>
      </c>
    </row>
    <row r="63">
      <c r="A63" t="n">
        <v>240</v>
      </c>
      <c r="B63" t="inlineStr">
        <is>
          <t>硅胶膜</t>
        </is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inlineStr">
        <is>
          <t>赛伍技术</t>
        </is>
      </c>
      <c r="K63" t="n">
        <v>0</v>
      </c>
    </row>
    <row r="64">
      <c r="A64" t="n">
        <v>243</v>
      </c>
      <c r="B64" t="inlineStr">
        <is>
          <t>包覆材料</t>
        </is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</v>
      </c>
      <c r="J64" t="inlineStr">
        <is>
          <t>信德新材</t>
        </is>
      </c>
      <c r="K64" t="n">
        <v>0</v>
      </c>
    </row>
    <row r="65">
      <c r="A65" t="n">
        <v>244</v>
      </c>
      <c r="B65" t="inlineStr">
        <is>
          <t>导电添加剂</t>
        </is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inlineStr">
        <is>
          <t>黑猫股份</t>
        </is>
      </c>
      <c r="K65" t="n">
        <v>0</v>
      </c>
    </row>
    <row r="66">
      <c r="A66" t="n">
        <v>245</v>
      </c>
      <c r="B66" t="inlineStr">
        <is>
          <t>超高分子量聚乙烯</t>
        </is>
      </c>
      <c r="C66" t="n">
        <v>0</v>
      </c>
      <c r="D66" t="n">
        <v>0</v>
      </c>
      <c r="E66" t="n">
        <v>3</v>
      </c>
      <c r="F66" t="n">
        <v>1</v>
      </c>
      <c r="G66" t="n">
        <v>0</v>
      </c>
      <c r="H66" t="n">
        <v>2</v>
      </c>
      <c r="I66" t="n">
        <v>0</v>
      </c>
      <c r="J66" t="inlineStr">
        <is>
          <t>东方盛虹</t>
        </is>
      </c>
      <c r="K66" t="n">
        <v>0</v>
      </c>
    </row>
    <row r="67">
      <c r="A67" t="n">
        <v>254</v>
      </c>
      <c r="B67" t="inlineStr">
        <is>
          <t>BOPA膜</t>
        </is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inlineStr">
        <is>
          <t>英联股份</t>
        </is>
      </c>
      <c r="K67" t="n">
        <v>0</v>
      </c>
    </row>
    <row r="68">
      <c r="A68" t="n">
        <v>258</v>
      </c>
      <c r="B68" t="inlineStr">
        <is>
          <t>参股</t>
        </is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1</v>
      </c>
      <c r="I68" t="n">
        <v>0</v>
      </c>
      <c r="J68" t="inlineStr">
        <is>
          <t>蓝海华腾</t>
        </is>
      </c>
      <c r="K68" t="n">
        <v>0</v>
      </c>
    </row>
    <row r="69">
      <c r="A69" t="n">
        <v>259</v>
      </c>
      <c r="B69" t="inlineStr">
        <is>
          <t>锂金属负极</t>
        </is>
      </c>
      <c r="C69" t="n">
        <v>0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0</v>
      </c>
      <c r="J69" t="inlineStr">
        <is>
          <t>天铁科技</t>
        </is>
      </c>
      <c r="K69" t="n">
        <v>0</v>
      </c>
    </row>
    <row r="70">
      <c r="A70" t="n">
        <v>260</v>
      </c>
      <c r="B70" t="inlineStr">
        <is>
          <t>其他隔膜</t>
        </is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</v>
      </c>
      <c r="J70" t="inlineStr">
        <is>
          <t>长阳科技</t>
        </is>
      </c>
      <c r="K70" t="n">
        <v>0</v>
      </c>
    </row>
    <row r="71">
      <c r="A71" t="n">
        <v>261</v>
      </c>
      <c r="B71" t="inlineStr">
        <is>
          <t>包材</t>
        </is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0</v>
      </c>
      <c r="J71" t="inlineStr">
        <is>
          <t>信德新材</t>
        </is>
      </c>
      <c r="K71" t="n">
        <v>0</v>
      </c>
    </row>
    <row r="72">
      <c r="A72" t="n">
        <v>262</v>
      </c>
      <c r="B72" t="inlineStr">
        <is>
          <t>粘接剂</t>
        </is>
      </c>
      <c r="C72" t="n">
        <v>0</v>
      </c>
      <c r="D72" t="n">
        <v>0</v>
      </c>
      <c r="E72" t="n">
        <v>2</v>
      </c>
      <c r="F72" t="n">
        <v>2</v>
      </c>
      <c r="G72" t="n">
        <v>0</v>
      </c>
      <c r="H72" t="n">
        <v>0</v>
      </c>
      <c r="I72" t="n">
        <v>0</v>
      </c>
      <c r="J72" t="inlineStr">
        <is>
          <t>鹿山新材</t>
        </is>
      </c>
      <c r="K72" t="n">
        <v>0</v>
      </c>
    </row>
    <row r="73">
      <c r="A73" t="n">
        <v>263</v>
      </c>
      <c r="B73" t="inlineStr">
        <is>
          <t>聚合物电解质</t>
        </is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inlineStr">
        <is>
          <t>奥克股份</t>
        </is>
      </c>
      <c r="K73" t="n">
        <v>0</v>
      </c>
    </row>
    <row r="74">
      <c r="A74" t="n">
        <v>264</v>
      </c>
      <c r="B74" t="inlineStr">
        <is>
          <t>BOPA膜</t>
        </is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inlineStr">
        <is>
          <t>中仑新材</t>
        </is>
      </c>
      <c r="K74" t="n">
        <v>0</v>
      </c>
    </row>
    <row r="75">
      <c r="A75" t="n">
        <v>268</v>
      </c>
      <c r="B75" t="inlineStr">
        <is>
          <t>硫化物</t>
        </is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</v>
      </c>
      <c r="J75" t="inlineStr">
        <is>
          <t>泰和科技</t>
        </is>
      </c>
      <c r="K75" t="n">
        <v>0</v>
      </c>
    </row>
    <row r="76">
      <c r="A76" t="n">
        <v>270</v>
      </c>
      <c r="B76" t="inlineStr">
        <is>
          <t>等静压设备</t>
        </is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  <c r="J76" t="inlineStr">
        <is>
          <t>华自科技</t>
        </is>
      </c>
      <c r="K76" t="n">
        <v>0</v>
      </c>
    </row>
    <row r="77">
      <c r="A77" t="n">
        <v>271</v>
      </c>
      <c r="B77" t="inlineStr">
        <is>
          <t>车企合作</t>
        </is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inlineStr">
        <is>
          <t>孚能科技</t>
        </is>
      </c>
      <c r="K77" t="n">
        <v>0</v>
      </c>
    </row>
    <row r="78">
      <c r="A78" t="n">
        <v>273</v>
      </c>
      <c r="B78" t="inlineStr">
        <is>
          <t>碳纳米管</t>
        </is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inlineStr">
        <is>
          <t>道氏技术</t>
        </is>
      </c>
      <c r="K78" t="n">
        <v>0</v>
      </c>
    </row>
    <row r="79">
      <c r="A79" t="n">
        <v>274</v>
      </c>
      <c r="B79" t="inlineStr">
        <is>
          <t>硫化物路线电池</t>
        </is>
      </c>
      <c r="C79" t="n">
        <v>0</v>
      </c>
      <c r="D79" t="n">
        <v>0</v>
      </c>
      <c r="E79" t="n">
        <v>2</v>
      </c>
      <c r="F79" t="n">
        <v>0</v>
      </c>
      <c r="G79" t="n">
        <v>0</v>
      </c>
      <c r="H79" t="n">
        <v>2</v>
      </c>
      <c r="I79" t="n">
        <v>0</v>
      </c>
      <c r="J79" t="inlineStr">
        <is>
          <t>宁德时代</t>
        </is>
      </c>
      <c r="K79" t="n">
        <v>0</v>
      </c>
    </row>
    <row r="80">
      <c r="A80" t="n">
        <v>275</v>
      </c>
      <c r="B80" t="inlineStr">
        <is>
          <t>硫化锂</t>
        </is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0</v>
      </c>
      <c r="J80" t="inlineStr">
        <is>
          <t>天际股份</t>
        </is>
      </c>
      <c r="K80" t="n">
        <v>0</v>
      </c>
    </row>
    <row r="81">
      <c r="A81" t="n">
        <v>276</v>
      </c>
      <c r="B81" t="inlineStr">
        <is>
          <t>聚合物路线电池</t>
        </is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0</v>
      </c>
      <c r="J81" t="inlineStr">
        <is>
          <t>赣锋锂业</t>
        </is>
      </c>
      <c r="K81" t="n">
        <v>0</v>
      </c>
    </row>
    <row r="82">
      <c r="A82" t="n">
        <v>277</v>
      </c>
      <c r="B82" t="inlineStr">
        <is>
          <t>碳纳米管</t>
        </is>
      </c>
      <c r="C82" t="n">
        <v>0</v>
      </c>
      <c r="D82" t="n">
        <v>0</v>
      </c>
      <c r="E82" t="n">
        <v>2</v>
      </c>
      <c r="F82" t="n">
        <v>1</v>
      </c>
      <c r="G82" t="n">
        <v>0</v>
      </c>
      <c r="H82" t="n">
        <v>1</v>
      </c>
      <c r="I82" t="n">
        <v>0</v>
      </c>
      <c r="J82" t="inlineStr">
        <is>
          <t>天奈科技</t>
        </is>
      </c>
      <c r="K82" t="n">
        <v>0</v>
      </c>
    </row>
    <row r="83">
      <c r="A83" t="n">
        <v>279</v>
      </c>
      <c r="B83" t="inlineStr">
        <is>
          <t>负极材料</t>
        </is>
      </c>
      <c r="C83" t="n">
        <v>0</v>
      </c>
      <c r="D83" t="n">
        <v>0</v>
      </c>
      <c r="E83" t="n">
        <v>5</v>
      </c>
      <c r="F83" t="n">
        <v>1</v>
      </c>
      <c r="G83" t="n">
        <v>0</v>
      </c>
      <c r="H83" t="n">
        <v>4</v>
      </c>
      <c r="I83" t="n">
        <v>0</v>
      </c>
      <c r="J83" t="inlineStr">
        <is>
          <t>翔丰华</t>
        </is>
      </c>
      <c r="K83" t="n">
        <v>0</v>
      </c>
    </row>
    <row r="84">
      <c r="A84" t="n">
        <v>282</v>
      </c>
      <c r="B84" t="inlineStr">
        <is>
          <t>三乙胺</t>
        </is>
      </c>
      <c r="C84" t="n">
        <v>0</v>
      </c>
      <c r="D84" t="n">
        <v>0</v>
      </c>
      <c r="E84" t="n">
        <v>2</v>
      </c>
      <c r="F84" t="n">
        <v>1</v>
      </c>
      <c r="G84" t="n">
        <v>0</v>
      </c>
      <c r="H84" t="n">
        <v>1</v>
      </c>
      <c r="I84" t="n">
        <v>0</v>
      </c>
      <c r="J84" t="inlineStr">
        <is>
          <t>建业股份</t>
        </is>
      </c>
      <c r="K84" t="n">
        <v>0</v>
      </c>
    </row>
    <row r="85">
      <c r="A85" t="n">
        <v>309</v>
      </c>
      <c r="B85" t="inlineStr">
        <is>
          <t>镓</t>
        </is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</v>
      </c>
      <c r="J85" t="inlineStr">
        <is>
          <t>中矿资源</t>
        </is>
      </c>
      <c r="K85" t="n">
        <v>0</v>
      </c>
    </row>
    <row r="86"/>
    <row r="87">
      <c r="A87" s="4" t="inlineStr">
        <is>
          <t>--- 细分: 硫化锂 ---</t>
        </is>
      </c>
    </row>
    <row r="88">
      <c r="A88" s="5" t="inlineStr">
        <is>
          <t>排名</t>
        </is>
      </c>
      <c r="B88" s="5" t="inlineStr">
        <is>
          <t>代码</t>
        </is>
      </c>
      <c r="C88" s="5" t="inlineStr">
        <is>
          <t>名称</t>
        </is>
      </c>
      <c r="D88" s="5" t="inlineStr">
        <is>
          <t>得分</t>
        </is>
      </c>
      <c r="E88" s="5" t="inlineStr">
        <is>
          <t>涨跌幅%</t>
        </is>
      </c>
      <c r="F88" s="5" t="inlineStr">
        <is>
          <t>成交额(亿)</t>
        </is>
      </c>
      <c r="G88" s="5" t="inlineStr">
        <is>
          <t>D1新高</t>
        </is>
      </c>
      <c r="H88" s="5" t="inlineStr">
        <is>
          <t>D2强势</t>
        </is>
      </c>
      <c r="I88" s="5" t="inlineStr">
        <is>
          <t>D3突破</t>
        </is>
      </c>
      <c r="J88" s="5" t="inlineStr">
        <is>
          <t>D4首板</t>
        </is>
      </c>
      <c r="K88" s="5" t="inlineStr">
        <is>
          <t>D5潜突</t>
        </is>
      </c>
      <c r="L88" s="5" t="inlineStr">
        <is>
          <t>D6连板</t>
        </is>
      </c>
      <c r="M88" s="5" t="inlineStr">
        <is>
          <t>D7一字</t>
        </is>
      </c>
      <c r="N88" s="5" t="inlineStr">
        <is>
          <t>D8活跃</t>
        </is>
      </c>
      <c r="O88" s="5" t="inlineStr">
        <is>
          <t>大成交额加分</t>
        </is>
      </c>
      <c r="P88" s="5" t="inlineStr">
        <is>
          <t>得分明细</t>
        </is>
      </c>
    </row>
    <row r="89">
      <c r="A89" t="n">
        <v>1</v>
      </c>
      <c r="B89" t="inlineStr">
        <is>
          <t>300584</t>
        </is>
      </c>
      <c r="C89" t="inlineStr">
        <is>
          <t>海辰药业</t>
        </is>
      </c>
      <c r="D89" t="n">
        <v>22</v>
      </c>
      <c r="E89" t="n">
        <v>20</v>
      </c>
      <c r="F89" t="n">
        <v>0</v>
      </c>
      <c r="G89" t="n">
        <v>8</v>
      </c>
      <c r="H89" t="n">
        <v>6</v>
      </c>
      <c r="I89" t="n">
        <v>5</v>
      </c>
      <c r="J89" t="n">
        <v>3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D1新高=8,D2强势=6,D3突破=5,D4首板=3,D5潜突=0,D6连板=0,D7一字=0,D8活跃=0,bonus=0</t>
        </is>
      </c>
    </row>
    <row r="90"/>
    <row r="91">
      <c r="A91" s="4" t="inlineStr">
        <is>
          <t>--- 细分: 锗 ---</t>
        </is>
      </c>
    </row>
    <row r="92">
      <c r="A92" s="5" t="inlineStr">
        <is>
          <t>排名</t>
        </is>
      </c>
      <c r="B92" s="5" t="inlineStr">
        <is>
          <t>代码</t>
        </is>
      </c>
      <c r="C92" s="5" t="inlineStr">
        <is>
          <t>名称</t>
        </is>
      </c>
      <c r="D92" s="5" t="inlineStr">
        <is>
          <t>得分</t>
        </is>
      </c>
      <c r="E92" s="5" t="inlineStr">
        <is>
          <t>涨跌幅%</t>
        </is>
      </c>
      <c r="F92" s="5" t="inlineStr">
        <is>
          <t>成交额(亿)</t>
        </is>
      </c>
      <c r="G92" s="5" t="inlineStr">
        <is>
          <t>D1新高</t>
        </is>
      </c>
      <c r="H92" s="5" t="inlineStr">
        <is>
          <t>D2强势</t>
        </is>
      </c>
      <c r="I92" s="5" t="inlineStr">
        <is>
          <t>D3突破</t>
        </is>
      </c>
      <c r="J92" s="5" t="inlineStr">
        <is>
          <t>D4首板</t>
        </is>
      </c>
      <c r="K92" s="5" t="inlineStr">
        <is>
          <t>D5潜突</t>
        </is>
      </c>
      <c r="L92" s="5" t="inlineStr">
        <is>
          <t>D6连板</t>
        </is>
      </c>
      <c r="M92" s="5" t="inlineStr">
        <is>
          <t>D7一字</t>
        </is>
      </c>
      <c r="N92" s="5" t="inlineStr">
        <is>
          <t>D8活跃</t>
        </is>
      </c>
      <c r="O92" s="5" t="inlineStr">
        <is>
          <t>大成交额加分</t>
        </is>
      </c>
      <c r="P92" s="5" t="inlineStr">
        <is>
          <t>得分明细</t>
        </is>
      </c>
    </row>
    <row r="93">
      <c r="A93" t="n">
        <v>1</v>
      </c>
      <c r="B93" t="inlineStr">
        <is>
          <t>600497</t>
        </is>
      </c>
      <c r="C93" t="inlineStr">
        <is>
          <t>驰宏锌锗</t>
        </is>
      </c>
      <c r="D93" t="n">
        <v>17</v>
      </c>
      <c r="E93" t="n">
        <v>0.3</v>
      </c>
      <c r="F93" t="n">
        <v>0.02</v>
      </c>
      <c r="G93" t="n">
        <v>8</v>
      </c>
      <c r="H93" t="n">
        <v>6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3</v>
      </c>
      <c r="O93" t="n">
        <v>0</v>
      </c>
      <c r="P93" t="inlineStr">
        <is>
          <t>D1新高=8,D2强势=6,D3突破=0,D4首板=0,D5潜突=0,D6连板=0,D7一字=0,D8活跃=3,bonus=0</t>
        </is>
      </c>
    </row>
    <row r="94"/>
    <row r="95">
      <c r="A95" s="4" t="inlineStr">
        <is>
          <t>--- 细分: 多孔碳 ---</t>
        </is>
      </c>
    </row>
    <row r="96">
      <c r="A96" s="5" t="inlineStr">
        <is>
          <t>排名</t>
        </is>
      </c>
      <c r="B96" s="5" t="inlineStr">
        <is>
          <t>代码</t>
        </is>
      </c>
      <c r="C96" s="5" t="inlineStr">
        <is>
          <t>名称</t>
        </is>
      </c>
      <c r="D96" s="5" t="inlineStr">
        <is>
          <t>得分</t>
        </is>
      </c>
      <c r="E96" s="5" t="inlineStr">
        <is>
          <t>涨跌幅%</t>
        </is>
      </c>
      <c r="F96" s="5" t="inlineStr">
        <is>
          <t>成交额(亿)</t>
        </is>
      </c>
      <c r="G96" s="5" t="inlineStr">
        <is>
          <t>D1新高</t>
        </is>
      </c>
      <c r="H96" s="5" t="inlineStr">
        <is>
          <t>D2强势</t>
        </is>
      </c>
      <c r="I96" s="5" t="inlineStr">
        <is>
          <t>D3突破</t>
        </is>
      </c>
      <c r="J96" s="5" t="inlineStr">
        <is>
          <t>D4首板</t>
        </is>
      </c>
      <c r="K96" s="5" t="inlineStr">
        <is>
          <t>D5潜突</t>
        </is>
      </c>
      <c r="L96" s="5" t="inlineStr">
        <is>
          <t>D6连板</t>
        </is>
      </c>
      <c r="M96" s="5" t="inlineStr">
        <is>
          <t>D7一字</t>
        </is>
      </c>
      <c r="N96" s="5" t="inlineStr">
        <is>
          <t>D8活跃</t>
        </is>
      </c>
      <c r="O96" s="5" t="inlineStr">
        <is>
          <t>大成交额加分</t>
        </is>
      </c>
      <c r="P96" s="5" t="inlineStr">
        <is>
          <t>得分明细</t>
        </is>
      </c>
    </row>
    <row r="97">
      <c r="A97" t="n">
        <v>1</v>
      </c>
      <c r="B97" t="inlineStr">
        <is>
          <t>688598</t>
        </is>
      </c>
      <c r="C97" t="inlineStr">
        <is>
          <t>金博股份</t>
        </is>
      </c>
      <c r="D97" t="n">
        <v>25</v>
      </c>
      <c r="E97" t="n">
        <v>20</v>
      </c>
      <c r="F97" t="n">
        <v>0.35</v>
      </c>
      <c r="G97" t="n">
        <v>8</v>
      </c>
      <c r="H97" t="n">
        <v>6</v>
      </c>
      <c r="I97" t="n">
        <v>5</v>
      </c>
      <c r="J97" t="n">
        <v>3</v>
      </c>
      <c r="K97" t="n">
        <v>0</v>
      </c>
      <c r="L97" t="n">
        <v>0</v>
      </c>
      <c r="M97" t="n">
        <v>0</v>
      </c>
      <c r="N97" t="n">
        <v>3</v>
      </c>
      <c r="O97" t="n">
        <v>0</v>
      </c>
      <c r="P97" t="inlineStr">
        <is>
          <t>D1新高=8,D2强势=6,D3突破=5,D4首板=3,D5潜突=0,D6连板=0,D7一字=0,D8活跃=3,bonus=0</t>
        </is>
      </c>
    </row>
    <row r="98">
      <c r="A98" t="n">
        <v>2</v>
      </c>
      <c r="B98" t="inlineStr">
        <is>
          <t>300174</t>
        </is>
      </c>
      <c r="C98" t="inlineStr">
        <is>
          <t>元力股份</t>
        </is>
      </c>
      <c r="D98" t="n">
        <v>8</v>
      </c>
      <c r="E98" t="n">
        <v>6.47</v>
      </c>
      <c r="F98" t="n">
        <v>0.01</v>
      </c>
      <c r="G98" t="n">
        <v>0</v>
      </c>
      <c r="H98" t="n">
        <v>0</v>
      </c>
      <c r="I98" t="n">
        <v>5</v>
      </c>
      <c r="J98" t="n">
        <v>0</v>
      </c>
      <c r="K98" t="n">
        <v>0</v>
      </c>
      <c r="L98" t="n">
        <v>0</v>
      </c>
      <c r="M98" t="n">
        <v>0</v>
      </c>
      <c r="N98" t="n">
        <v>3</v>
      </c>
      <c r="O98" t="n">
        <v>0</v>
      </c>
      <c r="P98" t="inlineStr">
        <is>
          <t>D1新高=0,D2强势=0,D3突破=5,D4首板=0,D5潜突=0,D6连板=0,D7一字=0,D8活跃=3,bonus=0</t>
        </is>
      </c>
    </row>
    <row r="99"/>
    <row r="100">
      <c r="A100" s="4" t="inlineStr">
        <is>
          <t>--- 细分: 电子布 ---</t>
        </is>
      </c>
    </row>
    <row r="101">
      <c r="A101" s="5" t="inlineStr">
        <is>
          <t>排名</t>
        </is>
      </c>
      <c r="B101" s="5" t="inlineStr">
        <is>
          <t>代码</t>
        </is>
      </c>
      <c r="C101" s="5" t="inlineStr">
        <is>
          <t>名称</t>
        </is>
      </c>
      <c r="D101" s="5" t="inlineStr">
        <is>
          <t>得分</t>
        </is>
      </c>
      <c r="E101" s="5" t="inlineStr">
        <is>
          <t>涨跌幅%</t>
        </is>
      </c>
      <c r="F101" s="5" t="inlineStr">
        <is>
          <t>成交额(亿)</t>
        </is>
      </c>
      <c r="G101" s="5" t="inlineStr">
        <is>
          <t>D1新高</t>
        </is>
      </c>
      <c r="H101" s="5" t="inlineStr">
        <is>
          <t>D2强势</t>
        </is>
      </c>
      <c r="I101" s="5" t="inlineStr">
        <is>
          <t>D3突破</t>
        </is>
      </c>
      <c r="J101" s="5" t="inlineStr">
        <is>
          <t>D4首板</t>
        </is>
      </c>
      <c r="K101" s="5" t="inlineStr">
        <is>
          <t>D5潜突</t>
        </is>
      </c>
      <c r="L101" s="5" t="inlineStr">
        <is>
          <t>D6连板</t>
        </is>
      </c>
      <c r="M101" s="5" t="inlineStr">
        <is>
          <t>D7一字</t>
        </is>
      </c>
      <c r="N101" s="5" t="inlineStr">
        <is>
          <t>D8活跃</t>
        </is>
      </c>
      <c r="O101" s="5" t="inlineStr">
        <is>
          <t>大成交额加分</t>
        </is>
      </c>
      <c r="P101" s="5" t="inlineStr">
        <is>
          <t>得分明细</t>
        </is>
      </c>
    </row>
    <row r="102">
      <c r="A102" t="n">
        <v>1</v>
      </c>
      <c r="B102" t="inlineStr">
        <is>
          <t>002080</t>
        </is>
      </c>
      <c r="C102" t="inlineStr">
        <is>
          <t>中材科技</t>
        </is>
      </c>
      <c r="D102" t="n">
        <v>30</v>
      </c>
      <c r="E102" t="n">
        <v>10</v>
      </c>
      <c r="F102" t="n">
        <v>0.01</v>
      </c>
      <c r="G102" t="n">
        <v>8</v>
      </c>
      <c r="H102" t="n">
        <v>6</v>
      </c>
      <c r="I102" t="n">
        <v>5</v>
      </c>
      <c r="J102" t="n">
        <v>3</v>
      </c>
      <c r="K102" t="n">
        <v>0</v>
      </c>
      <c r="L102" t="n">
        <v>5</v>
      </c>
      <c r="M102" t="n">
        <v>0</v>
      </c>
      <c r="N102" t="n">
        <v>3</v>
      </c>
      <c r="O102" t="n">
        <v>0</v>
      </c>
      <c r="P102" t="inlineStr">
        <is>
          <t>D1新高=8,D2强势=6,D3突破=5,D4首板=3,D5潜突=0,D6连板=5,D7一字=0,D8活跃=3,bonus=0</t>
        </is>
      </c>
    </row>
    <row r="103">
      <c r="A103" t="n">
        <v>2</v>
      </c>
      <c r="B103" t="inlineStr">
        <is>
          <t>600176</t>
        </is>
      </c>
      <c r="C103" t="inlineStr">
        <is>
          <t>中国巨石</t>
        </is>
      </c>
      <c r="D103" t="n">
        <v>25</v>
      </c>
      <c r="E103" t="n">
        <v>9.99</v>
      </c>
      <c r="F103" t="n">
        <v>0.01</v>
      </c>
      <c r="G103" t="n">
        <v>8</v>
      </c>
      <c r="H103" t="n">
        <v>6</v>
      </c>
      <c r="I103" t="n">
        <v>5</v>
      </c>
      <c r="J103" t="n">
        <v>3</v>
      </c>
      <c r="K103" t="n">
        <v>0</v>
      </c>
      <c r="L103" t="n">
        <v>0</v>
      </c>
      <c r="M103" t="n">
        <v>0</v>
      </c>
      <c r="N103" t="n">
        <v>3</v>
      </c>
      <c r="O103" t="n">
        <v>0</v>
      </c>
      <c r="P103" t="inlineStr">
        <is>
          <t>D1新高=8,D2强势=6,D3突破=5,D4首板=3,D5潜突=0,D6连板=0,D7一字=0,D8活跃=3,bonus=0</t>
        </is>
      </c>
    </row>
    <row r="104">
      <c r="A104" t="n">
        <v>3</v>
      </c>
      <c r="B104" t="inlineStr">
        <is>
          <t>001359</t>
        </is>
      </c>
      <c r="C104" t="inlineStr">
        <is>
          <t>平安电工</t>
        </is>
      </c>
      <c r="D104" t="n">
        <v>22</v>
      </c>
      <c r="E104" t="n">
        <v>6.38</v>
      </c>
      <c r="F104" t="n">
        <v>0</v>
      </c>
      <c r="G104" t="n">
        <v>8</v>
      </c>
      <c r="H104" t="n">
        <v>6</v>
      </c>
      <c r="I104" t="n">
        <v>5</v>
      </c>
      <c r="J104" t="n">
        <v>0</v>
      </c>
      <c r="K104" t="n">
        <v>0</v>
      </c>
      <c r="L104" t="n">
        <v>0</v>
      </c>
      <c r="M104" t="n">
        <v>0</v>
      </c>
      <c r="N104" t="n">
        <v>3</v>
      </c>
      <c r="O104" t="n">
        <v>0</v>
      </c>
      <c r="P104" t="inlineStr">
        <is>
          <t>D1新高=8,D2强势=6,D3突破=5,D4首板=0,D5潜突=0,D6连板=0,D7一字=0,D8活跃=3,bonus=0</t>
        </is>
      </c>
    </row>
    <row r="105">
      <c r="A105" t="n">
        <v>4</v>
      </c>
      <c r="B105" t="inlineStr">
        <is>
          <t>301526</t>
        </is>
      </c>
      <c r="C105" t="inlineStr">
        <is>
          <t>国际复材</t>
        </is>
      </c>
      <c r="D105" t="n">
        <v>22</v>
      </c>
      <c r="E105" t="n">
        <v>4.01</v>
      </c>
      <c r="F105" t="n">
        <v>0.02</v>
      </c>
      <c r="G105" t="n">
        <v>8</v>
      </c>
      <c r="H105" t="n">
        <v>6</v>
      </c>
      <c r="I105" t="n">
        <v>5</v>
      </c>
      <c r="J105" t="n">
        <v>0</v>
      </c>
      <c r="K105" t="n">
        <v>0</v>
      </c>
      <c r="L105" t="n">
        <v>0</v>
      </c>
      <c r="M105" t="n">
        <v>0</v>
      </c>
      <c r="N105" t="n">
        <v>3</v>
      </c>
      <c r="O105" t="n">
        <v>0</v>
      </c>
      <c r="P105" t="inlineStr">
        <is>
          <t>D1新高=8,D2强势=6,D3突破=5,D4首板=0,D5潜突=0,D6连板=0,D7一字=0,D8活跃=3,bonus=0</t>
        </is>
      </c>
    </row>
    <row r="106">
      <c r="A106" t="n">
        <v>5</v>
      </c>
      <c r="B106" t="inlineStr">
        <is>
          <t>603256</t>
        </is>
      </c>
      <c r="C106" t="inlineStr">
        <is>
          <t>宏和科技</t>
        </is>
      </c>
      <c r="D106" t="n">
        <v>17</v>
      </c>
      <c r="E106" t="n">
        <v>2.92</v>
      </c>
      <c r="F106" t="n">
        <v>0</v>
      </c>
      <c r="G106" t="n">
        <v>8</v>
      </c>
      <c r="H106" t="n">
        <v>6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3</v>
      </c>
      <c r="O106" t="n">
        <v>0</v>
      </c>
      <c r="P106" t="inlineStr">
        <is>
          <t>D1新高=8,D2强势=6,D3突破=0,D4首板=0,D5潜突=0,D6连板=0,D7一字=0,D8活跃=3,bonus=0</t>
        </is>
      </c>
    </row>
    <row r="107">
      <c r="A107" t="n">
        <v>6</v>
      </c>
      <c r="B107" t="inlineStr">
        <is>
          <t>300395</t>
        </is>
      </c>
      <c r="C107" t="inlineStr">
        <is>
          <t>菲利华</t>
        </is>
      </c>
      <c r="D107" t="n">
        <v>5</v>
      </c>
      <c r="E107" t="n">
        <v>2.61</v>
      </c>
      <c r="F107" t="n">
        <v>0.01</v>
      </c>
      <c r="G107" t="n">
        <v>0</v>
      </c>
      <c r="H107" t="n">
        <v>0</v>
      </c>
      <c r="I107" t="n">
        <v>5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D1新高=0,D2强势=0,D3突破=5,D4首板=0,D5潜突=0,D6连板=0,D7一字=0,D8活跃=0,bonus=0</t>
        </is>
      </c>
    </row>
    <row r="108">
      <c r="A108" t="n">
        <v>7</v>
      </c>
      <c r="B108" t="inlineStr">
        <is>
          <t>002636</t>
        </is>
      </c>
      <c r="C108" t="inlineStr">
        <is>
          <t>金安国纪</t>
        </is>
      </c>
      <c r="D108" t="n">
        <v>3</v>
      </c>
      <c r="E108" t="n">
        <v>-5.7</v>
      </c>
      <c r="F108" t="n">
        <v>0.01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inlineStr">
        <is>
          <t>D1新高=0,D2强势=0,D3突破=0,D4首板=0,D5潜突=0,D6连板=0,D7一字=0,D8活跃=3,bonus=0</t>
        </is>
      </c>
    </row>
    <row r="109">
      <c r="A109" t="n">
        <v>8</v>
      </c>
      <c r="B109" t="inlineStr">
        <is>
          <t>603025</t>
        </is>
      </c>
      <c r="C109" t="inlineStr">
        <is>
          <t>大豪科技</t>
        </is>
      </c>
      <c r="D109" t="n">
        <v>0</v>
      </c>
      <c r="E109" t="n">
        <v>-0.13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D1新高=0,D2强势=0,D3突破=0,D4首板=0,D5潜突=0,D6连板=0,D7一字=0,D8活跃=0,bonus=0</t>
        </is>
      </c>
    </row>
    <row r="110"/>
    <row r="111">
      <c r="A111" s="4" t="inlineStr">
        <is>
          <t>--- 细分: 硫化物 ---</t>
        </is>
      </c>
    </row>
    <row r="112">
      <c r="A112" s="5" t="inlineStr">
        <is>
          <t>排名</t>
        </is>
      </c>
      <c r="B112" s="5" t="inlineStr">
        <is>
          <t>代码</t>
        </is>
      </c>
      <c r="C112" s="5" t="inlineStr">
        <is>
          <t>名称</t>
        </is>
      </c>
      <c r="D112" s="5" t="inlineStr">
        <is>
          <t>得分</t>
        </is>
      </c>
      <c r="E112" s="5" t="inlineStr">
        <is>
          <t>涨跌幅%</t>
        </is>
      </c>
      <c r="F112" s="5" t="inlineStr">
        <is>
          <t>成交额(亿)</t>
        </is>
      </c>
      <c r="G112" s="5" t="inlineStr">
        <is>
          <t>D1新高</t>
        </is>
      </c>
      <c r="H112" s="5" t="inlineStr">
        <is>
          <t>D2强势</t>
        </is>
      </c>
      <c r="I112" s="5" t="inlineStr">
        <is>
          <t>D3突破</t>
        </is>
      </c>
      <c r="J112" s="5" t="inlineStr">
        <is>
          <t>D4首板</t>
        </is>
      </c>
      <c r="K112" s="5" t="inlineStr">
        <is>
          <t>D5潜突</t>
        </is>
      </c>
      <c r="L112" s="5" t="inlineStr">
        <is>
          <t>D6连板</t>
        </is>
      </c>
      <c r="M112" s="5" t="inlineStr">
        <is>
          <t>D7一字</t>
        </is>
      </c>
      <c r="N112" s="5" t="inlineStr">
        <is>
          <t>D8活跃</t>
        </is>
      </c>
      <c r="O112" s="5" t="inlineStr">
        <is>
          <t>大成交额加分</t>
        </is>
      </c>
      <c r="P112" s="5" t="inlineStr">
        <is>
          <t>得分明细</t>
        </is>
      </c>
    </row>
    <row r="113">
      <c r="A113" t="n">
        <v>1</v>
      </c>
      <c r="B113" t="inlineStr">
        <is>
          <t>002741</t>
        </is>
      </c>
      <c r="C113" t="inlineStr">
        <is>
          <t>光华科技</t>
        </is>
      </c>
      <c r="D113" t="n">
        <v>25</v>
      </c>
      <c r="E113" t="n">
        <v>10.01</v>
      </c>
      <c r="F113" t="n">
        <v>0</v>
      </c>
      <c r="G113" t="n">
        <v>8</v>
      </c>
      <c r="H113" t="n">
        <v>6</v>
      </c>
      <c r="I113" t="n">
        <v>0</v>
      </c>
      <c r="J113" t="n">
        <v>3</v>
      </c>
      <c r="K113" t="n">
        <v>0</v>
      </c>
      <c r="L113" t="n">
        <v>5</v>
      </c>
      <c r="M113" t="n">
        <v>0</v>
      </c>
      <c r="N113" t="n">
        <v>3</v>
      </c>
      <c r="O113" t="n">
        <v>0</v>
      </c>
      <c r="P113" t="inlineStr">
        <is>
          <t>D1新高=8,D2强势=6,D3突破=0,D4首板=3,D5潜突=0,D6连板=5,D7一字=0,D8活跃=3,bonus=0</t>
        </is>
      </c>
    </row>
    <row r="114">
      <c r="A114" t="n">
        <v>2</v>
      </c>
      <c r="B114" t="inlineStr">
        <is>
          <t>688353</t>
        </is>
      </c>
      <c r="C114" t="inlineStr">
        <is>
          <t>华盛锂电</t>
        </is>
      </c>
      <c r="D114" t="n">
        <v>22</v>
      </c>
      <c r="E114" t="n">
        <v>6.75</v>
      </c>
      <c r="F114" t="n">
        <v>0.12</v>
      </c>
      <c r="G114" t="n">
        <v>8</v>
      </c>
      <c r="H114" t="n">
        <v>6</v>
      </c>
      <c r="I114" t="n">
        <v>5</v>
      </c>
      <c r="J114" t="n">
        <v>0</v>
      </c>
      <c r="K114" t="n">
        <v>0</v>
      </c>
      <c r="L114" t="n">
        <v>0</v>
      </c>
      <c r="M114" t="n">
        <v>0</v>
      </c>
      <c r="N114" t="n">
        <v>3</v>
      </c>
      <c r="O114" t="n">
        <v>0</v>
      </c>
      <c r="P114" t="inlineStr">
        <is>
          <t>D1新高=8,D2强势=6,D3突破=5,D4首板=0,D5潜突=0,D6连板=0,D7一字=0,D8活跃=3,bonus=0</t>
        </is>
      </c>
    </row>
    <row r="115">
      <c r="A115" t="n">
        <v>3</v>
      </c>
      <c r="B115" t="inlineStr">
        <is>
          <t>600206</t>
        </is>
      </c>
      <c r="C115" t="inlineStr">
        <is>
          <t>有研新材</t>
        </is>
      </c>
      <c r="D115" t="n">
        <v>17</v>
      </c>
      <c r="E115" t="n">
        <v>1.74</v>
      </c>
      <c r="F115" t="n">
        <v>0.02</v>
      </c>
      <c r="G115" t="n">
        <v>8</v>
      </c>
      <c r="H115" t="n">
        <v>6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0</v>
      </c>
      <c r="P115" t="inlineStr">
        <is>
          <t>D1新高=8,D2强势=6,D3突破=0,D4首板=0,D5潜突=0,D6连板=0,D7一字=0,D8活跃=3,bonus=0</t>
        </is>
      </c>
    </row>
    <row r="116">
      <c r="A116" t="n">
        <v>4</v>
      </c>
      <c r="B116" t="inlineStr">
        <is>
          <t>002709</t>
        </is>
      </c>
      <c r="C116" t="inlineStr">
        <is>
          <t>天赐材料</t>
        </is>
      </c>
      <c r="D116" t="n">
        <v>0</v>
      </c>
      <c r="E116" t="n">
        <v>1.09</v>
      </c>
      <c r="F116" t="n">
        <v>0.01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D1新高=0,D2强势=0,D3突破=0,D4首板=0,D5潜突=0,D6连板=0,D7一字=0,D8活跃=0,bonus=0</t>
        </is>
      </c>
    </row>
    <row r="117">
      <c r="A117" t="n">
        <v>5</v>
      </c>
      <c r="B117" t="inlineStr">
        <is>
          <t>688778</t>
        </is>
      </c>
      <c r="C117" t="inlineStr">
        <is>
          <t>厦钨新能</t>
        </is>
      </c>
      <c r="D117" t="n">
        <v>0</v>
      </c>
      <c r="E117" t="n">
        <v>1.4</v>
      </c>
      <c r="F117" t="n">
        <v>0.09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D1新高=0,D2强势=0,D3突破=0,D4首板=0,D5潜突=0,D6连板=0,D7一字=0,D8活跃=0,bonus=0</t>
        </is>
      </c>
    </row>
    <row r="118"/>
    <row r="119">
      <c r="A119" s="4" t="inlineStr">
        <is>
          <t>--- 细分: 电解液添加剂 ---</t>
        </is>
      </c>
    </row>
    <row r="120">
      <c r="A120" s="5" t="inlineStr">
        <is>
          <t>排名</t>
        </is>
      </c>
      <c r="B120" s="5" t="inlineStr">
        <is>
          <t>代码</t>
        </is>
      </c>
      <c r="C120" s="5" t="inlineStr">
        <is>
          <t>名称</t>
        </is>
      </c>
      <c r="D120" s="5" t="inlineStr">
        <is>
          <t>得分</t>
        </is>
      </c>
      <c r="E120" s="5" t="inlineStr">
        <is>
          <t>涨跌幅%</t>
        </is>
      </c>
      <c r="F120" s="5" t="inlineStr">
        <is>
          <t>成交额(亿)</t>
        </is>
      </c>
      <c r="G120" s="5" t="inlineStr">
        <is>
          <t>D1新高</t>
        </is>
      </c>
      <c r="H120" s="5" t="inlineStr">
        <is>
          <t>D2强势</t>
        </is>
      </c>
      <c r="I120" s="5" t="inlineStr">
        <is>
          <t>D3突破</t>
        </is>
      </c>
      <c r="J120" s="5" t="inlineStr">
        <is>
          <t>D4首板</t>
        </is>
      </c>
      <c r="K120" s="5" t="inlineStr">
        <is>
          <t>D5潜突</t>
        </is>
      </c>
      <c r="L120" s="5" t="inlineStr">
        <is>
          <t>D6连板</t>
        </is>
      </c>
      <c r="M120" s="5" t="inlineStr">
        <is>
          <t>D7一字</t>
        </is>
      </c>
      <c r="N120" s="5" t="inlineStr">
        <is>
          <t>D8活跃</t>
        </is>
      </c>
      <c r="O120" s="5" t="inlineStr">
        <is>
          <t>大成交额加分</t>
        </is>
      </c>
      <c r="P120" s="5" t="inlineStr">
        <is>
          <t>得分明细</t>
        </is>
      </c>
    </row>
    <row r="121">
      <c r="A121" t="n">
        <v>2</v>
      </c>
      <c r="B121" t="inlineStr">
        <is>
          <t>300037</t>
        </is>
      </c>
      <c r="C121" t="inlineStr">
        <is>
          <t>新宙邦</t>
        </is>
      </c>
      <c r="D121" t="n">
        <v>16</v>
      </c>
      <c r="E121" t="n">
        <v>6.99</v>
      </c>
      <c r="F121" t="n">
        <v>0</v>
      </c>
      <c r="G121" t="n">
        <v>8</v>
      </c>
      <c r="H121" t="n">
        <v>0</v>
      </c>
      <c r="I121" t="n">
        <v>5</v>
      </c>
      <c r="J121" t="n">
        <v>0</v>
      </c>
      <c r="K121" t="n">
        <v>0</v>
      </c>
      <c r="L121" t="n">
        <v>0</v>
      </c>
      <c r="M121" t="n">
        <v>0</v>
      </c>
      <c r="N121" t="n">
        <v>3</v>
      </c>
      <c r="O121" t="n">
        <v>0</v>
      </c>
      <c r="P121" t="inlineStr">
        <is>
          <t>D1新高=8,D2强势=0,D3突破=5,D4首板=0,D5潜突=0,D6连板=0,D7一字=0,D8活跃=3,bonus=0</t>
        </is>
      </c>
    </row>
    <row r="122">
      <c r="A122" t="n">
        <v>3</v>
      </c>
      <c r="B122" t="inlineStr">
        <is>
          <t>002326</t>
        </is>
      </c>
      <c r="C122" t="inlineStr">
        <is>
          <t>永太科技</t>
        </is>
      </c>
      <c r="D122" t="n">
        <v>0</v>
      </c>
      <c r="E122" t="n">
        <v>-0.18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D1新高=0,D2强势=0,D3突破=0,D4首板=0,D5潜突=0,D6连板=0,D7一字=0,D8活跃=0,bonus=0</t>
        </is>
      </c>
    </row>
    <row r="123"/>
    <row r="124">
      <c r="A124" s="4" t="inlineStr">
        <is>
          <t>--- 细分: VC+FEC ---</t>
        </is>
      </c>
    </row>
    <row r="125">
      <c r="A125" s="5" t="inlineStr">
        <is>
          <t>排名</t>
        </is>
      </c>
      <c r="B125" s="5" t="inlineStr">
        <is>
          <t>代码</t>
        </is>
      </c>
      <c r="C125" s="5" t="inlineStr">
        <is>
          <t>名称</t>
        </is>
      </c>
      <c r="D125" s="5" t="inlineStr">
        <is>
          <t>得分</t>
        </is>
      </c>
      <c r="E125" s="5" t="inlineStr">
        <is>
          <t>涨跌幅%</t>
        </is>
      </c>
      <c r="F125" s="5" t="inlineStr">
        <is>
          <t>成交额(亿)</t>
        </is>
      </c>
      <c r="G125" s="5" t="inlineStr">
        <is>
          <t>D1新高</t>
        </is>
      </c>
      <c r="H125" s="5" t="inlineStr">
        <is>
          <t>D2强势</t>
        </is>
      </c>
      <c r="I125" s="5" t="inlineStr">
        <is>
          <t>D3突破</t>
        </is>
      </c>
      <c r="J125" s="5" t="inlineStr">
        <is>
          <t>D4首板</t>
        </is>
      </c>
      <c r="K125" s="5" t="inlineStr">
        <is>
          <t>D5潜突</t>
        </is>
      </c>
      <c r="L125" s="5" t="inlineStr">
        <is>
          <t>D6连板</t>
        </is>
      </c>
      <c r="M125" s="5" t="inlineStr">
        <is>
          <t>D7一字</t>
        </is>
      </c>
      <c r="N125" s="5" t="inlineStr">
        <is>
          <t>D8活跃</t>
        </is>
      </c>
      <c r="O125" s="5" t="inlineStr">
        <is>
          <t>大成交额加分</t>
        </is>
      </c>
      <c r="P125" s="5" t="inlineStr">
        <is>
          <t>得分明细</t>
        </is>
      </c>
    </row>
    <row r="126">
      <c r="A126" t="n">
        <v>2</v>
      </c>
      <c r="B126" t="inlineStr">
        <is>
          <t>301292</t>
        </is>
      </c>
      <c r="C126" t="inlineStr">
        <is>
          <t>海科新源</t>
        </is>
      </c>
      <c r="D126" t="n">
        <v>14</v>
      </c>
      <c r="E126" t="n">
        <v>5.12</v>
      </c>
      <c r="F126" t="n">
        <v>0</v>
      </c>
      <c r="G126" t="n">
        <v>8</v>
      </c>
      <c r="H126" t="n">
        <v>6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D1新高=8,D2强势=6,D3突破=0,D4首板=0,D5潜突=0,D6连板=0,D7一字=0,D8活跃=0,bonus=0</t>
        </is>
      </c>
    </row>
    <row r="127">
      <c r="A127" t="n">
        <v>3</v>
      </c>
      <c r="B127" t="inlineStr">
        <is>
          <t>600067</t>
        </is>
      </c>
      <c r="C127" t="inlineStr">
        <is>
          <t>冠城新材</t>
        </is>
      </c>
      <c r="D127" t="n">
        <v>3</v>
      </c>
      <c r="E127" t="n">
        <v>-6.89</v>
      </c>
      <c r="F127" t="n">
        <v>0.01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3</v>
      </c>
      <c r="O127" t="n">
        <v>0</v>
      </c>
      <c r="P127" t="inlineStr">
        <is>
          <t>D1新高=0,D2强势=0,D3突破=0,D4首板=0,D5潜突=0,D6连板=0,D7一字=0,D8活跃=3,bonus=0</t>
        </is>
      </c>
    </row>
    <row r="128">
      <c r="A128" t="n">
        <v>4</v>
      </c>
      <c r="B128" t="inlineStr">
        <is>
          <t>300082</t>
        </is>
      </c>
      <c r="C128" t="inlineStr">
        <is>
          <t>奥克股份</t>
        </is>
      </c>
      <c r="D128" t="n">
        <v>0</v>
      </c>
      <c r="E128" t="n">
        <v>-0.8100000000000001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inlineStr">
        <is>
          <t>D1新高=0,D2强势=0,D3突破=0,D4首板=0,D5潜突=0,D6连板=0,D7一字=0,D8活跃=0,bonus=0</t>
        </is>
      </c>
    </row>
    <row r="129"/>
    <row r="130">
      <c r="A130" s="4" t="inlineStr">
        <is>
          <t>--- 细分: 电解液溶剂 ---</t>
        </is>
      </c>
    </row>
    <row r="131">
      <c r="A131" s="5" t="inlineStr">
        <is>
          <t>排名</t>
        </is>
      </c>
      <c r="B131" s="5" t="inlineStr">
        <is>
          <t>代码</t>
        </is>
      </c>
      <c r="C131" s="5" t="inlineStr">
        <is>
          <t>名称</t>
        </is>
      </c>
      <c r="D131" s="5" t="inlineStr">
        <is>
          <t>得分</t>
        </is>
      </c>
      <c r="E131" s="5" t="inlineStr">
        <is>
          <t>涨跌幅%</t>
        </is>
      </c>
      <c r="F131" s="5" t="inlineStr">
        <is>
          <t>成交额(亿)</t>
        </is>
      </c>
      <c r="G131" s="5" t="inlineStr">
        <is>
          <t>D1新高</t>
        </is>
      </c>
      <c r="H131" s="5" t="inlineStr">
        <is>
          <t>D2强势</t>
        </is>
      </c>
      <c r="I131" s="5" t="inlineStr">
        <is>
          <t>D3突破</t>
        </is>
      </c>
      <c r="J131" s="5" t="inlineStr">
        <is>
          <t>D4首板</t>
        </is>
      </c>
      <c r="K131" s="5" t="inlineStr">
        <is>
          <t>D5潜突</t>
        </is>
      </c>
      <c r="L131" s="5" t="inlineStr">
        <is>
          <t>D6连板</t>
        </is>
      </c>
      <c r="M131" s="5" t="inlineStr">
        <is>
          <t>D7一字</t>
        </is>
      </c>
      <c r="N131" s="5" t="inlineStr">
        <is>
          <t>D8活跃</t>
        </is>
      </c>
      <c r="O131" s="5" t="inlineStr">
        <is>
          <t>大成交额加分</t>
        </is>
      </c>
      <c r="P131" s="5" t="inlineStr">
        <is>
          <t>得分明细</t>
        </is>
      </c>
    </row>
    <row r="132">
      <c r="A132" t="n">
        <v>3</v>
      </c>
      <c r="B132" t="inlineStr">
        <is>
          <t>603026</t>
        </is>
      </c>
      <c r="C132" t="inlineStr">
        <is>
          <t>石大胜华</t>
        </is>
      </c>
      <c r="D132" t="n">
        <v>13</v>
      </c>
      <c r="E132" t="n">
        <v>5.96</v>
      </c>
      <c r="F132" t="n">
        <v>0</v>
      </c>
      <c r="G132" t="n">
        <v>8</v>
      </c>
      <c r="H132" t="n">
        <v>0</v>
      </c>
      <c r="I132" t="n">
        <v>5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D1新高=8,D2强势=0,D3突破=5,D4首板=0,D5潜突=0,D6连板=0,D7一字=0,D8活跃=0,bonus=0</t>
        </is>
      </c>
    </row>
    <row r="133">
      <c r="A133" t="n">
        <v>4</v>
      </c>
      <c r="B133" t="inlineStr">
        <is>
          <t>603810</t>
        </is>
      </c>
      <c r="C133" t="inlineStr">
        <is>
          <t>丰山集团</t>
        </is>
      </c>
      <c r="D133" t="n">
        <v>0</v>
      </c>
      <c r="E133" t="n">
        <v>-3.33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D1新高=0,D2强势=0,D3突破=0,D4首板=0,D5潜突=0,D6连板=0,D7一字=0,D8活跃=0,bonus=0</t>
        </is>
      </c>
    </row>
    <row r="134"/>
    <row r="135">
      <c r="A135" s="4" t="inlineStr">
        <is>
          <t>--- 细分: 骨架膜 ---</t>
        </is>
      </c>
    </row>
    <row r="136">
      <c r="A136" s="5" t="inlineStr">
        <is>
          <t>排名</t>
        </is>
      </c>
      <c r="B136" s="5" t="inlineStr">
        <is>
          <t>代码</t>
        </is>
      </c>
      <c r="C136" s="5" t="inlineStr">
        <is>
          <t>名称</t>
        </is>
      </c>
      <c r="D136" s="5" t="inlineStr">
        <is>
          <t>得分</t>
        </is>
      </c>
      <c r="E136" s="5" t="inlineStr">
        <is>
          <t>涨跌幅%</t>
        </is>
      </c>
      <c r="F136" s="5" t="inlineStr">
        <is>
          <t>成交额(亿)</t>
        </is>
      </c>
      <c r="G136" s="5" t="inlineStr">
        <is>
          <t>D1新高</t>
        </is>
      </c>
      <c r="H136" s="5" t="inlineStr">
        <is>
          <t>D2强势</t>
        </is>
      </c>
      <c r="I136" s="5" t="inlineStr">
        <is>
          <t>D3突破</t>
        </is>
      </c>
      <c r="J136" s="5" t="inlineStr">
        <is>
          <t>D4首板</t>
        </is>
      </c>
      <c r="K136" s="5" t="inlineStr">
        <is>
          <t>D5潜突</t>
        </is>
      </c>
      <c r="L136" s="5" t="inlineStr">
        <is>
          <t>D6连板</t>
        </is>
      </c>
      <c r="M136" s="5" t="inlineStr">
        <is>
          <t>D7一字</t>
        </is>
      </c>
      <c r="N136" s="5" t="inlineStr">
        <is>
          <t>D8活跃</t>
        </is>
      </c>
      <c r="O136" s="5" t="inlineStr">
        <is>
          <t>大成交额加分</t>
        </is>
      </c>
      <c r="P136" s="5" t="inlineStr">
        <is>
          <t>得分明细</t>
        </is>
      </c>
    </row>
    <row r="137">
      <c r="A137" t="n">
        <v>1</v>
      </c>
      <c r="B137" t="inlineStr">
        <is>
          <t>300568</t>
        </is>
      </c>
      <c r="C137" t="inlineStr">
        <is>
          <t>星源材质</t>
        </is>
      </c>
      <c r="D137" t="n">
        <v>8</v>
      </c>
      <c r="E137" t="n">
        <v>3.15</v>
      </c>
      <c r="F137" t="n">
        <v>0.01</v>
      </c>
      <c r="G137" t="n">
        <v>8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inlineStr">
        <is>
          <t>D1新高=8,D2强势=0,D3突破=0,D4首板=0,D5潜突=0,D6连板=0,D7一字=0,D8活跃=0,bonus=0</t>
        </is>
      </c>
    </row>
    <row r="138"/>
    <row r="139">
      <c r="A139" s="4" t="inlineStr">
        <is>
          <t>--- 细分: 钨 ---</t>
        </is>
      </c>
    </row>
    <row r="140">
      <c r="A140" s="5" t="inlineStr">
        <is>
          <t>排名</t>
        </is>
      </c>
      <c r="B140" s="5" t="inlineStr">
        <is>
          <t>代码</t>
        </is>
      </c>
      <c r="C140" s="5" t="inlineStr">
        <is>
          <t>名称</t>
        </is>
      </c>
      <c r="D140" s="5" t="inlineStr">
        <is>
          <t>得分</t>
        </is>
      </c>
      <c r="E140" s="5" t="inlineStr">
        <is>
          <t>涨跌幅%</t>
        </is>
      </c>
      <c r="F140" s="5" t="inlineStr">
        <is>
          <t>成交额(亿)</t>
        </is>
      </c>
      <c r="G140" s="5" t="inlineStr">
        <is>
          <t>D1新高</t>
        </is>
      </c>
      <c r="H140" s="5" t="inlineStr">
        <is>
          <t>D2强势</t>
        </is>
      </c>
      <c r="I140" s="5" t="inlineStr">
        <is>
          <t>D3突破</t>
        </is>
      </c>
      <c r="J140" s="5" t="inlineStr">
        <is>
          <t>D4首板</t>
        </is>
      </c>
      <c r="K140" s="5" t="inlineStr">
        <is>
          <t>D5潜突</t>
        </is>
      </c>
      <c r="L140" s="5" t="inlineStr">
        <is>
          <t>D6连板</t>
        </is>
      </c>
      <c r="M140" s="5" t="inlineStr">
        <is>
          <t>D7一字</t>
        </is>
      </c>
      <c r="N140" s="5" t="inlineStr">
        <is>
          <t>D8活跃</t>
        </is>
      </c>
      <c r="O140" s="5" t="inlineStr">
        <is>
          <t>大成交额加分</t>
        </is>
      </c>
      <c r="P140" s="5" t="inlineStr">
        <is>
          <t>得分明细</t>
        </is>
      </c>
    </row>
    <row r="141">
      <c r="A141" t="n">
        <v>1</v>
      </c>
      <c r="B141" t="inlineStr">
        <is>
          <t>600549</t>
        </is>
      </c>
      <c r="C141" t="inlineStr">
        <is>
          <t>厦门钨业</t>
        </is>
      </c>
      <c r="D141" t="n">
        <v>17</v>
      </c>
      <c r="E141" t="n">
        <v>3.1</v>
      </c>
      <c r="F141" t="n">
        <v>0.02</v>
      </c>
      <c r="G141" t="n">
        <v>8</v>
      </c>
      <c r="H141" t="n">
        <v>6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3</v>
      </c>
      <c r="O141" t="n">
        <v>0</v>
      </c>
      <c r="P141" t="inlineStr">
        <is>
          <t>D1新高=8,D2强势=6,D3突破=0,D4首板=0,D5潜突=0,D6连板=0,D7一字=0,D8活跃=3,bonus=0</t>
        </is>
      </c>
    </row>
    <row r="142">
      <c r="A142" t="n">
        <v>2</v>
      </c>
      <c r="B142" t="inlineStr">
        <is>
          <t>002842</t>
        </is>
      </c>
      <c r="C142" t="inlineStr">
        <is>
          <t>翔鹭钨业</t>
        </is>
      </c>
      <c r="D142" t="n">
        <v>3</v>
      </c>
      <c r="E142" t="n">
        <v>-6.41</v>
      </c>
      <c r="F142" t="n">
        <v>0.01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3</v>
      </c>
      <c r="O142" t="n">
        <v>0</v>
      </c>
      <c r="P142" t="inlineStr">
        <is>
          <t>D1新高=0,D2强势=0,D3突破=0,D4首板=0,D5潜突=0,D6连板=0,D7一字=0,D8活跃=3,bonus=0</t>
        </is>
      </c>
    </row>
    <row r="143">
      <c r="A143" t="n">
        <v>3</v>
      </c>
      <c r="B143" t="inlineStr">
        <is>
          <t>002378</t>
        </is>
      </c>
      <c r="C143" t="inlineStr">
        <is>
          <t>章源钨业</t>
        </is>
      </c>
      <c r="D143" t="n">
        <v>3</v>
      </c>
      <c r="E143" t="n">
        <v>-7.92</v>
      </c>
      <c r="F143" t="n">
        <v>0.01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3</v>
      </c>
      <c r="O143" t="n">
        <v>0</v>
      </c>
      <c r="P143" t="inlineStr">
        <is>
          <t>D1新高=0,D2强势=0,D3突破=0,D4首板=0,D5潜突=0,D6连板=0,D7一字=0,D8活跃=3,bonus=0</t>
        </is>
      </c>
    </row>
    <row r="144"/>
    <row r="145">
      <c r="A145" s="4" t="inlineStr">
        <is>
          <t>--- 细分: 湿电子化学品 ---</t>
        </is>
      </c>
    </row>
    <row r="146">
      <c r="A146" s="5" t="inlineStr">
        <is>
          <t>排名</t>
        </is>
      </c>
      <c r="B146" s="5" t="inlineStr">
        <is>
          <t>代码</t>
        </is>
      </c>
      <c r="C146" s="5" t="inlineStr">
        <is>
          <t>名称</t>
        </is>
      </c>
      <c r="D146" s="5" t="inlineStr">
        <is>
          <t>得分</t>
        </is>
      </c>
      <c r="E146" s="5" t="inlineStr">
        <is>
          <t>涨跌幅%</t>
        </is>
      </c>
      <c r="F146" s="5" t="inlineStr">
        <is>
          <t>成交额(亿)</t>
        </is>
      </c>
      <c r="G146" s="5" t="inlineStr">
        <is>
          <t>D1新高</t>
        </is>
      </c>
      <c r="H146" s="5" t="inlineStr">
        <is>
          <t>D2强势</t>
        </is>
      </c>
      <c r="I146" s="5" t="inlineStr">
        <is>
          <t>D3突破</t>
        </is>
      </c>
      <c r="J146" s="5" t="inlineStr">
        <is>
          <t>D4首板</t>
        </is>
      </c>
      <c r="K146" s="5" t="inlineStr">
        <is>
          <t>D5潜突</t>
        </is>
      </c>
      <c r="L146" s="5" t="inlineStr">
        <is>
          <t>D6连板</t>
        </is>
      </c>
      <c r="M146" s="5" t="inlineStr">
        <is>
          <t>D7一字</t>
        </is>
      </c>
      <c r="N146" s="5" t="inlineStr">
        <is>
          <t>D8活跃</t>
        </is>
      </c>
      <c r="O146" s="5" t="inlineStr">
        <is>
          <t>大成交额加分</t>
        </is>
      </c>
      <c r="P146" s="5" t="inlineStr">
        <is>
          <t>得分明细</t>
        </is>
      </c>
    </row>
    <row r="147">
      <c r="A147" t="n">
        <v>2</v>
      </c>
      <c r="B147" t="inlineStr">
        <is>
          <t>603078</t>
        </is>
      </c>
      <c r="C147" t="inlineStr">
        <is>
          <t>江化微</t>
        </is>
      </c>
      <c r="D147" t="n">
        <v>11</v>
      </c>
      <c r="E147" t="n">
        <v>0.51</v>
      </c>
      <c r="F147" t="n">
        <v>0</v>
      </c>
      <c r="G147" t="n">
        <v>8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3</v>
      </c>
      <c r="O147" t="n">
        <v>0</v>
      </c>
      <c r="P147" t="inlineStr">
        <is>
          <t>D1新高=8,D2强势=0,D3突破=0,D4首板=0,D5潜突=0,D6连板=0,D7一字=0,D8活跃=3,bonus=0</t>
        </is>
      </c>
    </row>
    <row r="148">
      <c r="A148" t="n">
        <v>3</v>
      </c>
      <c r="B148" t="inlineStr">
        <is>
          <t>688545</t>
        </is>
      </c>
      <c r="C148" t="inlineStr">
        <is>
          <t>兴福电子</t>
        </is>
      </c>
      <c r="D148" t="n">
        <v>8</v>
      </c>
      <c r="E148" t="n">
        <v>4.5</v>
      </c>
      <c r="F148" t="n">
        <v>0.27</v>
      </c>
      <c r="G148" t="n">
        <v>0</v>
      </c>
      <c r="H148" t="n">
        <v>0</v>
      </c>
      <c r="I148" t="n">
        <v>5</v>
      </c>
      <c r="J148" t="n">
        <v>0</v>
      </c>
      <c r="K148" t="n">
        <v>0</v>
      </c>
      <c r="L148" t="n">
        <v>0</v>
      </c>
      <c r="M148" t="n">
        <v>0</v>
      </c>
      <c r="N148" t="n">
        <v>3</v>
      </c>
      <c r="O148" t="n">
        <v>0</v>
      </c>
      <c r="P148" t="inlineStr">
        <is>
          <t>D1新高=0,D2强势=0,D3突破=5,D4首板=0,D5潜突=0,D6连板=0,D7一字=0,D8活跃=3,bonus=0</t>
        </is>
      </c>
    </row>
    <row r="149">
      <c r="A149" t="n">
        <v>4</v>
      </c>
      <c r="B149" t="inlineStr">
        <is>
          <t>300655</t>
        </is>
      </c>
      <c r="C149" t="inlineStr">
        <is>
          <t>晶瑞电材</t>
        </is>
      </c>
      <c r="D149" t="n">
        <v>5</v>
      </c>
      <c r="E149" t="n">
        <v>2.85</v>
      </c>
      <c r="F149" t="n">
        <v>0.01</v>
      </c>
      <c r="G149" t="n">
        <v>0</v>
      </c>
      <c r="H149" t="n">
        <v>0</v>
      </c>
      <c r="I149" t="n">
        <v>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D1新高=0,D2强势=0,D3突破=5,D4首板=0,D5潜突=0,D6连板=0,D7一字=0,D8活跃=0,bonus=0</t>
        </is>
      </c>
    </row>
    <row r="150">
      <c r="A150" t="n">
        <v>5</v>
      </c>
      <c r="B150" t="inlineStr">
        <is>
          <t>688019</t>
        </is>
      </c>
      <c r="C150" t="inlineStr">
        <is>
          <t>安集科技</t>
        </is>
      </c>
      <c r="D150" t="n">
        <v>5</v>
      </c>
      <c r="E150" t="n">
        <v>5.47</v>
      </c>
      <c r="F150" t="n">
        <v>0.11</v>
      </c>
      <c r="G150" t="n">
        <v>0</v>
      </c>
      <c r="H150" t="n">
        <v>0</v>
      </c>
      <c r="I150" t="n">
        <v>5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D1新高=0,D2强势=0,D3突破=5,D4首板=0,D5潜突=0,D6连板=0,D7一字=0,D8活跃=0,bonus=0</t>
        </is>
      </c>
    </row>
    <row r="151">
      <c r="A151" t="n">
        <v>6</v>
      </c>
      <c r="B151" t="inlineStr">
        <is>
          <t>300236</t>
        </is>
      </c>
      <c r="C151" t="inlineStr">
        <is>
          <t>上海新阳</t>
        </is>
      </c>
      <c r="D151" t="n">
        <v>5</v>
      </c>
      <c r="E151" t="n">
        <v>6.54</v>
      </c>
      <c r="F151" t="n">
        <v>0</v>
      </c>
      <c r="G151" t="n">
        <v>0</v>
      </c>
      <c r="H151" t="n">
        <v>0</v>
      </c>
      <c r="I151" t="n">
        <v>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D1新高=0,D2强势=0,D3突破=5,D4首板=0,D5潜突=0,D6连板=0,D7一字=0,D8活跃=0,bonus=0</t>
        </is>
      </c>
    </row>
    <row r="152">
      <c r="A152" t="n">
        <v>7</v>
      </c>
      <c r="B152" t="inlineStr">
        <is>
          <t>002407</t>
        </is>
      </c>
      <c r="C152" t="inlineStr">
        <is>
          <t>多氟多</t>
        </is>
      </c>
      <c r="D152" t="n">
        <v>3</v>
      </c>
      <c r="E152" t="n">
        <v>-2.19</v>
      </c>
      <c r="F152" t="n">
        <v>0.02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3</v>
      </c>
      <c r="O152" t="n">
        <v>0</v>
      </c>
      <c r="P152" t="inlineStr">
        <is>
          <t>D1新高=0,D2强势=0,D3突破=0,D4首板=0,D5潜突=0,D6连板=0,D7一字=0,D8活跃=3,bonus=0</t>
        </is>
      </c>
    </row>
    <row r="153">
      <c r="A153" t="n">
        <v>8</v>
      </c>
      <c r="B153" t="inlineStr">
        <is>
          <t>603931</t>
        </is>
      </c>
      <c r="C153" t="inlineStr">
        <is>
          <t>格林达</t>
        </is>
      </c>
      <c r="D153" t="n">
        <v>0</v>
      </c>
      <c r="E153" t="n">
        <v>0.51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inlineStr">
        <is>
          <t>D1新高=0,D2强势=0,D3突破=0,D4首板=0,D5潜突=0,D6连板=0,D7一字=0,D8活跃=0,bonus=0</t>
        </is>
      </c>
    </row>
    <row r="154"/>
    <row r="155">
      <c r="A155" s="4" t="inlineStr">
        <is>
          <t>--- 细分: 隔膜总出货量 ---</t>
        </is>
      </c>
    </row>
    <row r="156">
      <c r="A156" s="5" t="inlineStr">
        <is>
          <t>排名</t>
        </is>
      </c>
      <c r="B156" s="5" t="inlineStr">
        <is>
          <t>代码</t>
        </is>
      </c>
      <c r="C156" s="5" t="inlineStr">
        <is>
          <t>名称</t>
        </is>
      </c>
      <c r="D156" s="5" t="inlineStr">
        <is>
          <t>得分</t>
        </is>
      </c>
      <c r="E156" s="5" t="inlineStr">
        <is>
          <t>涨跌幅%</t>
        </is>
      </c>
      <c r="F156" s="5" t="inlineStr">
        <is>
          <t>成交额(亿)</t>
        </is>
      </c>
      <c r="G156" s="5" t="inlineStr">
        <is>
          <t>D1新高</t>
        </is>
      </c>
      <c r="H156" s="5" t="inlineStr">
        <is>
          <t>D2强势</t>
        </is>
      </c>
      <c r="I156" s="5" t="inlineStr">
        <is>
          <t>D3突破</t>
        </is>
      </c>
      <c r="J156" s="5" t="inlineStr">
        <is>
          <t>D4首板</t>
        </is>
      </c>
      <c r="K156" s="5" t="inlineStr">
        <is>
          <t>D5潜突</t>
        </is>
      </c>
      <c r="L156" s="5" t="inlineStr">
        <is>
          <t>D6连板</t>
        </is>
      </c>
      <c r="M156" s="5" t="inlineStr">
        <is>
          <t>D7一字</t>
        </is>
      </c>
      <c r="N156" s="5" t="inlineStr">
        <is>
          <t>D8活跃</t>
        </is>
      </c>
      <c r="O156" s="5" t="inlineStr">
        <is>
          <t>大成交额加分</t>
        </is>
      </c>
      <c r="P156" s="5" t="inlineStr">
        <is>
          <t>得分明细</t>
        </is>
      </c>
    </row>
    <row r="157">
      <c r="A157" t="n">
        <v>3</v>
      </c>
      <c r="B157" t="inlineStr">
        <is>
          <t>002812</t>
        </is>
      </c>
      <c r="C157" t="inlineStr">
        <is>
          <t>恩捷股份</t>
        </is>
      </c>
      <c r="D157" t="n">
        <v>3</v>
      </c>
      <c r="E157" t="n">
        <v>0.87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</v>
      </c>
      <c r="O157" t="n">
        <v>0</v>
      </c>
      <c r="P157" t="inlineStr">
        <is>
          <t>D1新高=0,D2强势=0,D3突破=0,D4首板=0,D5潜突=0,D6连板=0,D7一字=0,D8活跃=3,bonus=0</t>
        </is>
      </c>
    </row>
    <row r="158">
      <c r="A158" t="n">
        <v>4</v>
      </c>
      <c r="B158" t="inlineStr">
        <is>
          <t>600346</t>
        </is>
      </c>
      <c r="C158" t="inlineStr">
        <is>
          <t>恒力石化</t>
        </is>
      </c>
      <c r="D158" t="n">
        <v>0</v>
      </c>
      <c r="E158" t="n">
        <v>0.28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inlineStr">
        <is>
          <t>D1新高=0,D2强势=0,D3突破=0,D4首板=0,D5潜突=0,D6连板=0,D7一字=0,D8活跃=0,bonus=0</t>
        </is>
      </c>
    </row>
    <row r="159">
      <c r="A159" t="n">
        <v>5</v>
      </c>
      <c r="B159" t="inlineStr">
        <is>
          <t>688299</t>
        </is>
      </c>
      <c r="C159" t="inlineStr">
        <is>
          <t>长阳科技</t>
        </is>
      </c>
      <c r="D159" t="n">
        <v>0</v>
      </c>
      <c r="E159" t="n">
        <v>3.16</v>
      </c>
      <c r="F159" t="n">
        <v>0.12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D1新高=0,D2强势=0,D3突破=0,D4首板=0,D5潜突=0,D6连板=0,D7一字=0,D8活跃=0,bonus=0</t>
        </is>
      </c>
    </row>
    <row r="160">
      <c r="A160" t="n">
        <v>6</v>
      </c>
      <c r="B160" t="inlineStr">
        <is>
          <t>000973</t>
        </is>
      </c>
      <c r="C160" t="inlineStr">
        <is>
          <t>佛塑科技</t>
        </is>
      </c>
      <c r="D160" t="n">
        <v>0</v>
      </c>
      <c r="E160" t="n">
        <v>-1.37</v>
      </c>
      <c r="F160" t="n">
        <v>0.01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inlineStr">
        <is>
          <t>D1新高=0,D2强势=0,D3突破=0,D4首板=0,D5潜突=0,D6连板=0,D7一字=0,D8活跃=0,bonus=0</t>
        </is>
      </c>
    </row>
    <row r="161">
      <c r="A161" t="n">
        <v>7</v>
      </c>
      <c r="B161" t="inlineStr">
        <is>
          <t>000570</t>
        </is>
      </c>
      <c r="C161" t="inlineStr">
        <is>
          <t>苏常柴Ａ</t>
        </is>
      </c>
      <c r="D161" t="n">
        <v>0</v>
      </c>
      <c r="E161" t="n">
        <v>-1.35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inlineStr">
        <is>
          <t>D1新高=0,D2强势=0,D3突破=0,D4首板=0,D5潜突=0,D6连板=0,D7一字=0,D8活跃=0,bonus=0</t>
        </is>
      </c>
    </row>
    <row r="162"/>
    <row r="163">
      <c r="A163" s="4" t="inlineStr">
        <is>
          <t>--- 细分: 双三氟甲基磺酰亚胺锂LiTFSI ---</t>
        </is>
      </c>
    </row>
    <row r="164">
      <c r="A164" s="5" t="inlineStr">
        <is>
          <t>排名</t>
        </is>
      </c>
      <c r="B164" s="5" t="inlineStr">
        <is>
          <t>代码</t>
        </is>
      </c>
      <c r="C164" s="5" t="inlineStr">
        <is>
          <t>名称</t>
        </is>
      </c>
      <c r="D164" s="5" t="inlineStr">
        <is>
          <t>得分</t>
        </is>
      </c>
      <c r="E164" s="5" t="inlineStr">
        <is>
          <t>涨跌幅%</t>
        </is>
      </c>
      <c r="F164" s="5" t="inlineStr">
        <is>
          <t>成交额(亿)</t>
        </is>
      </c>
      <c r="G164" s="5" t="inlineStr">
        <is>
          <t>D1新高</t>
        </is>
      </c>
      <c r="H164" s="5" t="inlineStr">
        <is>
          <t>D2强势</t>
        </is>
      </c>
      <c r="I164" s="5" t="inlineStr">
        <is>
          <t>D3突破</t>
        </is>
      </c>
      <c r="J164" s="5" t="inlineStr">
        <is>
          <t>D4首板</t>
        </is>
      </c>
      <c r="K164" s="5" t="inlineStr">
        <is>
          <t>D5潜突</t>
        </is>
      </c>
      <c r="L164" s="5" t="inlineStr">
        <is>
          <t>D6连板</t>
        </is>
      </c>
      <c r="M164" s="5" t="inlineStr">
        <is>
          <t>D7一字</t>
        </is>
      </c>
      <c r="N164" s="5" t="inlineStr">
        <is>
          <t>D8活跃</t>
        </is>
      </c>
      <c r="O164" s="5" t="inlineStr">
        <is>
          <t>大成交额加分</t>
        </is>
      </c>
      <c r="P164" s="5" t="inlineStr">
        <is>
          <t>得分明细</t>
        </is>
      </c>
    </row>
    <row r="165">
      <c r="A165" t="n">
        <v>2</v>
      </c>
      <c r="B165" t="inlineStr">
        <is>
          <t>688146</t>
        </is>
      </c>
      <c r="C165" t="inlineStr">
        <is>
          <t>中船特气</t>
        </is>
      </c>
      <c r="D165" t="n">
        <v>8</v>
      </c>
      <c r="E165" t="n">
        <v>5.17</v>
      </c>
      <c r="F165" t="n">
        <v>0.19</v>
      </c>
      <c r="G165" t="n">
        <v>0</v>
      </c>
      <c r="H165" t="n">
        <v>0</v>
      </c>
      <c r="I165" t="n">
        <v>5</v>
      </c>
      <c r="J165" t="n">
        <v>0</v>
      </c>
      <c r="K165" t="n">
        <v>0</v>
      </c>
      <c r="L165" t="n">
        <v>0</v>
      </c>
      <c r="M165" t="n">
        <v>0</v>
      </c>
      <c r="N165" t="n">
        <v>3</v>
      </c>
      <c r="O165" t="n">
        <v>0</v>
      </c>
      <c r="P165" t="inlineStr">
        <is>
          <t>D1新高=0,D2强势=0,D3突破=5,D4首板=0,D5潜突=0,D6连板=0,D7一字=0,D8活跃=3,bonus=0</t>
        </is>
      </c>
    </row>
    <row r="166">
      <c r="A166" t="n">
        <v>3</v>
      </c>
      <c r="B166" t="inlineStr">
        <is>
          <t>301238</t>
        </is>
      </c>
      <c r="C166" t="inlineStr">
        <is>
          <t>瑞泰新材</t>
        </is>
      </c>
      <c r="D166" t="n">
        <v>5</v>
      </c>
      <c r="E166" t="n">
        <v>5.13</v>
      </c>
      <c r="F166" t="n">
        <v>0</v>
      </c>
      <c r="G166" t="n">
        <v>0</v>
      </c>
      <c r="H166" t="n">
        <v>0</v>
      </c>
      <c r="I166" t="n">
        <v>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inlineStr">
        <is>
          <t>D1新高=0,D2强势=0,D3突破=5,D4首板=0,D5潜突=0,D6连板=0,D7一字=0,D8活跃=0,bonus=0</t>
        </is>
      </c>
    </row>
    <row r="167">
      <c r="A167" t="n">
        <v>4</v>
      </c>
      <c r="B167" t="inlineStr">
        <is>
          <t>300801</t>
        </is>
      </c>
      <c r="C167" t="inlineStr">
        <is>
          <t>泰和科技</t>
        </is>
      </c>
      <c r="D167" t="n">
        <v>0</v>
      </c>
      <c r="E167" t="n">
        <v>2.08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D1新高=0,D2强势=0,D3突破=0,D4首板=0,D5潜突=0,D6连板=0,D7一字=0,D8活跃=0,bonus=0</t>
        </is>
      </c>
    </row>
    <row r="168">
      <c r="A168" t="n">
        <v>5</v>
      </c>
      <c r="B168" t="inlineStr">
        <is>
          <t>002091</t>
        </is>
      </c>
      <c r="C168" t="inlineStr">
        <is>
          <t>江苏国泰</t>
        </is>
      </c>
      <c r="D168" t="n">
        <v>0</v>
      </c>
      <c r="E168" t="n">
        <v>-1.88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inlineStr">
        <is>
          <t>D1新高=0,D2强势=0,D3突破=0,D4首板=0,D5潜突=0,D6连板=0,D7一字=0,D8活跃=0,bonus=0</t>
        </is>
      </c>
    </row>
    <row r="169">
      <c r="A169" t="n">
        <v>6</v>
      </c>
      <c r="B169" t="inlineStr">
        <is>
          <t>002915</t>
        </is>
      </c>
      <c r="C169" t="inlineStr">
        <is>
          <t>中欣氟材</t>
        </is>
      </c>
      <c r="D169" t="n">
        <v>0</v>
      </c>
      <c r="E169" t="n">
        <v>-4.83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inlineStr">
        <is>
          <t>D1新高=0,D2强势=0,D3突破=0,D4首板=0,D5潜突=0,D6连板=0,D7一字=0,D8活跃=0,bonus=0</t>
        </is>
      </c>
    </row>
    <row r="170"/>
    <row r="171">
      <c r="A171" s="4" t="inlineStr">
        <is>
          <t>--- 细分: 钴酸锂 ---</t>
        </is>
      </c>
    </row>
    <row r="172">
      <c r="A172" s="5" t="inlineStr">
        <is>
          <t>排名</t>
        </is>
      </c>
      <c r="B172" s="5" t="inlineStr">
        <is>
          <t>代码</t>
        </is>
      </c>
      <c r="C172" s="5" t="inlineStr">
        <is>
          <t>名称</t>
        </is>
      </c>
      <c r="D172" s="5" t="inlineStr">
        <is>
          <t>得分</t>
        </is>
      </c>
      <c r="E172" s="5" t="inlineStr">
        <is>
          <t>涨跌幅%</t>
        </is>
      </c>
      <c r="F172" s="5" t="inlineStr">
        <is>
          <t>成交额(亿)</t>
        </is>
      </c>
      <c r="G172" s="5" t="inlineStr">
        <is>
          <t>D1新高</t>
        </is>
      </c>
      <c r="H172" s="5" t="inlineStr">
        <is>
          <t>D2强势</t>
        </is>
      </c>
      <c r="I172" s="5" t="inlineStr">
        <is>
          <t>D3突破</t>
        </is>
      </c>
      <c r="J172" s="5" t="inlineStr">
        <is>
          <t>D4首板</t>
        </is>
      </c>
      <c r="K172" s="5" t="inlineStr">
        <is>
          <t>D5潜突</t>
        </is>
      </c>
      <c r="L172" s="5" t="inlineStr">
        <is>
          <t>D6连板</t>
        </is>
      </c>
      <c r="M172" s="5" t="inlineStr">
        <is>
          <t>D7一字</t>
        </is>
      </c>
      <c r="N172" s="5" t="inlineStr">
        <is>
          <t>D8活跃</t>
        </is>
      </c>
      <c r="O172" s="5" t="inlineStr">
        <is>
          <t>大成交额加分</t>
        </is>
      </c>
      <c r="P172" s="5" t="inlineStr">
        <is>
          <t>得分明细</t>
        </is>
      </c>
    </row>
    <row r="173">
      <c r="A173" t="n">
        <v>2</v>
      </c>
      <c r="B173" t="inlineStr">
        <is>
          <t>301487</t>
        </is>
      </c>
      <c r="C173" t="inlineStr">
        <is>
          <t>盟固利</t>
        </is>
      </c>
      <c r="D173" t="n">
        <v>0</v>
      </c>
      <c r="E173" t="n">
        <v>-0.58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inlineStr">
        <is>
          <t>D1新高=0,D2强势=0,D3突破=0,D4首板=0,D5潜突=0,D6连板=0,D7一字=0,D8活跃=0,bonus=0</t>
        </is>
      </c>
    </row>
    <row r="174">
      <c r="A174" t="n">
        <v>3</v>
      </c>
      <c r="B174" t="inlineStr">
        <is>
          <t>300340</t>
        </is>
      </c>
      <c r="C174" t="inlineStr">
        <is>
          <t>科恒股份</t>
        </is>
      </c>
      <c r="D174" t="n">
        <v>0</v>
      </c>
      <c r="E174" t="n">
        <v>-4.51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inlineStr">
        <is>
          <t>D1新高=0,D2强势=0,D3突破=0,D4首板=0,D5潜突=0,D6连板=0,D7一字=0,D8活跃=0,bonus=0</t>
        </is>
      </c>
    </row>
    <row r="175"/>
    <row r="176">
      <c r="A176" s="4" t="inlineStr">
        <is>
          <t>--- 细分: 整线设备 ---</t>
        </is>
      </c>
    </row>
    <row r="177">
      <c r="A177" s="5" t="inlineStr">
        <is>
          <t>排名</t>
        </is>
      </c>
      <c r="B177" s="5" t="inlineStr">
        <is>
          <t>代码</t>
        </is>
      </c>
      <c r="C177" s="5" t="inlineStr">
        <is>
          <t>名称</t>
        </is>
      </c>
      <c r="D177" s="5" t="inlineStr">
        <is>
          <t>得分</t>
        </is>
      </c>
      <c r="E177" s="5" t="inlineStr">
        <is>
          <t>涨跌幅%</t>
        </is>
      </c>
      <c r="F177" s="5" t="inlineStr">
        <is>
          <t>成交额(亿)</t>
        </is>
      </c>
      <c r="G177" s="5" t="inlineStr">
        <is>
          <t>D1新高</t>
        </is>
      </c>
      <c r="H177" s="5" t="inlineStr">
        <is>
          <t>D2强势</t>
        </is>
      </c>
      <c r="I177" s="5" t="inlineStr">
        <is>
          <t>D3突破</t>
        </is>
      </c>
      <c r="J177" s="5" t="inlineStr">
        <is>
          <t>D4首板</t>
        </is>
      </c>
      <c r="K177" s="5" t="inlineStr">
        <is>
          <t>D5潜突</t>
        </is>
      </c>
      <c r="L177" s="5" t="inlineStr">
        <is>
          <t>D6连板</t>
        </is>
      </c>
      <c r="M177" s="5" t="inlineStr">
        <is>
          <t>D7一字</t>
        </is>
      </c>
      <c r="N177" s="5" t="inlineStr">
        <is>
          <t>D8活跃</t>
        </is>
      </c>
      <c r="O177" s="5" t="inlineStr">
        <is>
          <t>大成交额加分</t>
        </is>
      </c>
      <c r="P177" s="5" t="inlineStr">
        <is>
          <t>得分明细</t>
        </is>
      </c>
    </row>
    <row r="178">
      <c r="A178" t="n">
        <v>1</v>
      </c>
      <c r="B178" t="inlineStr">
        <is>
          <t>688559</t>
        </is>
      </c>
      <c r="C178" t="inlineStr">
        <is>
          <t>海目星</t>
        </is>
      </c>
      <c r="D178" t="n">
        <v>11</v>
      </c>
      <c r="E178" t="n">
        <v>1.35</v>
      </c>
      <c r="F178" t="n">
        <v>0.19</v>
      </c>
      <c r="G178" t="n">
        <v>8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3</v>
      </c>
      <c r="O178" t="n">
        <v>0</v>
      </c>
      <c r="P178" t="inlineStr">
        <is>
          <t>D1新高=8,D2强势=0,D3突破=0,D4首板=0,D5潜突=0,D6连板=0,D7一字=0,D8活跃=3,bonus=0</t>
        </is>
      </c>
    </row>
    <row r="179">
      <c r="A179" t="n">
        <v>2</v>
      </c>
      <c r="B179" t="inlineStr">
        <is>
          <t>300457</t>
        </is>
      </c>
      <c r="C179" t="inlineStr">
        <is>
          <t>赢合科技</t>
        </is>
      </c>
      <c r="D179" t="n">
        <v>0</v>
      </c>
      <c r="E179" t="n">
        <v>-1.34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D1新高=0,D2强势=0,D3突破=0,D4首板=0,D5潜突=0,D6连板=0,D7一字=0,D8活跃=0,bonus=0</t>
        </is>
      </c>
    </row>
    <row r="180"/>
    <row r="181">
      <c r="A181" s="4" t="inlineStr">
        <is>
          <t>--- 细分: 涂覆隔膜 ---</t>
        </is>
      </c>
    </row>
    <row r="182">
      <c r="A182" s="5" t="inlineStr">
        <is>
          <t>排名</t>
        </is>
      </c>
      <c r="B182" s="5" t="inlineStr">
        <is>
          <t>代码</t>
        </is>
      </c>
      <c r="C182" s="5" t="inlineStr">
        <is>
          <t>名称</t>
        </is>
      </c>
      <c r="D182" s="5" t="inlineStr">
        <is>
          <t>得分</t>
        </is>
      </c>
      <c r="E182" s="5" t="inlineStr">
        <is>
          <t>涨跌幅%</t>
        </is>
      </c>
      <c r="F182" s="5" t="inlineStr">
        <is>
          <t>成交额(亿)</t>
        </is>
      </c>
      <c r="G182" s="5" t="inlineStr">
        <is>
          <t>D1新高</t>
        </is>
      </c>
      <c r="H182" s="5" t="inlineStr">
        <is>
          <t>D2强势</t>
        </is>
      </c>
      <c r="I182" s="5" t="inlineStr">
        <is>
          <t>D3突破</t>
        </is>
      </c>
      <c r="J182" s="5" t="inlineStr">
        <is>
          <t>D4首板</t>
        </is>
      </c>
      <c r="K182" s="5" t="inlineStr">
        <is>
          <t>D5潜突</t>
        </is>
      </c>
      <c r="L182" s="5" t="inlineStr">
        <is>
          <t>D6连板</t>
        </is>
      </c>
      <c r="M182" s="5" t="inlineStr">
        <is>
          <t>D7一字</t>
        </is>
      </c>
      <c r="N182" s="5" t="inlineStr">
        <is>
          <t>D8活跃</t>
        </is>
      </c>
      <c r="O182" s="5" t="inlineStr">
        <is>
          <t>大成交额加分</t>
        </is>
      </c>
      <c r="P182" s="5" t="inlineStr">
        <is>
          <t>得分明细</t>
        </is>
      </c>
    </row>
    <row r="183">
      <c r="A183" t="n">
        <v>1</v>
      </c>
      <c r="B183" t="inlineStr">
        <is>
          <t>002254</t>
        </is>
      </c>
      <c r="C183" t="inlineStr">
        <is>
          <t>泰和新材</t>
        </is>
      </c>
      <c r="D183" t="n">
        <v>11</v>
      </c>
      <c r="E183" t="n">
        <v>10.01</v>
      </c>
      <c r="F183" t="n">
        <v>0.01</v>
      </c>
      <c r="G183" t="n">
        <v>0</v>
      </c>
      <c r="H183" t="n">
        <v>0</v>
      </c>
      <c r="I183" t="n">
        <v>5</v>
      </c>
      <c r="J183" t="n">
        <v>3</v>
      </c>
      <c r="K183" t="n">
        <v>0</v>
      </c>
      <c r="L183" t="n">
        <v>0</v>
      </c>
      <c r="M183" t="n">
        <v>0</v>
      </c>
      <c r="N183" t="n">
        <v>3</v>
      </c>
      <c r="O183" t="n">
        <v>0</v>
      </c>
      <c r="P183" t="inlineStr">
        <is>
          <t>D1新高=0,D2强势=0,D3突破=5,D4首板=3,D5潜突=0,D6连板=0,D7一字=0,D8活跃=3,bonus=0</t>
        </is>
      </c>
    </row>
    <row r="184">
      <c r="A184" t="n">
        <v>2</v>
      </c>
      <c r="B184" t="inlineStr">
        <is>
          <t>603659</t>
        </is>
      </c>
      <c r="C184" t="inlineStr">
        <is>
          <t>璞泰来</t>
        </is>
      </c>
      <c r="D184" t="n">
        <v>0</v>
      </c>
      <c r="E184" t="n">
        <v>-0.57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inlineStr">
        <is>
          <t>D1新高=0,D2强势=0,D3突破=0,D4首板=0,D5潜突=0,D6连板=0,D7一字=0,D8活跃=0,bonus=0</t>
        </is>
      </c>
    </row>
    <row r="185"/>
    <row r="186">
      <c r="A186" s="4" t="inlineStr">
        <is>
          <t>--- 细分: COFs材料 ---</t>
        </is>
      </c>
    </row>
    <row r="187">
      <c r="A187" s="5" t="inlineStr">
        <is>
          <t>排名</t>
        </is>
      </c>
      <c r="B187" s="5" t="inlineStr">
        <is>
          <t>代码</t>
        </is>
      </c>
      <c r="C187" s="5" t="inlineStr">
        <is>
          <t>名称</t>
        </is>
      </c>
      <c r="D187" s="5" t="inlineStr">
        <is>
          <t>得分</t>
        </is>
      </c>
      <c r="E187" s="5" t="inlineStr">
        <is>
          <t>涨跌幅%</t>
        </is>
      </c>
      <c r="F187" s="5" t="inlineStr">
        <is>
          <t>成交额(亿)</t>
        </is>
      </c>
      <c r="G187" s="5" t="inlineStr">
        <is>
          <t>D1新高</t>
        </is>
      </c>
      <c r="H187" s="5" t="inlineStr">
        <is>
          <t>D2强势</t>
        </is>
      </c>
      <c r="I187" s="5" t="inlineStr">
        <is>
          <t>D3突破</t>
        </is>
      </c>
      <c r="J187" s="5" t="inlineStr">
        <is>
          <t>D4首板</t>
        </is>
      </c>
      <c r="K187" s="5" t="inlineStr">
        <is>
          <t>D5潜突</t>
        </is>
      </c>
      <c r="L187" s="5" t="inlineStr">
        <is>
          <t>D6连板</t>
        </is>
      </c>
      <c r="M187" s="5" t="inlineStr">
        <is>
          <t>D7一字</t>
        </is>
      </c>
      <c r="N187" s="5" t="inlineStr">
        <is>
          <t>D8活跃</t>
        </is>
      </c>
      <c r="O187" s="5" t="inlineStr">
        <is>
          <t>大成交额加分</t>
        </is>
      </c>
      <c r="P187" s="5" t="inlineStr">
        <is>
          <t>得分明细</t>
        </is>
      </c>
    </row>
    <row r="188">
      <c r="A188" t="n">
        <v>1</v>
      </c>
      <c r="B188" t="inlineStr">
        <is>
          <t>603823</t>
        </is>
      </c>
      <c r="C188" t="inlineStr">
        <is>
          <t>百合花</t>
        </is>
      </c>
      <c r="D188" t="n">
        <v>22</v>
      </c>
      <c r="E188" t="n">
        <v>5.7</v>
      </c>
      <c r="F188" t="n">
        <v>0</v>
      </c>
      <c r="G188" t="n">
        <v>8</v>
      </c>
      <c r="H188" t="n">
        <v>6</v>
      </c>
      <c r="I188" t="n">
        <v>5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0</v>
      </c>
      <c r="P188" t="inlineStr">
        <is>
          <t>D1新高=8,D2强势=6,D3突破=5,D4首板=0,D5潜突=0,D6连板=0,D7一字=0,D8活跃=3,bonus=0</t>
        </is>
      </c>
    </row>
    <row r="189">
      <c r="A189" t="n">
        <v>2</v>
      </c>
      <c r="B189" t="inlineStr">
        <is>
          <t>300905</t>
        </is>
      </c>
      <c r="C189" t="inlineStr">
        <is>
          <t>宝丽迪</t>
        </is>
      </c>
      <c r="D189" t="n">
        <v>0</v>
      </c>
      <c r="E189" t="n">
        <v>-1.27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inlineStr">
        <is>
          <t>D1新高=0,D2强势=0,D3突破=0,D4首板=0,D5潜突=0,D6连板=0,D7一字=0,D8活跃=0,bonus=0</t>
        </is>
      </c>
    </row>
    <row r="190">
      <c r="A190" t="n">
        <v>3</v>
      </c>
      <c r="B190" t="inlineStr">
        <is>
          <t>600800</t>
        </is>
      </c>
      <c r="C190" t="inlineStr">
        <is>
          <t>渤海化学</t>
        </is>
      </c>
      <c r="D190" t="n">
        <v>0</v>
      </c>
      <c r="E190" t="n">
        <v>-1.95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inlineStr">
        <is>
          <t>D1新高=0,D2强势=0,D3突破=0,D4首板=0,D5潜突=0,D6连板=0,D7一字=0,D8活跃=0,bonus=0</t>
        </is>
      </c>
    </row>
    <row r="191">
      <c r="A191" t="n">
        <v>4</v>
      </c>
      <c r="B191" t="inlineStr">
        <is>
          <t>688707</t>
        </is>
      </c>
      <c r="C191" t="inlineStr">
        <is>
          <t>振华新材</t>
        </is>
      </c>
      <c r="D191" t="n">
        <v>0</v>
      </c>
      <c r="E191" t="n">
        <v>-1.04</v>
      </c>
      <c r="F191" t="n">
        <v>0.11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D1新高=0,D2强势=0,D3突破=0,D4首板=0,D5潜突=0,D6连板=0,D7一字=0,D8活跃=0,bonus=0</t>
        </is>
      </c>
    </row>
    <row r="192"/>
    <row r="193">
      <c r="A193" s="4" t="inlineStr">
        <is>
          <t>--- 细分: 镧原料 ---</t>
        </is>
      </c>
    </row>
    <row r="194">
      <c r="A194" s="5" t="inlineStr">
        <is>
          <t>排名</t>
        </is>
      </c>
      <c r="B194" s="5" t="inlineStr">
        <is>
          <t>代码</t>
        </is>
      </c>
      <c r="C194" s="5" t="inlineStr">
        <is>
          <t>名称</t>
        </is>
      </c>
      <c r="D194" s="5" t="inlineStr">
        <is>
          <t>得分</t>
        </is>
      </c>
      <c r="E194" s="5" t="inlineStr">
        <is>
          <t>涨跌幅%</t>
        </is>
      </c>
      <c r="F194" s="5" t="inlineStr">
        <is>
          <t>成交额(亿)</t>
        </is>
      </c>
      <c r="G194" s="5" t="inlineStr">
        <is>
          <t>D1新高</t>
        </is>
      </c>
      <c r="H194" s="5" t="inlineStr">
        <is>
          <t>D2强势</t>
        </is>
      </c>
      <c r="I194" s="5" t="inlineStr">
        <is>
          <t>D3突破</t>
        </is>
      </c>
      <c r="J194" s="5" t="inlineStr">
        <is>
          <t>D4首板</t>
        </is>
      </c>
      <c r="K194" s="5" t="inlineStr">
        <is>
          <t>D5潜突</t>
        </is>
      </c>
      <c r="L194" s="5" t="inlineStr">
        <is>
          <t>D6连板</t>
        </is>
      </c>
      <c r="M194" s="5" t="inlineStr">
        <is>
          <t>D7一字</t>
        </is>
      </c>
      <c r="N194" s="5" t="inlineStr">
        <is>
          <t>D8活跃</t>
        </is>
      </c>
      <c r="O194" s="5" t="inlineStr">
        <is>
          <t>大成交额加分</t>
        </is>
      </c>
      <c r="P194" s="5" t="inlineStr">
        <is>
          <t>得分明细</t>
        </is>
      </c>
    </row>
    <row r="195">
      <c r="A195" t="n">
        <v>1</v>
      </c>
      <c r="B195" t="inlineStr">
        <is>
          <t>600392</t>
        </is>
      </c>
      <c r="C195" t="inlineStr">
        <is>
          <t>盛和资源</t>
        </is>
      </c>
      <c r="D195" t="n">
        <v>9</v>
      </c>
      <c r="E195" t="n">
        <v>-0.86</v>
      </c>
      <c r="F195" t="n">
        <v>0.03</v>
      </c>
      <c r="G195" t="n">
        <v>0</v>
      </c>
      <c r="H195" t="n">
        <v>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3</v>
      </c>
      <c r="O195" t="n">
        <v>0</v>
      </c>
      <c r="P195" t="inlineStr">
        <is>
          <t>D1新高=0,D2强势=6,D3突破=0,D4首板=0,D5潜突=0,D6连板=0,D7一字=0,D8活跃=3,bonus=0</t>
        </is>
      </c>
    </row>
    <row r="196">
      <c r="A196" t="n">
        <v>2</v>
      </c>
      <c r="B196" t="inlineStr">
        <is>
          <t>600111</t>
        </is>
      </c>
      <c r="C196" t="inlineStr">
        <is>
          <t>北方稀土</t>
        </is>
      </c>
      <c r="D196" t="n">
        <v>0</v>
      </c>
      <c r="E196" t="n">
        <v>-3.19</v>
      </c>
      <c r="F196" t="n">
        <v>0.01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inlineStr">
        <is>
          <t>D1新高=0,D2强势=0,D3突破=0,D4首板=0,D5潜突=0,D6连板=0,D7一字=0,D8活跃=0,bonus=0</t>
        </is>
      </c>
    </row>
    <row r="197"/>
    <row r="198">
      <c r="A198" s="4" t="inlineStr">
        <is>
          <t>--- 细分: 碳酸亚乙烯酯VC ---</t>
        </is>
      </c>
    </row>
    <row r="199">
      <c r="A199" s="5" t="inlineStr">
        <is>
          <t>排名</t>
        </is>
      </c>
      <c r="B199" s="5" t="inlineStr">
        <is>
          <t>代码</t>
        </is>
      </c>
      <c r="C199" s="5" t="inlineStr">
        <is>
          <t>名称</t>
        </is>
      </c>
      <c r="D199" s="5" t="inlineStr">
        <is>
          <t>得分</t>
        </is>
      </c>
      <c r="E199" s="5" t="inlineStr">
        <is>
          <t>涨跌幅%</t>
        </is>
      </c>
      <c r="F199" s="5" t="inlineStr">
        <is>
          <t>成交额(亿)</t>
        </is>
      </c>
      <c r="G199" s="5" t="inlineStr">
        <is>
          <t>D1新高</t>
        </is>
      </c>
      <c r="H199" s="5" t="inlineStr">
        <is>
          <t>D2强势</t>
        </is>
      </c>
      <c r="I199" s="5" t="inlineStr">
        <is>
          <t>D3突破</t>
        </is>
      </c>
      <c r="J199" s="5" t="inlineStr">
        <is>
          <t>D4首板</t>
        </is>
      </c>
      <c r="K199" s="5" t="inlineStr">
        <is>
          <t>D5潜突</t>
        </is>
      </c>
      <c r="L199" s="5" t="inlineStr">
        <is>
          <t>D6连板</t>
        </is>
      </c>
      <c r="M199" s="5" t="inlineStr">
        <is>
          <t>D7一字</t>
        </is>
      </c>
      <c r="N199" s="5" t="inlineStr">
        <is>
          <t>D8活跃</t>
        </is>
      </c>
      <c r="O199" s="5" t="inlineStr">
        <is>
          <t>大成交额加分</t>
        </is>
      </c>
      <c r="P199" s="5" t="inlineStr">
        <is>
          <t>得分明细</t>
        </is>
      </c>
    </row>
    <row r="200">
      <c r="A200" t="n">
        <v>3</v>
      </c>
      <c r="B200" t="inlineStr">
        <is>
          <t>300121</t>
        </is>
      </c>
      <c r="C200" t="inlineStr">
        <is>
          <t>阳谷华泰</t>
        </is>
      </c>
      <c r="D200" t="n">
        <v>5</v>
      </c>
      <c r="E200" t="n">
        <v>4.24</v>
      </c>
      <c r="F200" t="n">
        <v>0</v>
      </c>
      <c r="G200" t="n">
        <v>0</v>
      </c>
      <c r="H200" t="n">
        <v>0</v>
      </c>
      <c r="I200" t="n">
        <v>5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D1新高=0,D2强势=0,D3突破=5,D4首板=0,D5潜突=0,D6连板=0,D7一字=0,D8活跃=0,bonus=0</t>
        </is>
      </c>
    </row>
    <row r="201">
      <c r="A201" t="n">
        <v>4</v>
      </c>
      <c r="B201" t="inlineStr">
        <is>
          <t>688550</t>
        </is>
      </c>
      <c r="C201" t="inlineStr">
        <is>
          <t>瑞联新材</t>
        </is>
      </c>
      <c r="D201" t="n">
        <v>5</v>
      </c>
      <c r="E201" t="n">
        <v>7.32</v>
      </c>
      <c r="F201" t="n">
        <v>0.11</v>
      </c>
      <c r="G201" t="n">
        <v>0</v>
      </c>
      <c r="H201" t="n">
        <v>0</v>
      </c>
      <c r="I201" t="n">
        <v>5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inlineStr">
        <is>
          <t>D1新高=0,D2强势=0,D3突破=5,D4首板=0,D5潜突=0,D6连板=0,D7一字=0,D8活跃=0,bonus=0</t>
        </is>
      </c>
    </row>
    <row r="202">
      <c r="A202" t="n">
        <v>5</v>
      </c>
      <c r="B202" t="inlineStr">
        <is>
          <t>002453</t>
        </is>
      </c>
      <c r="C202" t="inlineStr">
        <is>
          <t>华软科技</t>
        </is>
      </c>
      <c r="D202" t="n">
        <v>0</v>
      </c>
      <c r="E202" t="n">
        <v>-3.24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inlineStr">
        <is>
          <t>D1新高=0,D2强势=0,D3突破=0,D4首板=0,D5潜突=0,D6连板=0,D7一字=0,D8活跃=0,bonus=0</t>
        </is>
      </c>
    </row>
    <row r="203">
      <c r="A203" t="n">
        <v>9</v>
      </c>
      <c r="B203" t="inlineStr">
        <is>
          <t>003022</t>
        </is>
      </c>
      <c r="C203" t="inlineStr">
        <is>
          <t>联泓新科</t>
        </is>
      </c>
      <c r="D203" t="n">
        <v>0</v>
      </c>
      <c r="E203" t="n">
        <v>0.07000000000000001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inlineStr">
        <is>
          <t>D1新高=0,D2强势=0,D3突破=0,D4首板=0,D5潜突=0,D6连板=0,D7一字=0,D8活跃=0,bonus=0</t>
        </is>
      </c>
    </row>
    <row r="204"/>
    <row r="205">
      <c r="A205" s="4" t="inlineStr">
        <is>
          <t>--- 细分: 三元材料 ---</t>
        </is>
      </c>
    </row>
    <row r="206">
      <c r="A206" s="5" t="inlineStr">
        <is>
          <t>排名</t>
        </is>
      </c>
      <c r="B206" s="5" t="inlineStr">
        <is>
          <t>代码</t>
        </is>
      </c>
      <c r="C206" s="5" t="inlineStr">
        <is>
          <t>名称</t>
        </is>
      </c>
      <c r="D206" s="5" t="inlineStr">
        <is>
          <t>得分</t>
        </is>
      </c>
      <c r="E206" s="5" t="inlineStr">
        <is>
          <t>涨跌幅%</t>
        </is>
      </c>
      <c r="F206" s="5" t="inlineStr">
        <is>
          <t>成交额(亿)</t>
        </is>
      </c>
      <c r="G206" s="5" t="inlineStr">
        <is>
          <t>D1新高</t>
        </is>
      </c>
      <c r="H206" s="5" t="inlineStr">
        <is>
          <t>D2强势</t>
        </is>
      </c>
      <c r="I206" s="5" t="inlineStr">
        <is>
          <t>D3突破</t>
        </is>
      </c>
      <c r="J206" s="5" t="inlineStr">
        <is>
          <t>D4首板</t>
        </is>
      </c>
      <c r="K206" s="5" t="inlineStr">
        <is>
          <t>D5潜突</t>
        </is>
      </c>
      <c r="L206" s="5" t="inlineStr">
        <is>
          <t>D6连板</t>
        </is>
      </c>
      <c r="M206" s="5" t="inlineStr">
        <is>
          <t>D7一字</t>
        </is>
      </c>
      <c r="N206" s="5" t="inlineStr">
        <is>
          <t>D8活跃</t>
        </is>
      </c>
      <c r="O206" s="5" t="inlineStr">
        <is>
          <t>大成交额加分</t>
        </is>
      </c>
      <c r="P206" s="5" t="inlineStr">
        <is>
          <t>得分明细</t>
        </is>
      </c>
    </row>
    <row r="207">
      <c r="A207" t="n">
        <v>1</v>
      </c>
      <c r="B207" t="inlineStr">
        <is>
          <t>002805</t>
        </is>
      </c>
      <c r="C207" t="inlineStr">
        <is>
          <t>丰元股份</t>
        </is>
      </c>
      <c r="D207" t="n">
        <v>17</v>
      </c>
      <c r="E207" t="n">
        <v>0.99</v>
      </c>
      <c r="F207" t="n">
        <v>0</v>
      </c>
      <c r="G207" t="n">
        <v>8</v>
      </c>
      <c r="H207" t="n">
        <v>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3</v>
      </c>
      <c r="O207" t="n">
        <v>0</v>
      </c>
      <c r="P207" t="inlineStr">
        <is>
          <t>D1新高=8,D2强势=6,D3突破=0,D4首板=0,D5潜突=0,D6连板=0,D7一字=0,D8活跃=3,bonus=0</t>
        </is>
      </c>
    </row>
    <row r="208">
      <c r="A208" t="n">
        <v>2</v>
      </c>
      <c r="B208" t="inlineStr">
        <is>
          <t>688005</t>
        </is>
      </c>
      <c r="C208" t="inlineStr">
        <is>
          <t>容百科技</t>
        </is>
      </c>
      <c r="D208" t="n">
        <v>0</v>
      </c>
      <c r="E208" t="n">
        <v>0.09</v>
      </c>
      <c r="F208" t="n">
        <v>0.2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inlineStr">
        <is>
          <t>D1新高=0,D2强势=0,D3突破=0,D4首板=0,D5潜突=0,D6连板=0,D7一字=0,D8活跃=0,bonus=0</t>
        </is>
      </c>
    </row>
    <row r="209">
      <c r="A209" t="n">
        <v>3</v>
      </c>
      <c r="B209" t="inlineStr">
        <is>
          <t>300073</t>
        </is>
      </c>
      <c r="C209" t="inlineStr">
        <is>
          <t>当升科技</t>
        </is>
      </c>
      <c r="D209" t="n">
        <v>0</v>
      </c>
      <c r="E209" t="n">
        <v>-1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inlineStr">
        <is>
          <t>D1新高=0,D2强势=0,D3突破=0,D4首板=0,D5潜突=0,D6连板=0,D7一字=0,D8活跃=0,bonus=0</t>
        </is>
      </c>
    </row>
    <row r="210">
      <c r="A210" t="n">
        <v>4</v>
      </c>
      <c r="B210" t="inlineStr">
        <is>
          <t>688779</t>
        </is>
      </c>
      <c r="C210" t="inlineStr">
        <is>
          <t>五矿新能</t>
        </is>
      </c>
      <c r="D210" t="n">
        <v>0</v>
      </c>
      <c r="E210" t="n">
        <v>-2.71</v>
      </c>
      <c r="F210" t="n">
        <v>0.33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inlineStr">
        <is>
          <t>D1新高=0,D2强势=0,D3突破=0,D4首板=0,D5潜突=0,D6连板=0,D7一字=0,D8活跃=0,bonus=0</t>
        </is>
      </c>
    </row>
    <row r="211"/>
    <row r="212">
      <c r="A212" s="4" t="inlineStr">
        <is>
          <t>--- 细分: 设备 ---</t>
        </is>
      </c>
    </row>
    <row r="213">
      <c r="A213" s="5" t="inlineStr">
        <is>
          <t>排名</t>
        </is>
      </c>
      <c r="B213" s="5" t="inlineStr">
        <is>
          <t>代码</t>
        </is>
      </c>
      <c r="C213" s="5" t="inlineStr">
        <is>
          <t>名称</t>
        </is>
      </c>
      <c r="D213" s="5" t="inlineStr">
        <is>
          <t>得分</t>
        </is>
      </c>
      <c r="E213" s="5" t="inlineStr">
        <is>
          <t>涨跌幅%</t>
        </is>
      </c>
      <c r="F213" s="5" t="inlineStr">
        <is>
          <t>成交额(亿)</t>
        </is>
      </c>
      <c r="G213" s="5" t="inlineStr">
        <is>
          <t>D1新高</t>
        </is>
      </c>
      <c r="H213" s="5" t="inlineStr">
        <is>
          <t>D2强势</t>
        </is>
      </c>
      <c r="I213" s="5" t="inlineStr">
        <is>
          <t>D3突破</t>
        </is>
      </c>
      <c r="J213" s="5" t="inlineStr">
        <is>
          <t>D4首板</t>
        </is>
      </c>
      <c r="K213" s="5" t="inlineStr">
        <is>
          <t>D5潜突</t>
        </is>
      </c>
      <c r="L213" s="5" t="inlineStr">
        <is>
          <t>D6连板</t>
        </is>
      </c>
      <c r="M213" s="5" t="inlineStr">
        <is>
          <t>D7一字</t>
        </is>
      </c>
      <c r="N213" s="5" t="inlineStr">
        <is>
          <t>D8活跃</t>
        </is>
      </c>
      <c r="O213" s="5" t="inlineStr">
        <is>
          <t>大成交额加分</t>
        </is>
      </c>
      <c r="P213" s="5" t="inlineStr">
        <is>
          <t>得分明细</t>
        </is>
      </c>
    </row>
    <row r="214">
      <c r="A214" t="n">
        <v>1</v>
      </c>
      <c r="B214" t="inlineStr">
        <is>
          <t>688392</t>
        </is>
      </c>
      <c r="C214" t="inlineStr">
        <is>
          <t>骄成超声</t>
        </is>
      </c>
      <c r="D214" t="n">
        <v>13</v>
      </c>
      <c r="E214" t="n">
        <v>4.14</v>
      </c>
      <c r="F214" t="n">
        <v>0.05</v>
      </c>
      <c r="G214" t="n">
        <v>8</v>
      </c>
      <c r="H214" t="n">
        <v>0</v>
      </c>
      <c r="I214" t="n">
        <v>5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inlineStr">
        <is>
          <t>D1新高=8,D2强势=0,D3突破=5,D4首板=0,D5潜突=0,D6连板=0,D7一字=0,D8活跃=0,bonus=0</t>
        </is>
      </c>
    </row>
    <row r="215">
      <c r="A215" t="n">
        <v>3</v>
      </c>
      <c r="B215" t="inlineStr">
        <is>
          <t>688700</t>
        </is>
      </c>
      <c r="C215" t="inlineStr">
        <is>
          <t>东威科技</t>
        </is>
      </c>
      <c r="D215" t="n">
        <v>11</v>
      </c>
      <c r="E215" t="n">
        <v>1.94</v>
      </c>
      <c r="F215" t="n">
        <v>0.16</v>
      </c>
      <c r="G215" t="n">
        <v>8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3</v>
      </c>
      <c r="O215" t="n">
        <v>0</v>
      </c>
      <c r="P215" t="inlineStr">
        <is>
          <t>D1新高=8,D2强势=0,D3突破=0,D4首板=0,D5潜突=0,D6连板=0,D7一字=0,D8活跃=3,bonus=0</t>
        </is>
      </c>
    </row>
    <row r="216">
      <c r="A216" t="n">
        <v>4</v>
      </c>
      <c r="B216" t="inlineStr">
        <is>
          <t>688499</t>
        </is>
      </c>
      <c r="C216" t="inlineStr">
        <is>
          <t>利元亨</t>
        </is>
      </c>
      <c r="D216" t="n">
        <v>5</v>
      </c>
      <c r="E216" t="n">
        <v>4.6</v>
      </c>
      <c r="F216" t="n">
        <v>0.1</v>
      </c>
      <c r="G216" t="n">
        <v>0</v>
      </c>
      <c r="H216" t="n">
        <v>0</v>
      </c>
      <c r="I216" t="n">
        <v>5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inlineStr">
        <is>
          <t>D1新高=0,D2强势=0,D3突破=5,D4首板=0,D5潜突=0,D6连板=0,D7一字=0,D8活跃=0,bonus=0</t>
        </is>
      </c>
    </row>
    <row r="217">
      <c r="A217" t="n">
        <v>5</v>
      </c>
      <c r="B217" t="inlineStr">
        <is>
          <t>603032</t>
        </is>
      </c>
      <c r="C217" t="inlineStr">
        <is>
          <t>德新科技</t>
        </is>
      </c>
      <c r="D217" t="n">
        <v>5</v>
      </c>
      <c r="E217" t="n">
        <v>4.55</v>
      </c>
      <c r="F217" t="n">
        <v>0</v>
      </c>
      <c r="G217" t="n">
        <v>0</v>
      </c>
      <c r="H217" t="n">
        <v>0</v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inlineStr">
        <is>
          <t>D1新高=0,D2强势=0,D3突破=5,D4首板=0,D5潜突=0,D6连板=0,D7一字=0,D8活跃=0,bonus=0</t>
        </is>
      </c>
    </row>
    <row r="218">
      <c r="A218" t="n">
        <v>6</v>
      </c>
      <c r="B218" t="inlineStr">
        <is>
          <t>603800</t>
        </is>
      </c>
      <c r="C218" t="inlineStr">
        <is>
          <t>洪田股份</t>
        </is>
      </c>
      <c r="D218" t="n">
        <v>3</v>
      </c>
      <c r="E218" t="n">
        <v>0.91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3</v>
      </c>
      <c r="O218" t="n">
        <v>0</v>
      </c>
      <c r="P218" t="inlineStr">
        <is>
          <t>D1新高=0,D2强势=0,D3突破=0,D4首板=0,D5潜突=0,D6连板=0,D7一字=0,D8活跃=3,bonus=0</t>
        </is>
      </c>
    </row>
    <row r="219">
      <c r="A219" t="n">
        <v>7</v>
      </c>
      <c r="B219" t="inlineStr">
        <is>
          <t>300450</t>
        </is>
      </c>
      <c r="C219" t="inlineStr">
        <is>
          <t>先导智能</t>
        </is>
      </c>
      <c r="D219" t="n">
        <v>3</v>
      </c>
      <c r="E219" t="n">
        <v>-2.57</v>
      </c>
      <c r="F219" t="n">
        <v>0.01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3</v>
      </c>
      <c r="O219" t="n">
        <v>0</v>
      </c>
      <c r="P219" t="inlineStr">
        <is>
          <t>D1新高=0,D2强势=0,D3突破=0,D4首板=0,D5潜突=0,D6连板=0,D7一字=0,D8活跃=3,bonus=0</t>
        </is>
      </c>
    </row>
    <row r="220">
      <c r="A220" t="n">
        <v>8</v>
      </c>
      <c r="B220" t="inlineStr">
        <is>
          <t>300953</t>
        </is>
      </c>
      <c r="C220" t="inlineStr">
        <is>
          <t>震裕科技</t>
        </is>
      </c>
      <c r="D220" t="n">
        <v>0</v>
      </c>
      <c r="E220" t="n">
        <v>0.92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inlineStr">
        <is>
          <t>D1新高=0,D2强势=0,D3突破=0,D4首板=0,D5潜突=0,D6连板=0,D7一字=0,D8活跃=0,bonus=0</t>
        </is>
      </c>
    </row>
    <row r="221">
      <c r="A221" t="n">
        <v>12</v>
      </c>
      <c r="B221" t="inlineStr">
        <is>
          <t>688518</t>
        </is>
      </c>
      <c r="C221" t="inlineStr">
        <is>
          <t>联赢激光</t>
        </is>
      </c>
      <c r="D221" t="n">
        <v>0</v>
      </c>
      <c r="E221" t="n">
        <v>1.56</v>
      </c>
      <c r="F221" t="n">
        <v>0.21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inlineStr">
        <is>
          <t>D1新高=0,D2强势=0,D3突破=0,D4首板=0,D5潜突=0,D6连板=0,D7一字=0,D8活跃=0,bonus=0</t>
        </is>
      </c>
    </row>
    <row r="222"/>
    <row r="223">
      <c r="A223" s="4" t="inlineStr">
        <is>
          <t>--- 细分: 结构件 ---</t>
        </is>
      </c>
    </row>
    <row r="224">
      <c r="A224" s="5" t="inlineStr">
        <is>
          <t>排名</t>
        </is>
      </c>
      <c r="B224" s="5" t="inlineStr">
        <is>
          <t>代码</t>
        </is>
      </c>
      <c r="C224" s="5" t="inlineStr">
        <is>
          <t>名称</t>
        </is>
      </c>
      <c r="D224" s="5" t="inlineStr">
        <is>
          <t>得分</t>
        </is>
      </c>
      <c r="E224" s="5" t="inlineStr">
        <is>
          <t>涨跌幅%</t>
        </is>
      </c>
      <c r="F224" s="5" t="inlineStr">
        <is>
          <t>成交额(亿)</t>
        </is>
      </c>
      <c r="G224" s="5" t="inlineStr">
        <is>
          <t>D1新高</t>
        </is>
      </c>
      <c r="H224" s="5" t="inlineStr">
        <is>
          <t>D2强势</t>
        </is>
      </c>
      <c r="I224" s="5" t="inlineStr">
        <is>
          <t>D3突破</t>
        </is>
      </c>
      <c r="J224" s="5" t="inlineStr">
        <is>
          <t>D4首板</t>
        </is>
      </c>
      <c r="K224" s="5" t="inlineStr">
        <is>
          <t>D5潜突</t>
        </is>
      </c>
      <c r="L224" s="5" t="inlineStr">
        <is>
          <t>D6连板</t>
        </is>
      </c>
      <c r="M224" s="5" t="inlineStr">
        <is>
          <t>D7一字</t>
        </is>
      </c>
      <c r="N224" s="5" t="inlineStr">
        <is>
          <t>D8活跃</t>
        </is>
      </c>
      <c r="O224" s="5" t="inlineStr">
        <is>
          <t>大成交额加分</t>
        </is>
      </c>
      <c r="P224" s="5" t="inlineStr">
        <is>
          <t>得分明细</t>
        </is>
      </c>
    </row>
    <row r="225">
      <c r="A225" t="n">
        <v>1</v>
      </c>
      <c r="B225" t="inlineStr">
        <is>
          <t>002850</t>
        </is>
      </c>
      <c r="C225" t="inlineStr">
        <is>
          <t>科达利</t>
        </is>
      </c>
      <c r="D225" t="n">
        <v>8</v>
      </c>
      <c r="E225" t="n">
        <v>0.41</v>
      </c>
      <c r="F225" t="n">
        <v>0</v>
      </c>
      <c r="G225" t="n">
        <v>8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inlineStr">
        <is>
          <t>D1新高=8,D2强势=0,D3突破=0,D4首板=0,D5潜突=0,D6连板=0,D7一字=0,D8活跃=0,bonus=0</t>
        </is>
      </c>
    </row>
    <row r="226"/>
    <row r="227">
      <c r="A227" s="4" t="inlineStr">
        <is>
          <t>--- 细分: 隔膜设备 ---</t>
        </is>
      </c>
    </row>
    <row r="228">
      <c r="A228" s="5" t="inlineStr">
        <is>
          <t>排名</t>
        </is>
      </c>
      <c r="B228" s="5" t="inlineStr">
        <is>
          <t>代码</t>
        </is>
      </c>
      <c r="C228" s="5" t="inlineStr">
        <is>
          <t>名称</t>
        </is>
      </c>
      <c r="D228" s="5" t="inlineStr">
        <is>
          <t>得分</t>
        </is>
      </c>
      <c r="E228" s="5" t="inlineStr">
        <is>
          <t>涨跌幅%</t>
        </is>
      </c>
      <c r="F228" s="5" t="inlineStr">
        <is>
          <t>成交额(亿)</t>
        </is>
      </c>
      <c r="G228" s="5" t="inlineStr">
        <is>
          <t>D1新高</t>
        </is>
      </c>
      <c r="H228" s="5" t="inlineStr">
        <is>
          <t>D2强势</t>
        </is>
      </c>
      <c r="I228" s="5" t="inlineStr">
        <is>
          <t>D3突破</t>
        </is>
      </c>
      <c r="J228" s="5" t="inlineStr">
        <is>
          <t>D4首板</t>
        </is>
      </c>
      <c r="K228" s="5" t="inlineStr">
        <is>
          <t>D5潜突</t>
        </is>
      </c>
      <c r="L228" s="5" t="inlineStr">
        <is>
          <t>D6连板</t>
        </is>
      </c>
      <c r="M228" s="5" t="inlineStr">
        <is>
          <t>D7一字</t>
        </is>
      </c>
      <c r="N228" s="5" t="inlineStr">
        <is>
          <t>D8活跃</t>
        </is>
      </c>
      <c r="O228" s="5" t="inlineStr">
        <is>
          <t>大成交额加分</t>
        </is>
      </c>
      <c r="P228" s="5" t="inlineStr">
        <is>
          <t>得分明细</t>
        </is>
      </c>
    </row>
    <row r="229">
      <c r="A229" t="n">
        <v>1</v>
      </c>
      <c r="B229" t="inlineStr">
        <is>
          <t>001223</t>
        </is>
      </c>
      <c r="C229" t="inlineStr">
        <is>
          <t>欧克科技</t>
        </is>
      </c>
      <c r="D229" t="n">
        <v>8</v>
      </c>
      <c r="E229" t="n">
        <v>10</v>
      </c>
      <c r="F229" t="n">
        <v>0</v>
      </c>
      <c r="G229" t="n">
        <v>0</v>
      </c>
      <c r="H229" t="n">
        <v>0</v>
      </c>
      <c r="I229" t="n">
        <v>5</v>
      </c>
      <c r="J229" t="n">
        <v>3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inlineStr">
        <is>
          <t>D1新高=0,D2强势=0,D3突破=5,D4首板=3,D5潜突=0,D6连板=0,D7一字=0,D8活跃=0,bonus=0</t>
        </is>
      </c>
    </row>
    <row r="230">
      <c r="A230" t="n">
        <v>2</v>
      </c>
      <c r="B230" t="inlineStr">
        <is>
          <t>300281</t>
        </is>
      </c>
      <c r="C230" t="inlineStr">
        <is>
          <t>金明精机</t>
        </is>
      </c>
      <c r="D230" t="n">
        <v>0</v>
      </c>
      <c r="E230" t="n">
        <v>-6.54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inlineStr">
        <is>
          <t>D1新高=0,D2强势=0,D3突破=0,D4首板=0,D5潜突=0,D6连板=0,D7一字=0,D8活跃=0,bonus=0</t>
        </is>
      </c>
    </row>
    <row r="231"/>
    <row r="232">
      <c r="A232" s="4" t="inlineStr">
        <is>
          <t>--- 细分: 氟代碳酸乙烯酯FEC ---</t>
        </is>
      </c>
    </row>
    <row r="233">
      <c r="A233" s="5" t="inlineStr">
        <is>
          <t>排名</t>
        </is>
      </c>
      <c r="B233" s="5" t="inlineStr">
        <is>
          <t>代码</t>
        </is>
      </c>
      <c r="C233" s="5" t="inlineStr">
        <is>
          <t>名称</t>
        </is>
      </c>
      <c r="D233" s="5" t="inlineStr">
        <is>
          <t>得分</t>
        </is>
      </c>
      <c r="E233" s="5" t="inlineStr">
        <is>
          <t>涨跌幅%</t>
        </is>
      </c>
      <c r="F233" s="5" t="inlineStr">
        <is>
          <t>成交额(亿)</t>
        </is>
      </c>
      <c r="G233" s="5" t="inlineStr">
        <is>
          <t>D1新高</t>
        </is>
      </c>
      <c r="H233" s="5" t="inlineStr">
        <is>
          <t>D2强势</t>
        </is>
      </c>
      <c r="I233" s="5" t="inlineStr">
        <is>
          <t>D3突破</t>
        </is>
      </c>
      <c r="J233" s="5" t="inlineStr">
        <is>
          <t>D4首板</t>
        </is>
      </c>
      <c r="K233" s="5" t="inlineStr">
        <is>
          <t>D5潜突</t>
        </is>
      </c>
      <c r="L233" s="5" t="inlineStr">
        <is>
          <t>D6连板</t>
        </is>
      </c>
      <c r="M233" s="5" t="inlineStr">
        <is>
          <t>D7一字</t>
        </is>
      </c>
      <c r="N233" s="5" t="inlineStr">
        <is>
          <t>D8活跃</t>
        </is>
      </c>
      <c r="O233" s="5" t="inlineStr">
        <is>
          <t>大成交额加分</t>
        </is>
      </c>
      <c r="P233" s="5" t="inlineStr">
        <is>
          <t>得分明细</t>
        </is>
      </c>
    </row>
    <row r="234">
      <c r="A234" t="n">
        <v>1</v>
      </c>
      <c r="B234" t="inlineStr">
        <is>
          <t>002083</t>
        </is>
      </c>
      <c r="C234" t="inlineStr">
        <is>
          <t>孚日股份</t>
        </is>
      </c>
      <c r="D234" t="n">
        <v>19</v>
      </c>
      <c r="E234" t="n">
        <v>7.88</v>
      </c>
      <c r="F234" t="n">
        <v>0.01</v>
      </c>
      <c r="G234" t="n">
        <v>8</v>
      </c>
      <c r="H234" t="n">
        <v>6</v>
      </c>
      <c r="I234" t="n">
        <v>5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inlineStr">
        <is>
          <t>D1新高=8,D2强势=6,D3突破=5,D4首板=0,D5潜突=0,D6连板=0,D7一字=0,D8活跃=0,bonus=0</t>
        </is>
      </c>
    </row>
    <row r="235"/>
    <row r="236">
      <c r="A236" s="4" t="inlineStr">
        <is>
          <t>--- 细分: 双氟磺酰亚胺锂LiFSI ---</t>
        </is>
      </c>
    </row>
    <row r="237">
      <c r="A237" s="5" t="inlineStr">
        <is>
          <t>排名</t>
        </is>
      </c>
      <c r="B237" s="5" t="inlineStr">
        <is>
          <t>代码</t>
        </is>
      </c>
      <c r="C237" s="5" t="inlineStr">
        <is>
          <t>名称</t>
        </is>
      </c>
      <c r="D237" s="5" t="inlineStr">
        <is>
          <t>得分</t>
        </is>
      </c>
      <c r="E237" s="5" t="inlineStr">
        <is>
          <t>涨跌幅%</t>
        </is>
      </c>
      <c r="F237" s="5" t="inlineStr">
        <is>
          <t>成交额(亿)</t>
        </is>
      </c>
      <c r="G237" s="5" t="inlineStr">
        <is>
          <t>D1新高</t>
        </is>
      </c>
      <c r="H237" s="5" t="inlineStr">
        <is>
          <t>D2强势</t>
        </is>
      </c>
      <c r="I237" s="5" t="inlineStr">
        <is>
          <t>D3突破</t>
        </is>
      </c>
      <c r="J237" s="5" t="inlineStr">
        <is>
          <t>D4首板</t>
        </is>
      </c>
      <c r="K237" s="5" t="inlineStr">
        <is>
          <t>D5潜突</t>
        </is>
      </c>
      <c r="L237" s="5" t="inlineStr">
        <is>
          <t>D6连板</t>
        </is>
      </c>
      <c r="M237" s="5" t="inlineStr">
        <is>
          <t>D7一字</t>
        </is>
      </c>
      <c r="N237" s="5" t="inlineStr">
        <is>
          <t>D8活跃</t>
        </is>
      </c>
      <c r="O237" s="5" t="inlineStr">
        <is>
          <t>大成交额加分</t>
        </is>
      </c>
      <c r="P237" s="5" t="inlineStr">
        <is>
          <t>得分明细</t>
        </is>
      </c>
    </row>
    <row r="238">
      <c r="A238" t="n">
        <v>2</v>
      </c>
      <c r="B238" t="inlineStr">
        <is>
          <t>002734</t>
        </is>
      </c>
      <c r="C238" t="inlineStr">
        <is>
          <t>利民股份</t>
        </is>
      </c>
      <c r="D238" t="n">
        <v>3</v>
      </c>
      <c r="E238" t="n">
        <v>0.49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3</v>
      </c>
      <c r="O238" t="n">
        <v>0</v>
      </c>
      <c r="P238" t="inlineStr">
        <is>
          <t>D1新高=0,D2强势=0,D3突破=0,D4首板=0,D5潜突=0,D6连板=0,D7一字=0,D8活跃=3,bonus=0</t>
        </is>
      </c>
    </row>
    <row r="239">
      <c r="A239" t="n">
        <v>3</v>
      </c>
      <c r="B239" t="inlineStr">
        <is>
          <t>002597</t>
        </is>
      </c>
      <c r="C239" t="inlineStr">
        <is>
          <t>金禾实业</t>
        </is>
      </c>
      <c r="D239" t="n">
        <v>3</v>
      </c>
      <c r="E239" t="n">
        <v>-0.19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3</v>
      </c>
      <c r="O239" t="n">
        <v>0</v>
      </c>
      <c r="P239" t="inlineStr">
        <is>
          <t>D1新高=0,D2强势=0,D3突破=0,D4首板=0,D5潜突=0,D6连板=0,D7一字=0,D8活跃=3,bonus=0</t>
        </is>
      </c>
    </row>
    <row r="240">
      <c r="A240" t="n">
        <v>5</v>
      </c>
      <c r="B240" t="inlineStr">
        <is>
          <t>000790</t>
        </is>
      </c>
      <c r="C240" t="inlineStr">
        <is>
          <t>华神科技</t>
        </is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inlineStr">
        <is>
          <t>D1新高=0,D2强势=0,D3突破=0,D4首板=0,D5潜突=0,D6连板=0,D7一字=0,D8活跃=0,bonus=0</t>
        </is>
      </c>
    </row>
    <row r="241">
      <c r="A241" t="n">
        <v>7</v>
      </c>
      <c r="B241" t="inlineStr">
        <is>
          <t>688602</t>
        </is>
      </c>
      <c r="C241" t="inlineStr">
        <is>
          <t>康鹏科技</t>
        </is>
      </c>
      <c r="D241" t="n">
        <v>0</v>
      </c>
      <c r="E241" t="n">
        <v>-2.09</v>
      </c>
      <c r="F241" t="n">
        <v>0.11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inlineStr">
        <is>
          <t>D1新高=0,D2强势=0,D3突破=0,D4首板=0,D5潜突=0,D6连板=0,D7一字=0,D8活跃=0,bonus=0</t>
        </is>
      </c>
    </row>
    <row r="242"/>
    <row r="243">
      <c r="A243" s="4" t="inlineStr">
        <is>
          <t>--- 细分: 硅碳负极 ---</t>
        </is>
      </c>
    </row>
    <row r="244">
      <c r="A244" s="5" t="inlineStr">
        <is>
          <t>排名</t>
        </is>
      </c>
      <c r="B244" s="5" t="inlineStr">
        <is>
          <t>代码</t>
        </is>
      </c>
      <c r="C244" s="5" t="inlineStr">
        <is>
          <t>名称</t>
        </is>
      </c>
      <c r="D244" s="5" t="inlineStr">
        <is>
          <t>得分</t>
        </is>
      </c>
      <c r="E244" s="5" t="inlineStr">
        <is>
          <t>涨跌幅%</t>
        </is>
      </c>
      <c r="F244" s="5" t="inlineStr">
        <is>
          <t>成交额(亿)</t>
        </is>
      </c>
      <c r="G244" s="5" t="inlineStr">
        <is>
          <t>D1新高</t>
        </is>
      </c>
      <c r="H244" s="5" t="inlineStr">
        <is>
          <t>D2强势</t>
        </is>
      </c>
      <c r="I244" s="5" t="inlineStr">
        <is>
          <t>D3突破</t>
        </is>
      </c>
      <c r="J244" s="5" t="inlineStr">
        <is>
          <t>D4首板</t>
        </is>
      </c>
      <c r="K244" s="5" t="inlineStr">
        <is>
          <t>D5潜突</t>
        </is>
      </c>
      <c r="L244" s="5" t="inlineStr">
        <is>
          <t>D6连板</t>
        </is>
      </c>
      <c r="M244" s="5" t="inlineStr">
        <is>
          <t>D7一字</t>
        </is>
      </c>
      <c r="N244" s="5" t="inlineStr">
        <is>
          <t>D8活跃</t>
        </is>
      </c>
      <c r="O244" s="5" t="inlineStr">
        <is>
          <t>大成交额加分</t>
        </is>
      </c>
      <c r="P244" s="5" t="inlineStr">
        <is>
          <t>得分明细</t>
        </is>
      </c>
    </row>
    <row r="245">
      <c r="A245" t="n">
        <v>2</v>
      </c>
      <c r="B245" t="inlineStr">
        <is>
          <t>600596</t>
        </is>
      </c>
      <c r="C245" t="inlineStr">
        <is>
          <t>新安股份</t>
        </is>
      </c>
      <c r="D245" t="n">
        <v>11</v>
      </c>
      <c r="E245" t="n">
        <v>0.5</v>
      </c>
      <c r="F245" t="n">
        <v>0.01</v>
      </c>
      <c r="G245" t="n">
        <v>8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3</v>
      </c>
      <c r="O245" t="n">
        <v>0</v>
      </c>
      <c r="P245" t="inlineStr">
        <is>
          <t>D1新高=8,D2强势=0,D3突破=0,D4首板=0,D5潜突=0,D6连板=0,D7一字=0,D8活跃=3,bonus=0</t>
        </is>
      </c>
    </row>
    <row r="246">
      <c r="A246" t="n">
        <v>3</v>
      </c>
      <c r="B246" t="inlineStr">
        <is>
          <t>000695</t>
        </is>
      </c>
      <c r="C246" t="inlineStr">
        <is>
          <t>滨海能源</t>
        </is>
      </c>
      <c r="D246" t="n">
        <v>8</v>
      </c>
      <c r="E246" t="n">
        <v>10.04</v>
      </c>
      <c r="F246" t="n">
        <v>0</v>
      </c>
      <c r="G246" t="n">
        <v>0</v>
      </c>
      <c r="H246" t="n">
        <v>0</v>
      </c>
      <c r="I246" t="n">
        <v>5</v>
      </c>
      <c r="J246" t="n">
        <v>3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inlineStr">
        <is>
          <t>D1新高=0,D2强势=0,D3突破=5,D4首板=3,D5潜突=0,D6连板=0,D7一字=0,D8活跃=0,bonus=0</t>
        </is>
      </c>
    </row>
    <row r="247">
      <c r="A247" t="n">
        <v>4</v>
      </c>
      <c r="B247" t="inlineStr">
        <is>
          <t>600499</t>
        </is>
      </c>
      <c r="C247" t="inlineStr">
        <is>
          <t>科达制造</t>
        </is>
      </c>
      <c r="D247" t="n">
        <v>0</v>
      </c>
      <c r="E247" t="n">
        <v>-1.51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inlineStr">
        <is>
          <t>D1新高=0,D2强势=0,D3突破=0,D4首板=0,D5潜突=0,D6连板=0,D7一字=0,D8活跃=0,bonus=0</t>
        </is>
      </c>
    </row>
    <row r="248">
      <c r="A248" t="n">
        <v>5</v>
      </c>
      <c r="B248" t="inlineStr">
        <is>
          <t>002392</t>
        </is>
      </c>
      <c r="C248" t="inlineStr">
        <is>
          <t>北京利尔</t>
        </is>
      </c>
      <c r="D248" t="n">
        <v>0</v>
      </c>
      <c r="E248" t="n">
        <v>-0.99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inlineStr">
        <is>
          <t>D1新高=0,D2强势=0,D3突破=0,D4首板=0,D5潜突=0,D6连板=0,D7一字=0,D8活跃=0,bonus=0</t>
        </is>
      </c>
    </row>
    <row r="249">
      <c r="A249" t="n">
        <v>6</v>
      </c>
      <c r="B249" t="inlineStr">
        <is>
          <t>001301</t>
        </is>
      </c>
      <c r="C249" t="inlineStr">
        <is>
          <t>尚太科技</t>
        </is>
      </c>
      <c r="D249" t="n">
        <v>0</v>
      </c>
      <c r="E249" t="n">
        <v>-1.41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inlineStr">
        <is>
          <t>D1新高=0,D2强势=0,D3突破=0,D4首板=0,D5潜突=0,D6连板=0,D7一字=0,D8活跃=0,bonus=0</t>
        </is>
      </c>
    </row>
    <row r="250">
      <c r="A250" t="n">
        <v>7</v>
      </c>
      <c r="B250" t="inlineStr">
        <is>
          <t>300035</t>
        </is>
      </c>
      <c r="C250" t="inlineStr">
        <is>
          <t>中科电气</t>
        </is>
      </c>
      <c r="D250" t="n">
        <v>0</v>
      </c>
      <c r="E250" t="n">
        <v>-2.16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inlineStr">
        <is>
          <t>D1新高=0,D2强势=0,D3突破=0,D4首板=0,D5潜突=0,D6连板=0,D7一字=0,D8活跃=0,bonus=0</t>
        </is>
      </c>
    </row>
    <row r="251">
      <c r="A251" t="n">
        <v>8</v>
      </c>
      <c r="B251" t="inlineStr">
        <is>
          <t>000009</t>
        </is>
      </c>
      <c r="C251" t="inlineStr">
        <is>
          <t>中国宝安</t>
        </is>
      </c>
      <c r="D251" t="n">
        <v>0</v>
      </c>
      <c r="E251" t="n">
        <v>-1.27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inlineStr">
        <is>
          <t>D1新高=0,D2强势=0,D3突破=0,D4首板=0,D5潜突=0,D6连板=0,D7一字=0,D8活跃=0,bonus=0</t>
        </is>
      </c>
    </row>
    <row r="252"/>
    <row r="253">
      <c r="A253" s="4" t="inlineStr">
        <is>
          <t>--- 细分: 锰矿 ---</t>
        </is>
      </c>
    </row>
    <row r="254">
      <c r="A254" s="5" t="inlineStr">
        <is>
          <t>排名</t>
        </is>
      </c>
      <c r="B254" s="5" t="inlineStr">
        <is>
          <t>代码</t>
        </is>
      </c>
      <c r="C254" s="5" t="inlineStr">
        <is>
          <t>名称</t>
        </is>
      </c>
      <c r="D254" s="5" t="inlineStr">
        <is>
          <t>得分</t>
        </is>
      </c>
      <c r="E254" s="5" t="inlineStr">
        <is>
          <t>涨跌幅%</t>
        </is>
      </c>
      <c r="F254" s="5" t="inlineStr">
        <is>
          <t>成交额(亿)</t>
        </is>
      </c>
      <c r="G254" s="5" t="inlineStr">
        <is>
          <t>D1新高</t>
        </is>
      </c>
      <c r="H254" s="5" t="inlineStr">
        <is>
          <t>D2强势</t>
        </is>
      </c>
      <c r="I254" s="5" t="inlineStr">
        <is>
          <t>D3突破</t>
        </is>
      </c>
      <c r="J254" s="5" t="inlineStr">
        <is>
          <t>D4首板</t>
        </is>
      </c>
      <c r="K254" s="5" t="inlineStr">
        <is>
          <t>D5潜突</t>
        </is>
      </c>
      <c r="L254" s="5" t="inlineStr">
        <is>
          <t>D6连板</t>
        </is>
      </c>
      <c r="M254" s="5" t="inlineStr">
        <is>
          <t>D7一字</t>
        </is>
      </c>
      <c r="N254" s="5" t="inlineStr">
        <is>
          <t>D8活跃</t>
        </is>
      </c>
      <c r="O254" s="5" t="inlineStr">
        <is>
          <t>大成交额加分</t>
        </is>
      </c>
      <c r="P254" s="5" t="inlineStr">
        <is>
          <t>得分明细</t>
        </is>
      </c>
    </row>
    <row r="255">
      <c r="A255" t="n">
        <v>1</v>
      </c>
      <c r="B255" t="inlineStr">
        <is>
          <t>600367</t>
        </is>
      </c>
      <c r="C255" t="inlineStr">
        <is>
          <t>红星发展</t>
        </is>
      </c>
      <c r="D255" t="n">
        <v>11</v>
      </c>
      <c r="E255" t="n">
        <v>1.01</v>
      </c>
      <c r="F255" t="n">
        <v>0.01</v>
      </c>
      <c r="G255" t="n">
        <v>8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3</v>
      </c>
      <c r="O255" t="n">
        <v>0</v>
      </c>
      <c r="P255" t="inlineStr">
        <is>
          <t>D1新高=8,D2强势=0,D3突破=0,D4首板=0,D5潜突=0,D6连板=0,D7一字=0,D8活跃=3,bonus=0</t>
        </is>
      </c>
    </row>
    <row r="256">
      <c r="A256" t="n">
        <v>2</v>
      </c>
      <c r="B256" t="inlineStr">
        <is>
          <t>600116</t>
        </is>
      </c>
      <c r="C256" t="inlineStr">
        <is>
          <t>三峡水利</t>
        </is>
      </c>
      <c r="D256" t="n">
        <v>0</v>
      </c>
      <c r="E256" t="n">
        <v>-0.8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inlineStr">
        <is>
          <t>D1新高=0,D2强势=0,D3突破=0,D4首板=0,D5潜突=0,D6连板=0,D7一字=0,D8活跃=0,bonus=0</t>
        </is>
      </c>
    </row>
    <row r="257">
      <c r="A257" t="n">
        <v>3</v>
      </c>
      <c r="B257" t="inlineStr">
        <is>
          <t>601069</t>
        </is>
      </c>
      <c r="C257" t="inlineStr">
        <is>
          <t>西部黄金</t>
        </is>
      </c>
      <c r="D257" t="n">
        <v>0</v>
      </c>
      <c r="E257" t="n">
        <v>0.59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inlineStr">
        <is>
          <t>D1新高=0,D2强势=0,D3突破=0,D4首板=0,D5潜突=0,D6连板=0,D7一字=0,D8活跃=0,bonus=0</t>
        </is>
      </c>
    </row>
    <row r="258"/>
    <row r="259">
      <c r="A259" s="4" t="inlineStr">
        <is>
          <t>--- 细分: 锗 ---</t>
        </is>
      </c>
    </row>
    <row r="260">
      <c r="A260" s="5" t="inlineStr">
        <is>
          <t>排名</t>
        </is>
      </c>
      <c r="B260" s="5" t="inlineStr">
        <is>
          <t>代码</t>
        </is>
      </c>
      <c r="C260" s="5" t="inlineStr">
        <is>
          <t>名称</t>
        </is>
      </c>
      <c r="D260" s="5" t="inlineStr">
        <is>
          <t>得分</t>
        </is>
      </c>
      <c r="E260" s="5" t="inlineStr">
        <is>
          <t>涨跌幅%</t>
        </is>
      </c>
      <c r="F260" s="5" t="inlineStr">
        <is>
          <t>成交额(亿)</t>
        </is>
      </c>
      <c r="G260" s="5" t="inlineStr">
        <is>
          <t>D1新高</t>
        </is>
      </c>
      <c r="H260" s="5" t="inlineStr">
        <is>
          <t>D2强势</t>
        </is>
      </c>
      <c r="I260" s="5" t="inlineStr">
        <is>
          <t>D3突破</t>
        </is>
      </c>
      <c r="J260" s="5" t="inlineStr">
        <is>
          <t>D4首板</t>
        </is>
      </c>
      <c r="K260" s="5" t="inlineStr">
        <is>
          <t>D5潜突</t>
        </is>
      </c>
      <c r="L260" s="5" t="inlineStr">
        <is>
          <t>D6连板</t>
        </is>
      </c>
      <c r="M260" s="5" t="inlineStr">
        <is>
          <t>D7一字</t>
        </is>
      </c>
      <c r="N260" s="5" t="inlineStr">
        <is>
          <t>D8活跃</t>
        </is>
      </c>
      <c r="O260" s="5" t="inlineStr">
        <is>
          <t>大成交额加分</t>
        </is>
      </c>
      <c r="P260" s="5" t="inlineStr">
        <is>
          <t>得分明细</t>
        </is>
      </c>
    </row>
    <row r="261">
      <c r="A261" t="n">
        <v>1</v>
      </c>
      <c r="B261" t="inlineStr">
        <is>
          <t>002428</t>
        </is>
      </c>
      <c r="C261" t="inlineStr">
        <is>
          <t>云南锗业</t>
        </is>
      </c>
      <c r="D261" t="n">
        <v>3</v>
      </c>
      <c r="E261" t="n">
        <v>-1.92</v>
      </c>
      <c r="F261" t="n">
        <v>0.01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3</v>
      </c>
      <c r="O261" t="n">
        <v>0</v>
      </c>
      <c r="P261" t="inlineStr">
        <is>
          <t>D1新高=0,D2强势=0,D3突破=0,D4首板=0,D5潜突=0,D6连板=0,D7一字=0,D8活跃=3,bonus=0</t>
        </is>
      </c>
    </row>
    <row r="262"/>
    <row r="263">
      <c r="A263" s="4" t="inlineStr">
        <is>
          <t>--- 细分: 富锂锰基正极 ---</t>
        </is>
      </c>
    </row>
    <row r="264">
      <c r="A264" s="5" t="inlineStr">
        <is>
          <t>排名</t>
        </is>
      </c>
      <c r="B264" s="5" t="inlineStr">
        <is>
          <t>代码</t>
        </is>
      </c>
      <c r="C264" s="5" t="inlineStr">
        <is>
          <t>名称</t>
        </is>
      </c>
      <c r="D264" s="5" t="inlineStr">
        <is>
          <t>得分</t>
        </is>
      </c>
      <c r="E264" s="5" t="inlineStr">
        <is>
          <t>涨跌幅%</t>
        </is>
      </c>
      <c r="F264" s="5" t="inlineStr">
        <is>
          <t>成交额(亿)</t>
        </is>
      </c>
      <c r="G264" s="5" t="inlineStr">
        <is>
          <t>D1新高</t>
        </is>
      </c>
      <c r="H264" s="5" t="inlineStr">
        <is>
          <t>D2强势</t>
        </is>
      </c>
      <c r="I264" s="5" t="inlineStr">
        <is>
          <t>D3突破</t>
        </is>
      </c>
      <c r="J264" s="5" t="inlineStr">
        <is>
          <t>D4首板</t>
        </is>
      </c>
      <c r="K264" s="5" t="inlineStr">
        <is>
          <t>D5潜突</t>
        </is>
      </c>
      <c r="L264" s="5" t="inlineStr">
        <is>
          <t>D6连板</t>
        </is>
      </c>
      <c r="M264" s="5" t="inlineStr">
        <is>
          <t>D7一字</t>
        </is>
      </c>
      <c r="N264" s="5" t="inlineStr">
        <is>
          <t>D8活跃</t>
        </is>
      </c>
      <c r="O264" s="5" t="inlineStr">
        <is>
          <t>大成交额加分</t>
        </is>
      </c>
      <c r="P264" s="5" t="inlineStr">
        <is>
          <t>得分明细</t>
        </is>
      </c>
    </row>
    <row r="265">
      <c r="A265" t="n">
        <v>1</v>
      </c>
      <c r="B265" t="inlineStr">
        <is>
          <t>002125</t>
        </is>
      </c>
      <c r="C265" t="inlineStr">
        <is>
          <t>湘潭电化</t>
        </is>
      </c>
      <c r="D265" t="n">
        <v>3</v>
      </c>
      <c r="E265" t="n">
        <v>-3.97</v>
      </c>
      <c r="F265" t="n">
        <v>0.01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3</v>
      </c>
      <c r="O265" t="n">
        <v>0</v>
      </c>
      <c r="P265" t="inlineStr">
        <is>
          <t>D1新高=0,D2强势=0,D3突破=0,D4首板=0,D5潜突=0,D6连板=0,D7一字=0,D8活跃=3,bonus=0</t>
        </is>
      </c>
    </row>
    <row r="266"/>
    <row r="267">
      <c r="A267" s="4" t="inlineStr">
        <is>
          <t>--- 细分: 硅碳负极 ---</t>
        </is>
      </c>
    </row>
    <row r="268">
      <c r="A268" s="5" t="inlineStr">
        <is>
          <t>排名</t>
        </is>
      </c>
      <c r="B268" s="5" t="inlineStr">
        <is>
          <t>代码</t>
        </is>
      </c>
      <c r="C268" s="5" t="inlineStr">
        <is>
          <t>名称</t>
        </is>
      </c>
      <c r="D268" s="5" t="inlineStr">
        <is>
          <t>得分</t>
        </is>
      </c>
      <c r="E268" s="5" t="inlineStr">
        <is>
          <t>涨跌幅%</t>
        </is>
      </c>
      <c r="F268" s="5" t="inlineStr">
        <is>
          <t>成交额(亿)</t>
        </is>
      </c>
      <c r="G268" s="5" t="inlineStr">
        <is>
          <t>D1新高</t>
        </is>
      </c>
      <c r="H268" s="5" t="inlineStr">
        <is>
          <t>D2强势</t>
        </is>
      </c>
      <c r="I268" s="5" t="inlineStr">
        <is>
          <t>D3突破</t>
        </is>
      </c>
      <c r="J268" s="5" t="inlineStr">
        <is>
          <t>D4首板</t>
        </is>
      </c>
      <c r="K268" s="5" t="inlineStr">
        <is>
          <t>D5潜突</t>
        </is>
      </c>
      <c r="L268" s="5" t="inlineStr">
        <is>
          <t>D6连板</t>
        </is>
      </c>
      <c r="M268" s="5" t="inlineStr">
        <is>
          <t>D7一字</t>
        </is>
      </c>
      <c r="N268" s="5" t="inlineStr">
        <is>
          <t>D8活跃</t>
        </is>
      </c>
      <c r="O268" s="5" t="inlineStr">
        <is>
          <t>大成交额加分</t>
        </is>
      </c>
      <c r="P268" s="5" t="inlineStr">
        <is>
          <t>得分明细</t>
        </is>
      </c>
    </row>
    <row r="269">
      <c r="A269" t="n">
        <v>1</v>
      </c>
      <c r="B269" t="inlineStr">
        <is>
          <t>002882</t>
        </is>
      </c>
      <c r="C269" t="inlineStr">
        <is>
          <t>金龙羽</t>
        </is>
      </c>
      <c r="D269" t="n">
        <v>3</v>
      </c>
      <c r="E269" t="n">
        <v>-1.63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3</v>
      </c>
      <c r="O269" t="n">
        <v>0</v>
      </c>
      <c r="P269" t="inlineStr">
        <is>
          <t>D1新高=0,D2强势=0,D3突破=0,D4首板=0,D5潜突=0,D6连板=0,D7一字=0,D8活跃=3,bonus=0</t>
        </is>
      </c>
    </row>
    <row r="270"/>
    <row r="271">
      <c r="A271" s="4" t="inlineStr">
        <is>
          <t>--- 细分: 干法隔膜 ---</t>
        </is>
      </c>
    </row>
    <row r="272">
      <c r="A272" s="5" t="inlineStr">
        <is>
          <t>排名</t>
        </is>
      </c>
      <c r="B272" s="5" t="inlineStr">
        <is>
          <t>代码</t>
        </is>
      </c>
      <c r="C272" s="5" t="inlineStr">
        <is>
          <t>名称</t>
        </is>
      </c>
      <c r="D272" s="5" t="inlineStr">
        <is>
          <t>得分</t>
        </is>
      </c>
      <c r="E272" s="5" t="inlineStr">
        <is>
          <t>涨跌幅%</t>
        </is>
      </c>
      <c r="F272" s="5" t="inlineStr">
        <is>
          <t>成交额(亿)</t>
        </is>
      </c>
      <c r="G272" s="5" t="inlineStr">
        <is>
          <t>D1新高</t>
        </is>
      </c>
      <c r="H272" s="5" t="inlineStr">
        <is>
          <t>D2强势</t>
        </is>
      </c>
      <c r="I272" s="5" t="inlineStr">
        <is>
          <t>D3突破</t>
        </is>
      </c>
      <c r="J272" s="5" t="inlineStr">
        <is>
          <t>D4首板</t>
        </is>
      </c>
      <c r="K272" s="5" t="inlineStr">
        <is>
          <t>D5潜突</t>
        </is>
      </c>
      <c r="L272" s="5" t="inlineStr">
        <is>
          <t>D6连板</t>
        </is>
      </c>
      <c r="M272" s="5" t="inlineStr">
        <is>
          <t>D7一字</t>
        </is>
      </c>
      <c r="N272" s="5" t="inlineStr">
        <is>
          <t>D8活跃</t>
        </is>
      </c>
      <c r="O272" s="5" t="inlineStr">
        <is>
          <t>大成交额加分</t>
        </is>
      </c>
      <c r="P272" s="5" t="inlineStr">
        <is>
          <t>得分明细</t>
        </is>
      </c>
    </row>
    <row r="273">
      <c r="A273" t="n">
        <v>3</v>
      </c>
      <c r="B273" t="inlineStr">
        <is>
          <t>601515</t>
        </is>
      </c>
      <c r="C273" t="inlineStr">
        <is>
          <t>衢州东峰</t>
        </is>
      </c>
      <c r="D273" t="n">
        <v>0</v>
      </c>
      <c r="E273" t="n">
        <v>1.02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inlineStr">
        <is>
          <t>D1新高=0,D2强势=0,D3突破=0,D4首板=0,D5潜突=0,D6连板=0,D7一字=0,D8活跃=0,bonus=0</t>
        </is>
      </c>
    </row>
    <row r="274">
      <c r="A274" t="n">
        <v>4</v>
      </c>
      <c r="B274" t="inlineStr">
        <is>
          <t>002108</t>
        </is>
      </c>
      <c r="C274" t="inlineStr">
        <is>
          <t>沧州明珠</t>
        </is>
      </c>
      <c r="D274" t="n">
        <v>0</v>
      </c>
      <c r="E274" t="n">
        <v>-2.67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inlineStr">
        <is>
          <t>D1新高=0,D2强势=0,D3突破=0,D4首板=0,D5潜突=0,D6连板=0,D7一字=0,D8活跃=0,bonus=0</t>
        </is>
      </c>
    </row>
    <row r="275"/>
    <row r="276">
      <c r="A276" s="4" t="inlineStr">
        <is>
          <t>--- 细分: 磷酸铁锂 ---</t>
        </is>
      </c>
    </row>
    <row r="277">
      <c r="A277" s="5" t="inlineStr">
        <is>
          <t>排名</t>
        </is>
      </c>
      <c r="B277" s="5" t="inlineStr">
        <is>
          <t>代码</t>
        </is>
      </c>
      <c r="C277" s="5" t="inlineStr">
        <is>
          <t>名称</t>
        </is>
      </c>
      <c r="D277" s="5" t="inlineStr">
        <is>
          <t>得分</t>
        </is>
      </c>
      <c r="E277" s="5" t="inlineStr">
        <is>
          <t>涨跌幅%</t>
        </is>
      </c>
      <c r="F277" s="5" t="inlineStr">
        <is>
          <t>成交额(亿)</t>
        </is>
      </c>
      <c r="G277" s="5" t="inlineStr">
        <is>
          <t>D1新高</t>
        </is>
      </c>
      <c r="H277" s="5" t="inlineStr">
        <is>
          <t>D2强势</t>
        </is>
      </c>
      <c r="I277" s="5" t="inlineStr">
        <is>
          <t>D3突破</t>
        </is>
      </c>
      <c r="J277" s="5" t="inlineStr">
        <is>
          <t>D4首板</t>
        </is>
      </c>
      <c r="K277" s="5" t="inlineStr">
        <is>
          <t>D5潜突</t>
        </is>
      </c>
      <c r="L277" s="5" t="inlineStr">
        <is>
          <t>D6连板</t>
        </is>
      </c>
      <c r="M277" s="5" t="inlineStr">
        <is>
          <t>D7一字</t>
        </is>
      </c>
      <c r="N277" s="5" t="inlineStr">
        <is>
          <t>D8活跃</t>
        </is>
      </c>
      <c r="O277" s="5" t="inlineStr">
        <is>
          <t>大成交额加分</t>
        </is>
      </c>
      <c r="P277" s="5" t="inlineStr">
        <is>
          <t>得分明细</t>
        </is>
      </c>
    </row>
    <row r="278">
      <c r="A278" t="n">
        <v>2</v>
      </c>
      <c r="B278" t="inlineStr">
        <is>
          <t>301358</t>
        </is>
      </c>
      <c r="C278" t="inlineStr">
        <is>
          <t>湖南裕能</t>
        </is>
      </c>
      <c r="D278" t="n">
        <v>0</v>
      </c>
      <c r="E278" t="n">
        <v>0.73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inlineStr">
        <is>
          <t>D1新高=0,D2强势=0,D3突破=0,D4首板=0,D5潜突=0,D6连板=0,D7一字=0,D8活跃=0,bonus=0</t>
        </is>
      </c>
    </row>
    <row r="279">
      <c r="A279" t="n">
        <v>3</v>
      </c>
      <c r="B279" t="inlineStr">
        <is>
          <t>300769</t>
        </is>
      </c>
      <c r="C279" t="inlineStr">
        <is>
          <t>德方纳米</t>
        </is>
      </c>
      <c r="D279" t="n">
        <v>0</v>
      </c>
      <c r="E279" t="n">
        <v>-0.2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inlineStr">
        <is>
          <t>D1新高=0,D2强势=0,D3突破=0,D4首板=0,D5潜突=0,D6连板=0,D7一字=0,D8活跃=0,bonus=0</t>
        </is>
      </c>
    </row>
    <row r="280">
      <c r="A280" t="n">
        <v>4</v>
      </c>
      <c r="B280" t="inlineStr">
        <is>
          <t>300432</t>
        </is>
      </c>
      <c r="C280" t="inlineStr">
        <is>
          <t>富临精工</t>
        </is>
      </c>
      <c r="D280" t="n">
        <v>0</v>
      </c>
      <c r="E280" t="n">
        <v>-1.1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inlineStr">
        <is>
          <t>D1新高=0,D2强势=0,D3突破=0,D4首板=0,D5潜突=0,D6连板=0,D7一字=0,D8活跃=0,bonus=0</t>
        </is>
      </c>
    </row>
    <row r="281">
      <c r="A281" t="n">
        <v>5</v>
      </c>
      <c r="B281" t="inlineStr">
        <is>
          <t>603906</t>
        </is>
      </c>
      <c r="C281" t="inlineStr">
        <is>
          <t>龙蟠科技</t>
        </is>
      </c>
      <c r="D281" t="n">
        <v>0</v>
      </c>
      <c r="E281" t="n">
        <v>-2.99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inlineStr">
        <is>
          <t>D1新高=0,D2强势=0,D3突破=0,D4首板=0,D5潜突=0,D6连板=0,D7一字=0,D8活跃=0,bonus=0</t>
        </is>
      </c>
    </row>
    <row r="282">
      <c r="A282" t="n">
        <v>6</v>
      </c>
      <c r="B282" t="inlineStr">
        <is>
          <t>002074</t>
        </is>
      </c>
      <c r="C282" t="inlineStr">
        <is>
          <t>国轩高科</t>
        </is>
      </c>
      <c r="D282" t="n">
        <v>0</v>
      </c>
      <c r="E282" t="n">
        <v>-0.5600000000000001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inlineStr">
        <is>
          <t>D1新高=0,D2强势=0,D3突破=0,D4首板=0,D5潜突=0,D6连板=0,D7一字=0,D8活跃=0,bonus=0</t>
        </is>
      </c>
    </row>
    <row r="283">
      <c r="A283" t="n">
        <v>7</v>
      </c>
      <c r="B283" t="inlineStr">
        <is>
          <t>688275</t>
        </is>
      </c>
      <c r="C283" t="inlineStr">
        <is>
          <t>万润新能</t>
        </is>
      </c>
      <c r="D283" t="n">
        <v>0</v>
      </c>
      <c r="E283" t="n">
        <v>2.53</v>
      </c>
      <c r="F283" t="n">
        <v>0.04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inlineStr">
        <is>
          <t>D1新高=0,D2强势=0,D3突破=0,D4首板=0,D5潜突=0,D6连板=0,D7一字=0,D8活跃=0,bonus=0</t>
        </is>
      </c>
    </row>
    <row r="284"/>
    <row r="285">
      <c r="A285" s="4" t="inlineStr">
        <is>
          <t>--- 细分: 硫铁矿 ---</t>
        </is>
      </c>
    </row>
    <row r="286">
      <c r="A286" s="5" t="inlineStr">
        <is>
          <t>排名</t>
        </is>
      </c>
      <c r="B286" s="5" t="inlineStr">
        <is>
          <t>代码</t>
        </is>
      </c>
      <c r="C286" s="5" t="inlineStr">
        <is>
          <t>名称</t>
        </is>
      </c>
      <c r="D286" s="5" t="inlineStr">
        <is>
          <t>得分</t>
        </is>
      </c>
      <c r="E286" s="5" t="inlineStr">
        <is>
          <t>涨跌幅%</t>
        </is>
      </c>
      <c r="F286" s="5" t="inlineStr">
        <is>
          <t>成交额(亿)</t>
        </is>
      </c>
      <c r="G286" s="5" t="inlineStr">
        <is>
          <t>D1新高</t>
        </is>
      </c>
      <c r="H286" s="5" t="inlineStr">
        <is>
          <t>D2强势</t>
        </is>
      </c>
      <c r="I286" s="5" t="inlineStr">
        <is>
          <t>D3突破</t>
        </is>
      </c>
      <c r="J286" s="5" t="inlineStr">
        <is>
          <t>D4首板</t>
        </is>
      </c>
      <c r="K286" s="5" t="inlineStr">
        <is>
          <t>D5潜突</t>
        </is>
      </c>
      <c r="L286" s="5" t="inlineStr">
        <is>
          <t>D6连板</t>
        </is>
      </c>
      <c r="M286" s="5" t="inlineStr">
        <is>
          <t>D7一字</t>
        </is>
      </c>
      <c r="N286" s="5" t="inlineStr">
        <is>
          <t>D8活跃</t>
        </is>
      </c>
      <c r="O286" s="5" t="inlineStr">
        <is>
          <t>大成交额加分</t>
        </is>
      </c>
      <c r="P286" s="5" t="inlineStr">
        <is>
          <t>得分明细</t>
        </is>
      </c>
    </row>
    <row r="287">
      <c r="A287" t="n">
        <v>1</v>
      </c>
      <c r="B287" t="inlineStr">
        <is>
          <t>000833</t>
        </is>
      </c>
      <c r="C287" t="inlineStr">
        <is>
          <t>粤桂股份</t>
        </is>
      </c>
      <c r="D287" t="n">
        <v>3</v>
      </c>
      <c r="E287" t="n">
        <v>-4.57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3</v>
      </c>
      <c r="O287" t="n">
        <v>0</v>
      </c>
      <c r="P287" t="inlineStr">
        <is>
          <t>D1新高=0,D2强势=0,D3突破=0,D4首板=0,D5潜突=0,D6连板=0,D7一字=0,D8活跃=3,bonus=0</t>
        </is>
      </c>
    </row>
    <row r="288">
      <c r="A288" t="n">
        <v>2</v>
      </c>
      <c r="B288" t="inlineStr">
        <is>
          <t>600470</t>
        </is>
      </c>
      <c r="C288" t="inlineStr">
        <is>
          <t>六国化工</t>
        </is>
      </c>
      <c r="D288" t="n">
        <v>3</v>
      </c>
      <c r="E288" t="n">
        <v>-5.77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3</v>
      </c>
      <c r="O288" t="n">
        <v>0</v>
      </c>
      <c r="P288" t="inlineStr">
        <is>
          <t>D1新高=0,D2强势=0,D3突破=0,D4首板=0,D5潜突=0,D6连板=0,D7一字=0,D8活跃=3,bonus=0</t>
        </is>
      </c>
    </row>
    <row r="289">
      <c r="A289" t="n">
        <v>3</v>
      </c>
      <c r="B289" t="inlineStr">
        <is>
          <t>000688</t>
        </is>
      </c>
      <c r="C289" t="inlineStr">
        <is>
          <t>国城矿业</t>
        </is>
      </c>
      <c r="D289" t="n">
        <v>3</v>
      </c>
      <c r="E289" t="n">
        <v>-2.32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3</v>
      </c>
      <c r="O289" t="n">
        <v>0</v>
      </c>
      <c r="P289" t="inlineStr">
        <is>
          <t>D1新高=0,D2强势=0,D3突破=0,D4首板=0,D5潜突=0,D6连板=0,D7一字=0,D8活跃=3,bonus=0</t>
        </is>
      </c>
    </row>
    <row r="290">
      <c r="A290" t="n">
        <v>4</v>
      </c>
      <c r="B290" t="inlineStr">
        <is>
          <t>600309</t>
        </is>
      </c>
      <c r="C290" t="inlineStr">
        <is>
          <t>万华化学</t>
        </is>
      </c>
      <c r="D290" t="n">
        <v>0</v>
      </c>
      <c r="E290" t="n">
        <v>1.03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inlineStr">
        <is>
          <t>D1新高=0,D2强势=0,D3突破=0,D4首板=0,D5潜突=0,D6连板=0,D7一字=0,D8活跃=0,bonus=0</t>
        </is>
      </c>
    </row>
    <row r="291"/>
    <row r="292">
      <c r="A292" s="4" t="inlineStr">
        <is>
          <t>--- 细分: 铝塑膜 ---</t>
        </is>
      </c>
    </row>
    <row r="293">
      <c r="A293" s="5" t="inlineStr">
        <is>
          <t>排名</t>
        </is>
      </c>
      <c r="B293" s="5" t="inlineStr">
        <is>
          <t>代码</t>
        </is>
      </c>
      <c r="C293" s="5" t="inlineStr">
        <is>
          <t>名称</t>
        </is>
      </c>
      <c r="D293" s="5" t="inlineStr">
        <is>
          <t>得分</t>
        </is>
      </c>
      <c r="E293" s="5" t="inlineStr">
        <is>
          <t>涨跌幅%</t>
        </is>
      </c>
      <c r="F293" s="5" t="inlineStr">
        <is>
          <t>成交额(亿)</t>
        </is>
      </c>
      <c r="G293" s="5" t="inlineStr">
        <is>
          <t>D1新高</t>
        </is>
      </c>
      <c r="H293" s="5" t="inlineStr">
        <is>
          <t>D2强势</t>
        </is>
      </c>
      <c r="I293" s="5" t="inlineStr">
        <is>
          <t>D3突破</t>
        </is>
      </c>
      <c r="J293" s="5" t="inlineStr">
        <is>
          <t>D4首板</t>
        </is>
      </c>
      <c r="K293" s="5" t="inlineStr">
        <is>
          <t>D5潜突</t>
        </is>
      </c>
      <c r="L293" s="5" t="inlineStr">
        <is>
          <t>D6连板</t>
        </is>
      </c>
      <c r="M293" s="5" t="inlineStr">
        <is>
          <t>D7一字</t>
        </is>
      </c>
      <c r="N293" s="5" t="inlineStr">
        <is>
          <t>D8活跃</t>
        </is>
      </c>
      <c r="O293" s="5" t="inlineStr">
        <is>
          <t>大成交额加分</t>
        </is>
      </c>
      <c r="P293" s="5" t="inlineStr">
        <is>
          <t>得分明细</t>
        </is>
      </c>
    </row>
    <row r="294">
      <c r="A294" t="n">
        <v>1</v>
      </c>
      <c r="B294" t="inlineStr">
        <is>
          <t>002263</t>
        </is>
      </c>
      <c r="C294" t="inlineStr">
        <is>
          <t>大东南</t>
        </is>
      </c>
      <c r="D294" t="n">
        <v>11</v>
      </c>
      <c r="E294" t="n">
        <v>2.34</v>
      </c>
      <c r="F294" t="n">
        <v>0.03</v>
      </c>
      <c r="G294" t="n">
        <v>8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3</v>
      </c>
      <c r="O294" t="n">
        <v>0</v>
      </c>
      <c r="P294" t="inlineStr">
        <is>
          <t>D1新高=8,D2强势=0,D3突破=0,D4首板=0,D5潜突=0,D6连板=0,D7一字=0,D8活跃=3,bonus=0</t>
        </is>
      </c>
    </row>
    <row r="295">
      <c r="A295" t="n">
        <v>2</v>
      </c>
      <c r="B295" t="inlineStr">
        <is>
          <t>688560</t>
        </is>
      </c>
      <c r="C295" t="inlineStr">
        <is>
          <t>明冠新材</t>
        </is>
      </c>
      <c r="D295" t="n">
        <v>0</v>
      </c>
      <c r="E295" t="n">
        <v>-2.01</v>
      </c>
      <c r="F295" t="n">
        <v>0.04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inlineStr">
        <is>
          <t>D1新高=0,D2强势=0,D3突破=0,D4首板=0,D5潜突=0,D6连板=0,D7一字=0,D8活跃=0,bonus=0</t>
        </is>
      </c>
    </row>
    <row r="296">
      <c r="A296" t="n">
        <v>3</v>
      </c>
      <c r="B296" t="inlineStr">
        <is>
          <t>600210</t>
        </is>
      </c>
      <c r="C296" t="inlineStr">
        <is>
          <t>紫江企业</t>
        </is>
      </c>
      <c r="D296" t="n">
        <v>0</v>
      </c>
      <c r="E296" t="n">
        <v>-0.6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inlineStr">
        <is>
          <t>D1新高=0,D2强势=0,D3突破=0,D4首板=0,D5潜突=0,D6连板=0,D7一字=0,D8活跃=0,bonus=0</t>
        </is>
      </c>
    </row>
    <row r="297">
      <c r="A297" t="n">
        <v>4</v>
      </c>
      <c r="B297" t="inlineStr">
        <is>
          <t>300501</t>
        </is>
      </c>
      <c r="C297" t="inlineStr">
        <is>
          <t>海顺新材</t>
        </is>
      </c>
      <c r="D297" t="n">
        <v>0</v>
      </c>
      <c r="E297" t="n">
        <v>0.7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inlineStr">
        <is>
          <t>D1新高=0,D2强势=0,D3突破=0,D4首板=0,D5潜突=0,D6连板=0,D7一字=0,D8活跃=0,bonus=0</t>
        </is>
      </c>
    </row>
    <row r="298">
      <c r="A298" t="n">
        <v>5</v>
      </c>
      <c r="B298" t="inlineStr">
        <is>
          <t>002632</t>
        </is>
      </c>
      <c r="C298" t="inlineStr">
        <is>
          <t>道明光学</t>
        </is>
      </c>
      <c r="D298" t="n">
        <v>0</v>
      </c>
      <c r="E298" t="n">
        <v>-1.09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D1新高=0,D2强势=0,D3突破=0,D4首板=0,D5潜突=0,D6连板=0,D7一字=0,D8活跃=0,bonus=0</t>
        </is>
      </c>
    </row>
    <row r="299"/>
    <row r="300">
      <c r="A300" s="4" t="inlineStr">
        <is>
          <t>--- 细分: 铝箔 ---</t>
        </is>
      </c>
    </row>
    <row r="301">
      <c r="A301" s="5" t="inlineStr">
        <is>
          <t>排名</t>
        </is>
      </c>
      <c r="B301" s="5" t="inlineStr">
        <is>
          <t>代码</t>
        </is>
      </c>
      <c r="C301" s="5" t="inlineStr">
        <is>
          <t>名称</t>
        </is>
      </c>
      <c r="D301" s="5" t="inlineStr">
        <is>
          <t>得分</t>
        </is>
      </c>
      <c r="E301" s="5" t="inlineStr">
        <is>
          <t>涨跌幅%</t>
        </is>
      </c>
      <c r="F301" s="5" t="inlineStr">
        <is>
          <t>成交额(亿)</t>
        </is>
      </c>
      <c r="G301" s="5" t="inlineStr">
        <is>
          <t>D1新高</t>
        </is>
      </c>
      <c r="H301" s="5" t="inlineStr">
        <is>
          <t>D2强势</t>
        </is>
      </c>
      <c r="I301" s="5" t="inlineStr">
        <is>
          <t>D3突破</t>
        </is>
      </c>
      <c r="J301" s="5" t="inlineStr">
        <is>
          <t>D4首板</t>
        </is>
      </c>
      <c r="K301" s="5" t="inlineStr">
        <is>
          <t>D5潜突</t>
        </is>
      </c>
      <c r="L301" s="5" t="inlineStr">
        <is>
          <t>D6连板</t>
        </is>
      </c>
      <c r="M301" s="5" t="inlineStr">
        <is>
          <t>D7一字</t>
        </is>
      </c>
      <c r="N301" s="5" t="inlineStr">
        <is>
          <t>D8活跃</t>
        </is>
      </c>
      <c r="O301" s="5" t="inlineStr">
        <is>
          <t>大成交额加分</t>
        </is>
      </c>
      <c r="P301" s="5" t="inlineStr">
        <is>
          <t>得分明细</t>
        </is>
      </c>
    </row>
    <row r="302">
      <c r="A302" t="n">
        <v>1</v>
      </c>
      <c r="B302" t="inlineStr">
        <is>
          <t>600673</t>
        </is>
      </c>
      <c r="C302" t="inlineStr">
        <is>
          <t>东阳光</t>
        </is>
      </c>
      <c r="D302" t="n">
        <v>11</v>
      </c>
      <c r="E302" t="n">
        <v>9.99</v>
      </c>
      <c r="F302" t="n">
        <v>0.01</v>
      </c>
      <c r="G302" t="n">
        <v>0</v>
      </c>
      <c r="H302" t="n">
        <v>0</v>
      </c>
      <c r="I302" t="n">
        <v>5</v>
      </c>
      <c r="J302" t="n">
        <v>3</v>
      </c>
      <c r="K302" t="n">
        <v>0</v>
      </c>
      <c r="L302" t="n">
        <v>0</v>
      </c>
      <c r="M302" t="n">
        <v>0</v>
      </c>
      <c r="N302" t="n">
        <v>3</v>
      </c>
      <c r="O302" t="n">
        <v>0</v>
      </c>
      <c r="P302" t="inlineStr">
        <is>
          <t>D1新高=0,D2强势=0,D3突破=5,D4首板=3,D5潜突=0,D6连板=0,D7一字=0,D8活跃=3,bonus=0</t>
        </is>
      </c>
    </row>
    <row r="303">
      <c r="A303" t="n">
        <v>2</v>
      </c>
      <c r="B303" t="inlineStr">
        <is>
          <t>600219</t>
        </is>
      </c>
      <c r="C303" t="inlineStr">
        <is>
          <t>南山铝业</t>
        </is>
      </c>
      <c r="D303" t="n">
        <v>0</v>
      </c>
      <c r="E303" t="n">
        <v>-1.28</v>
      </c>
      <c r="F303" t="n">
        <v>0.01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inlineStr">
        <is>
          <t>D1新高=0,D2强势=0,D3突破=0,D4首板=0,D5潜突=0,D6连板=0,D7一字=0,D8活跃=0,bonus=0</t>
        </is>
      </c>
    </row>
    <row r="304">
      <c r="A304" t="n">
        <v>3</v>
      </c>
      <c r="B304" t="inlineStr">
        <is>
          <t>603876</t>
        </is>
      </c>
      <c r="C304" t="inlineStr">
        <is>
          <t>鼎胜新材</t>
        </is>
      </c>
      <c r="D304" t="n">
        <v>0</v>
      </c>
      <c r="E304" t="n">
        <v>-2.54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inlineStr">
        <is>
          <t>D1新高=0,D2强势=0,D3突破=0,D4首板=0,D5潜突=0,D6连板=0,D7一字=0,D8活跃=0,bonus=0</t>
        </is>
      </c>
    </row>
    <row r="305">
      <c r="A305" t="n">
        <v>4</v>
      </c>
      <c r="B305" t="inlineStr">
        <is>
          <t>300057</t>
        </is>
      </c>
      <c r="C305" t="inlineStr">
        <is>
          <t>万顺新材</t>
        </is>
      </c>
      <c r="D305" t="n">
        <v>0</v>
      </c>
      <c r="E305" t="n">
        <v>-0.75</v>
      </c>
      <c r="F305" t="n">
        <v>0.01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inlineStr">
        <is>
          <t>D1新高=0,D2强势=0,D3突破=0,D4首板=0,D5潜突=0,D6连板=0,D7一字=0,D8活跃=0,bonus=0</t>
        </is>
      </c>
    </row>
    <row r="306">
      <c r="A306" t="n">
        <v>5</v>
      </c>
      <c r="B306" t="inlineStr">
        <is>
          <t>000933</t>
        </is>
      </c>
      <c r="C306" t="inlineStr">
        <is>
          <t>神火股份</t>
        </is>
      </c>
      <c r="D306" t="n">
        <v>0</v>
      </c>
      <c r="E306" t="n">
        <v>-1.45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inlineStr">
        <is>
          <t>D1新高=0,D2强势=0,D3突破=0,D4首板=0,D5潜突=0,D6连板=0,D7一字=0,D8活跃=0,bonus=0</t>
        </is>
      </c>
    </row>
    <row r="307">
      <c r="A307" t="n">
        <v>6</v>
      </c>
      <c r="B307" t="inlineStr">
        <is>
          <t>000807</t>
        </is>
      </c>
      <c r="C307" t="inlineStr">
        <is>
          <t>云铝股份</t>
        </is>
      </c>
      <c r="D307" t="n">
        <v>0</v>
      </c>
      <c r="E307" t="n">
        <v>-1.5</v>
      </c>
      <c r="F307" t="n">
        <v>0.01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inlineStr">
        <is>
          <t>D1新高=0,D2强势=0,D3突破=0,D4首板=0,D5潜突=0,D6连板=0,D7一字=0,D8活跃=0,bonus=0</t>
        </is>
      </c>
    </row>
    <row r="308"/>
    <row r="309">
      <c r="A309" s="4" t="inlineStr">
        <is>
          <t>--- 细分: 锂辉石提锂 ---</t>
        </is>
      </c>
    </row>
    <row r="310">
      <c r="A310" s="5" t="inlineStr">
        <is>
          <t>排名</t>
        </is>
      </c>
      <c r="B310" s="5" t="inlineStr">
        <is>
          <t>代码</t>
        </is>
      </c>
      <c r="C310" s="5" t="inlineStr">
        <is>
          <t>名称</t>
        </is>
      </c>
      <c r="D310" s="5" t="inlineStr">
        <is>
          <t>得分</t>
        </is>
      </c>
      <c r="E310" s="5" t="inlineStr">
        <is>
          <t>涨跌幅%</t>
        </is>
      </c>
      <c r="F310" s="5" t="inlineStr">
        <is>
          <t>成交额(亿)</t>
        </is>
      </c>
      <c r="G310" s="5" t="inlineStr">
        <is>
          <t>D1新高</t>
        </is>
      </c>
      <c r="H310" s="5" t="inlineStr">
        <is>
          <t>D2强势</t>
        </is>
      </c>
      <c r="I310" s="5" t="inlineStr">
        <is>
          <t>D3突破</t>
        </is>
      </c>
      <c r="J310" s="5" t="inlineStr">
        <is>
          <t>D4首板</t>
        </is>
      </c>
      <c r="K310" s="5" t="inlineStr">
        <is>
          <t>D5潜突</t>
        </is>
      </c>
      <c r="L310" s="5" t="inlineStr">
        <is>
          <t>D6连板</t>
        </is>
      </c>
      <c r="M310" s="5" t="inlineStr">
        <is>
          <t>D7一字</t>
        </is>
      </c>
      <c r="N310" s="5" t="inlineStr">
        <is>
          <t>D8活跃</t>
        </is>
      </c>
      <c r="O310" s="5" t="inlineStr">
        <is>
          <t>大成交额加分</t>
        </is>
      </c>
      <c r="P310" s="5" t="inlineStr">
        <is>
          <t>得分明细</t>
        </is>
      </c>
    </row>
    <row r="311">
      <c r="A311" t="n">
        <v>1</v>
      </c>
      <c r="B311" t="inlineStr">
        <is>
          <t>002192</t>
        </is>
      </c>
      <c r="C311" t="inlineStr">
        <is>
          <t>融捷股份</t>
        </is>
      </c>
      <c r="D311" t="n">
        <v>8</v>
      </c>
      <c r="E311" t="n">
        <v>1.18</v>
      </c>
      <c r="F311" t="n">
        <v>0</v>
      </c>
      <c r="G311" t="n">
        <v>8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inlineStr">
        <is>
          <t>D1新高=8,D2强势=0,D3突破=0,D4首板=0,D5潜突=0,D6连板=0,D7一字=0,D8活跃=0,bonus=0</t>
        </is>
      </c>
    </row>
    <row r="312">
      <c r="A312" t="n">
        <v>2</v>
      </c>
      <c r="B312" t="inlineStr">
        <is>
          <t>300390</t>
        </is>
      </c>
      <c r="C312" t="inlineStr">
        <is>
          <t>天华新能</t>
        </is>
      </c>
      <c r="D312" t="n">
        <v>3</v>
      </c>
      <c r="E312" t="n">
        <v>-1.79</v>
      </c>
      <c r="F312" t="n">
        <v>0.01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3</v>
      </c>
      <c r="O312" t="n">
        <v>0</v>
      </c>
      <c r="P312" t="inlineStr">
        <is>
          <t>D1新高=0,D2强势=0,D3突破=0,D4首板=0,D5潜突=0,D6连板=0,D7一字=0,D8活跃=3,bonus=0</t>
        </is>
      </c>
    </row>
    <row r="313">
      <c r="A313" t="n">
        <v>3</v>
      </c>
      <c r="B313" t="inlineStr">
        <is>
          <t>002240</t>
        </is>
      </c>
      <c r="C313" t="inlineStr">
        <is>
          <t>盛新锂能</t>
        </is>
      </c>
      <c r="D313" t="n">
        <v>3</v>
      </c>
      <c r="E313" t="n">
        <v>-1.04</v>
      </c>
      <c r="F313" t="n">
        <v>0.01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3</v>
      </c>
      <c r="O313" t="n">
        <v>0</v>
      </c>
      <c r="P313" t="inlineStr">
        <is>
          <t>D1新高=0,D2强势=0,D3突破=0,D4首板=0,D5潜突=0,D6连板=0,D7一字=0,D8活跃=3,bonus=0</t>
        </is>
      </c>
    </row>
    <row r="314">
      <c r="A314" t="n">
        <v>4</v>
      </c>
      <c r="B314" t="inlineStr">
        <is>
          <t>002497</t>
        </is>
      </c>
      <c r="C314" t="inlineStr">
        <is>
          <t>雅化集团</t>
        </is>
      </c>
      <c r="D314" t="n">
        <v>0</v>
      </c>
      <c r="E314" t="n">
        <v>0.17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inlineStr">
        <is>
          <t>D1新高=0,D2强势=0,D3突破=0,D4首板=0,D5潜突=0,D6连板=0,D7一字=0,D8活跃=0,bonus=0</t>
        </is>
      </c>
    </row>
    <row r="315">
      <c r="A315" t="n">
        <v>5</v>
      </c>
      <c r="B315" t="inlineStr">
        <is>
          <t>002466</t>
        </is>
      </c>
      <c r="C315" t="inlineStr">
        <is>
          <t>天齐锂业</t>
        </is>
      </c>
      <c r="D315" t="n">
        <v>0</v>
      </c>
      <c r="E315" t="n">
        <v>0.08</v>
      </c>
      <c r="F315" t="n">
        <v>0.01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inlineStr">
        <is>
          <t>D1新高=0,D2强势=0,D3突破=0,D4首板=0,D5潜突=0,D6连板=0,D7一字=0,D8活跃=0,bonus=0</t>
        </is>
      </c>
    </row>
    <row r="316">
      <c r="A316" t="n">
        <v>6</v>
      </c>
      <c r="B316" t="inlineStr">
        <is>
          <t>002460</t>
        </is>
      </c>
      <c r="C316" t="inlineStr">
        <is>
          <t>赣锋锂业</t>
        </is>
      </c>
      <c r="D316" t="n">
        <v>0</v>
      </c>
      <c r="E316" t="n">
        <v>-0.18</v>
      </c>
      <c r="F316" t="n">
        <v>0.01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inlineStr">
        <is>
          <t>D1新高=0,D2强势=0,D3突破=0,D4首板=0,D5潜突=0,D6连板=0,D7一字=0,D8活跃=0,bonus=0</t>
        </is>
      </c>
    </row>
    <row r="317">
      <c r="A317" t="n">
        <v>7</v>
      </c>
      <c r="B317" t="inlineStr">
        <is>
          <t>002738</t>
        </is>
      </c>
      <c r="C317" t="inlineStr">
        <is>
          <t>中矿资源</t>
        </is>
      </c>
      <c r="D317" t="n">
        <v>0</v>
      </c>
      <c r="E317" t="n">
        <v>0.68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inlineStr">
        <is>
          <t>D1新高=0,D2强势=0,D3突破=0,D4首板=0,D5潜突=0,D6连板=0,D7一字=0,D8活跃=0,bonus=0</t>
        </is>
      </c>
    </row>
    <row r="318">
      <c r="A318" t="n">
        <v>8</v>
      </c>
      <c r="B318" t="inlineStr">
        <is>
          <t>000155</t>
        </is>
      </c>
      <c r="C318" t="inlineStr">
        <is>
          <t>川能动力</t>
        </is>
      </c>
      <c r="D318" t="n">
        <v>0</v>
      </c>
      <c r="E318" t="n">
        <v>-0.89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inlineStr">
        <is>
          <t>D1新高=0,D2强势=0,D3突破=0,D4首板=0,D5潜突=0,D6连板=0,D7一字=0,D8活跃=0,bonus=0</t>
        </is>
      </c>
    </row>
    <row r="319"/>
    <row r="320">
      <c r="A320" s="4" t="inlineStr">
        <is>
          <t>--- 细分: 后段设备 ---</t>
        </is>
      </c>
    </row>
    <row r="321">
      <c r="A321" s="5" t="inlineStr">
        <is>
          <t>排名</t>
        </is>
      </c>
      <c r="B321" s="5" t="inlineStr">
        <is>
          <t>代码</t>
        </is>
      </c>
      <c r="C321" s="5" t="inlineStr">
        <is>
          <t>名称</t>
        </is>
      </c>
      <c r="D321" s="5" t="inlineStr">
        <is>
          <t>得分</t>
        </is>
      </c>
      <c r="E321" s="5" t="inlineStr">
        <is>
          <t>涨跌幅%</t>
        </is>
      </c>
      <c r="F321" s="5" t="inlineStr">
        <is>
          <t>成交额(亿)</t>
        </is>
      </c>
      <c r="G321" s="5" t="inlineStr">
        <is>
          <t>D1新高</t>
        </is>
      </c>
      <c r="H321" s="5" t="inlineStr">
        <is>
          <t>D2强势</t>
        </is>
      </c>
      <c r="I321" s="5" t="inlineStr">
        <is>
          <t>D3突破</t>
        </is>
      </c>
      <c r="J321" s="5" t="inlineStr">
        <is>
          <t>D4首板</t>
        </is>
      </c>
      <c r="K321" s="5" t="inlineStr">
        <is>
          <t>D5潜突</t>
        </is>
      </c>
      <c r="L321" s="5" t="inlineStr">
        <is>
          <t>D6连板</t>
        </is>
      </c>
      <c r="M321" s="5" t="inlineStr">
        <is>
          <t>D7一字</t>
        </is>
      </c>
      <c r="N321" s="5" t="inlineStr">
        <is>
          <t>D8活跃</t>
        </is>
      </c>
      <c r="O321" s="5" t="inlineStr">
        <is>
          <t>大成交额加分</t>
        </is>
      </c>
      <c r="P321" s="5" t="inlineStr">
        <is>
          <t>得分明细</t>
        </is>
      </c>
    </row>
    <row r="322">
      <c r="A322" t="n">
        <v>1</v>
      </c>
      <c r="B322" t="inlineStr">
        <is>
          <t>688006</t>
        </is>
      </c>
      <c r="C322" t="inlineStr">
        <is>
          <t>杭可科技</t>
        </is>
      </c>
      <c r="D322" t="n">
        <v>3</v>
      </c>
      <c r="E322" t="n">
        <v>-4.01</v>
      </c>
      <c r="F322" t="n">
        <v>0.22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inlineStr">
        <is>
          <t>D1新高=0,D2强势=0,D3突破=0,D4首板=0,D5潜突=0,D6连板=0,D7一字=0,D8活跃=3,bonus=0</t>
        </is>
      </c>
    </row>
    <row r="323">
      <c r="A323" t="n">
        <v>2</v>
      </c>
      <c r="B323" t="inlineStr">
        <is>
          <t>300648</t>
        </is>
      </c>
      <c r="C323" t="inlineStr">
        <is>
          <t>星云股份</t>
        </is>
      </c>
      <c r="D323" t="n">
        <v>0</v>
      </c>
      <c r="E323" t="n">
        <v>2.73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inlineStr">
        <is>
          <t>D1新高=0,D2强势=0,D3突破=0,D4首板=0,D5潜突=0,D6连板=0,D7一字=0,D8活跃=0,bonus=0</t>
        </is>
      </c>
    </row>
    <row r="324"/>
    <row r="325">
      <c r="A325" s="4" t="inlineStr">
        <is>
          <t>--- 细分: 行星减速器 ---</t>
        </is>
      </c>
    </row>
    <row r="326">
      <c r="A326" s="5" t="inlineStr">
        <is>
          <t>排名</t>
        </is>
      </c>
      <c r="B326" s="5" t="inlineStr">
        <is>
          <t>代码</t>
        </is>
      </c>
      <c r="C326" s="5" t="inlineStr">
        <is>
          <t>名称</t>
        </is>
      </c>
      <c r="D326" s="5" t="inlineStr">
        <is>
          <t>得分</t>
        </is>
      </c>
      <c r="E326" s="5" t="inlineStr">
        <is>
          <t>涨跌幅%</t>
        </is>
      </c>
      <c r="F326" s="5" t="inlineStr">
        <is>
          <t>成交额(亿)</t>
        </is>
      </c>
      <c r="G326" s="5" t="inlineStr">
        <is>
          <t>D1新高</t>
        </is>
      </c>
      <c r="H326" s="5" t="inlineStr">
        <is>
          <t>D2强势</t>
        </is>
      </c>
      <c r="I326" s="5" t="inlineStr">
        <is>
          <t>D3突破</t>
        </is>
      </c>
      <c r="J326" s="5" t="inlineStr">
        <is>
          <t>D4首板</t>
        </is>
      </c>
      <c r="K326" s="5" t="inlineStr">
        <is>
          <t>D5潜突</t>
        </is>
      </c>
      <c r="L326" s="5" t="inlineStr">
        <is>
          <t>D6连板</t>
        </is>
      </c>
      <c r="M326" s="5" t="inlineStr">
        <is>
          <t>D7一字</t>
        </is>
      </c>
      <c r="N326" s="5" t="inlineStr">
        <is>
          <t>D8活跃</t>
        </is>
      </c>
      <c r="O326" s="5" t="inlineStr">
        <is>
          <t>大成交额加分</t>
        </is>
      </c>
      <c r="P326" s="5" t="inlineStr">
        <is>
          <t>得分明细</t>
        </is>
      </c>
    </row>
    <row r="327">
      <c r="A327" t="n">
        <v>2</v>
      </c>
      <c r="B327" t="inlineStr">
        <is>
          <t>002896</t>
        </is>
      </c>
      <c r="C327" t="inlineStr">
        <is>
          <t>中大力德</t>
        </is>
      </c>
      <c r="D327" t="n">
        <v>3</v>
      </c>
      <c r="E327" t="n">
        <v>-1.02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</v>
      </c>
      <c r="O327" t="n">
        <v>0</v>
      </c>
      <c r="P327" t="inlineStr">
        <is>
          <t>D1新高=0,D2强势=0,D3突破=0,D4首板=0,D5潜突=0,D6连板=0,D7一字=0,D8活跃=3,bonus=0</t>
        </is>
      </c>
    </row>
    <row r="328">
      <c r="A328" t="n">
        <v>3</v>
      </c>
      <c r="B328" t="inlineStr">
        <is>
          <t>603809</t>
        </is>
      </c>
      <c r="C328" t="inlineStr">
        <is>
          <t>豪能股份</t>
        </is>
      </c>
      <c r="D328" t="n">
        <v>0</v>
      </c>
      <c r="E328" t="n">
        <v>-2.44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inlineStr">
        <is>
          <t>D1新高=0,D2强势=0,D3突破=0,D4首板=0,D5潜突=0,D6连板=0,D7一字=0,D8活跃=0,bonus=0</t>
        </is>
      </c>
    </row>
    <row r="329">
      <c r="A329" t="n">
        <v>4</v>
      </c>
      <c r="B329" t="inlineStr">
        <is>
          <t>002031</t>
        </is>
      </c>
      <c r="C329" t="inlineStr">
        <is>
          <t>巨轮智能</t>
        </is>
      </c>
      <c r="D329" t="n">
        <v>0</v>
      </c>
      <c r="E329" t="n">
        <v>-2.89</v>
      </c>
      <c r="F329" t="n">
        <v>0.01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inlineStr">
        <is>
          <t>D1新高=0,D2强势=0,D3突破=0,D4首板=0,D5潜突=0,D6连板=0,D7一字=0,D8活跃=0,bonus=0</t>
        </is>
      </c>
    </row>
    <row r="330">
      <c r="A330" t="n">
        <v>5</v>
      </c>
      <c r="B330" t="inlineStr">
        <is>
          <t>603915</t>
        </is>
      </c>
      <c r="C330" t="inlineStr">
        <is>
          <t>国茂股份</t>
        </is>
      </c>
      <c r="D330" t="n">
        <v>0</v>
      </c>
      <c r="E330" t="n">
        <v>-1.8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inlineStr">
        <is>
          <t>D1新高=0,D2强势=0,D3突破=0,D4首板=0,D5潜突=0,D6连板=0,D7一字=0,D8活跃=0,bonus=0</t>
        </is>
      </c>
    </row>
    <row r="331">
      <c r="A331" t="n">
        <v>6</v>
      </c>
      <c r="B331" t="inlineStr">
        <is>
          <t>300258</t>
        </is>
      </c>
      <c r="C331" t="inlineStr">
        <is>
          <t>精锻科技</t>
        </is>
      </c>
      <c r="D331" t="n">
        <v>0</v>
      </c>
      <c r="E331" t="n">
        <v>-2.94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inlineStr">
        <is>
          <t>D1新高=0,D2强势=0,D3突破=0,D4首板=0,D5潜突=0,D6连板=0,D7一字=0,D8活跃=0,bonus=0</t>
        </is>
      </c>
    </row>
    <row r="332">
      <c r="A332" t="n">
        <v>7</v>
      </c>
      <c r="B332" t="inlineStr">
        <is>
          <t>001306</t>
        </is>
      </c>
      <c r="C332" t="inlineStr">
        <is>
          <t>夏厦精密</t>
        </is>
      </c>
      <c r="D332" t="n">
        <v>0</v>
      </c>
      <c r="E332" t="n">
        <v>-2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inlineStr">
        <is>
          <t>D1新高=0,D2强势=0,D3突破=0,D4首板=0,D5潜突=0,D6连板=0,D7一字=0,D8活跃=0,bonus=0</t>
        </is>
      </c>
    </row>
    <row r="333">
      <c r="A333" t="n">
        <v>8</v>
      </c>
      <c r="B333" t="inlineStr">
        <is>
          <t>002765</t>
        </is>
      </c>
      <c r="C333" t="inlineStr">
        <is>
          <t>蓝黛科技</t>
        </is>
      </c>
      <c r="D333" t="n">
        <v>0</v>
      </c>
      <c r="E333" t="n">
        <v>0.62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inlineStr">
        <is>
          <t>D1新高=0,D2强势=0,D3突破=0,D4首板=0,D5潜突=0,D6连板=0,D7一字=0,D8活跃=0,bonus=0</t>
        </is>
      </c>
    </row>
    <row r="334">
      <c r="A334" t="n">
        <v>9</v>
      </c>
      <c r="B334" t="inlineStr">
        <is>
          <t>301261</t>
        </is>
      </c>
      <c r="C334" t="inlineStr">
        <is>
          <t>恒工精密</t>
        </is>
      </c>
      <c r="D334" t="n">
        <v>0</v>
      </c>
      <c r="E334" t="n">
        <v>0.86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inlineStr">
        <is>
          <t>D1新高=0,D2强势=0,D3突破=0,D4首板=0,D5潜突=0,D6连板=0,D7一字=0,D8活跃=0,bonus=0</t>
        </is>
      </c>
    </row>
    <row r="335"/>
    <row r="336">
      <c r="A336" s="4" t="inlineStr">
        <is>
          <t>--- 细分: 氯化亚砜 ---</t>
        </is>
      </c>
    </row>
    <row r="337">
      <c r="A337" s="5" t="inlineStr">
        <is>
          <t>排名</t>
        </is>
      </c>
      <c r="B337" s="5" t="inlineStr">
        <is>
          <t>代码</t>
        </is>
      </c>
      <c r="C337" s="5" t="inlineStr">
        <is>
          <t>名称</t>
        </is>
      </c>
      <c r="D337" s="5" t="inlineStr">
        <is>
          <t>得分</t>
        </is>
      </c>
      <c r="E337" s="5" t="inlineStr">
        <is>
          <t>涨跌幅%</t>
        </is>
      </c>
      <c r="F337" s="5" t="inlineStr">
        <is>
          <t>成交额(亿)</t>
        </is>
      </c>
      <c r="G337" s="5" t="inlineStr">
        <is>
          <t>D1新高</t>
        </is>
      </c>
      <c r="H337" s="5" t="inlineStr">
        <is>
          <t>D2强势</t>
        </is>
      </c>
      <c r="I337" s="5" t="inlineStr">
        <is>
          <t>D3突破</t>
        </is>
      </c>
      <c r="J337" s="5" t="inlineStr">
        <is>
          <t>D4首板</t>
        </is>
      </c>
      <c r="K337" s="5" t="inlineStr">
        <is>
          <t>D5潜突</t>
        </is>
      </c>
      <c r="L337" s="5" t="inlineStr">
        <is>
          <t>D6连板</t>
        </is>
      </c>
      <c r="M337" s="5" t="inlineStr">
        <is>
          <t>D7一字</t>
        </is>
      </c>
      <c r="N337" s="5" t="inlineStr">
        <is>
          <t>D8活跃</t>
        </is>
      </c>
      <c r="O337" s="5" t="inlineStr">
        <is>
          <t>大成交额加分</t>
        </is>
      </c>
      <c r="P337" s="5" t="inlineStr">
        <is>
          <t>得分明细</t>
        </is>
      </c>
    </row>
    <row r="338">
      <c r="A338" t="n">
        <v>2</v>
      </c>
      <c r="B338" t="inlineStr">
        <is>
          <t>301069</t>
        </is>
      </c>
      <c r="C338" t="inlineStr">
        <is>
          <t>凯盛新材</t>
        </is>
      </c>
      <c r="D338" t="n">
        <v>0</v>
      </c>
      <c r="E338" t="n">
        <v>1.15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inlineStr">
        <is>
          <t>D1新高=0,D2强势=0,D3突破=0,D4首板=0,D5潜突=0,D6连板=0,D7一字=0,D8活跃=0,bonus=0</t>
        </is>
      </c>
    </row>
    <row r="339">
      <c r="A339" t="n">
        <v>3</v>
      </c>
      <c r="B339" t="inlineStr">
        <is>
          <t>002748</t>
        </is>
      </c>
      <c r="C339" t="inlineStr">
        <is>
          <t>世龙实业</t>
        </is>
      </c>
      <c r="D339" t="n">
        <v>0</v>
      </c>
      <c r="E339" t="n">
        <v>-1.82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inlineStr">
        <is>
          <t>D1新高=0,D2强势=0,D3突破=0,D4首板=0,D5潜突=0,D6连板=0,D7一字=0,D8活跃=0,bonus=0</t>
        </is>
      </c>
    </row>
    <row r="340"/>
    <row r="341">
      <c r="A341" s="4" t="inlineStr">
        <is>
          <t>--- 细分: 盐湖提锂 ---</t>
        </is>
      </c>
    </row>
    <row r="342">
      <c r="A342" s="5" t="inlineStr">
        <is>
          <t>排名</t>
        </is>
      </c>
      <c r="B342" s="5" t="inlineStr">
        <is>
          <t>代码</t>
        </is>
      </c>
      <c r="C342" s="5" t="inlineStr">
        <is>
          <t>名称</t>
        </is>
      </c>
      <c r="D342" s="5" t="inlineStr">
        <is>
          <t>得分</t>
        </is>
      </c>
      <c r="E342" s="5" t="inlineStr">
        <is>
          <t>涨跌幅%</t>
        </is>
      </c>
      <c r="F342" s="5" t="inlineStr">
        <is>
          <t>成交额(亿)</t>
        </is>
      </c>
      <c r="G342" s="5" t="inlineStr">
        <is>
          <t>D1新高</t>
        </is>
      </c>
      <c r="H342" s="5" t="inlineStr">
        <is>
          <t>D2强势</t>
        </is>
      </c>
      <c r="I342" s="5" t="inlineStr">
        <is>
          <t>D3突破</t>
        </is>
      </c>
      <c r="J342" s="5" t="inlineStr">
        <is>
          <t>D4首板</t>
        </is>
      </c>
      <c r="K342" s="5" t="inlineStr">
        <is>
          <t>D5潜突</t>
        </is>
      </c>
      <c r="L342" s="5" t="inlineStr">
        <is>
          <t>D6连板</t>
        </is>
      </c>
      <c r="M342" s="5" t="inlineStr">
        <is>
          <t>D7一字</t>
        </is>
      </c>
      <c r="N342" s="5" t="inlineStr">
        <is>
          <t>D8活跃</t>
        </is>
      </c>
      <c r="O342" s="5" t="inlineStr">
        <is>
          <t>大成交额加分</t>
        </is>
      </c>
      <c r="P342" s="5" t="inlineStr">
        <is>
          <t>得分明细</t>
        </is>
      </c>
    </row>
    <row r="343">
      <c r="A343" t="n">
        <v>1</v>
      </c>
      <c r="B343" t="inlineStr">
        <is>
          <t>301092</t>
        </is>
      </c>
      <c r="C343" t="inlineStr">
        <is>
          <t>争光股份</t>
        </is>
      </c>
      <c r="D343" t="n">
        <v>8</v>
      </c>
      <c r="E343" t="n">
        <v>1.34</v>
      </c>
      <c r="F343" t="n">
        <v>0</v>
      </c>
      <c r="G343" t="n">
        <v>8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inlineStr">
        <is>
          <t>D1新高=8,D2强势=0,D3突破=0,D4首板=0,D5潜突=0,D6连板=0,D7一字=0,D8活跃=0,bonus=0</t>
        </is>
      </c>
    </row>
    <row r="344">
      <c r="A344" t="n">
        <v>3</v>
      </c>
      <c r="B344" t="inlineStr">
        <is>
          <t>600338</t>
        </is>
      </c>
      <c r="C344" t="inlineStr">
        <is>
          <t>西藏珠峰</t>
        </is>
      </c>
      <c r="D344" t="n">
        <v>0</v>
      </c>
      <c r="E344" t="n">
        <v>-2.82</v>
      </c>
      <c r="F344" t="n">
        <v>0.01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inlineStr">
        <is>
          <t>D1新高=0,D2强势=0,D3突破=0,D4首板=0,D5潜突=0,D6连板=0,D7一字=0,D8活跃=0,bonus=0</t>
        </is>
      </c>
    </row>
    <row r="345">
      <c r="A345" t="n">
        <v>4</v>
      </c>
      <c r="B345" t="inlineStr">
        <is>
          <t>600773</t>
        </is>
      </c>
      <c r="C345" t="inlineStr">
        <is>
          <t>西藏城投</t>
        </is>
      </c>
      <c r="D345" t="n">
        <v>0</v>
      </c>
      <c r="E345" t="n">
        <v>-1.16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inlineStr">
        <is>
          <t>D1新高=0,D2强势=0,D3突破=0,D4首板=0,D5潜突=0,D6连板=0,D7一字=0,D8活跃=0,bonus=0</t>
        </is>
      </c>
    </row>
    <row r="346">
      <c r="A346" t="n">
        <v>5</v>
      </c>
      <c r="B346" t="inlineStr">
        <is>
          <t>300631</t>
        </is>
      </c>
      <c r="C346" t="inlineStr">
        <is>
          <t>久吾高科</t>
        </is>
      </c>
      <c r="D346" t="n">
        <v>0</v>
      </c>
      <c r="E346" t="n">
        <v>-1.03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inlineStr">
        <is>
          <t>D1新高=0,D2强势=0,D3突破=0,D4首板=0,D5潜突=0,D6连板=0,D7一字=0,D8活跃=0,bonus=0</t>
        </is>
      </c>
    </row>
    <row r="347">
      <c r="A347" t="n">
        <v>6</v>
      </c>
      <c r="B347" t="inlineStr">
        <is>
          <t>300487</t>
        </is>
      </c>
      <c r="C347" t="inlineStr">
        <is>
          <t>蓝晓科技</t>
        </is>
      </c>
      <c r="D347" t="n">
        <v>0</v>
      </c>
      <c r="E347" t="n">
        <v>-0.13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inlineStr">
        <is>
          <t>D1新高=0,D2强势=0,D3突破=0,D4首板=0,D5潜突=0,D6连板=0,D7一字=0,D8活跃=0,bonus=0</t>
        </is>
      </c>
    </row>
    <row r="348">
      <c r="A348" t="n">
        <v>7</v>
      </c>
      <c r="B348" t="inlineStr">
        <is>
          <t>000762</t>
        </is>
      </c>
      <c r="C348" t="inlineStr">
        <is>
          <t>西藏矿业</t>
        </is>
      </c>
      <c r="D348" t="n">
        <v>0</v>
      </c>
      <c r="E348" t="n">
        <v>-0.66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inlineStr">
        <is>
          <t>D1新高=0,D2强势=0,D3突破=0,D4首板=0,D5潜突=0,D6连板=0,D7一字=0,D8活跃=0,bonus=0</t>
        </is>
      </c>
    </row>
    <row r="349">
      <c r="A349" t="n">
        <v>8</v>
      </c>
      <c r="B349" t="inlineStr">
        <is>
          <t>000792</t>
        </is>
      </c>
      <c r="C349" t="inlineStr">
        <is>
          <t>盐湖股份</t>
        </is>
      </c>
      <c r="D349" t="n">
        <v>0</v>
      </c>
      <c r="E349" t="n">
        <v>-0.9</v>
      </c>
      <c r="F349" t="n">
        <v>0.01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inlineStr">
        <is>
          <t>D1新高=0,D2强势=0,D3突破=0,D4首板=0,D5潜突=0,D6连板=0,D7一字=0,D8活跃=0,bonus=0</t>
        </is>
      </c>
    </row>
    <row r="350">
      <c r="A350" t="n">
        <v>9</v>
      </c>
      <c r="B350" t="inlineStr">
        <is>
          <t>688718</t>
        </is>
      </c>
      <c r="C350" t="inlineStr">
        <is>
          <t>唯赛勃</t>
        </is>
      </c>
      <c r="D350" t="n">
        <v>0</v>
      </c>
      <c r="E350" t="n">
        <v>5.5</v>
      </c>
      <c r="F350" t="n">
        <v>0.04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inlineStr">
        <is>
          <t>D1新高=0,D2强势=0,D3突破=0,D4首板=0,D5潜突=0,D6连板=0,D7一字=0,D8活跃=0,bonus=0</t>
        </is>
      </c>
    </row>
    <row r="351">
      <c r="A351" t="n">
        <v>10</v>
      </c>
      <c r="B351" t="inlineStr">
        <is>
          <t>000408</t>
        </is>
      </c>
      <c r="C351" t="inlineStr">
        <is>
          <t>藏格矿业</t>
        </is>
      </c>
      <c r="D351" t="n">
        <v>0</v>
      </c>
      <c r="E351" t="n">
        <v>1.1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inlineStr">
        <is>
          <t>D1新高=0,D2强势=0,D3突破=0,D4首板=0,D5潜突=0,D6连板=0,D7一字=0,D8活跃=0,bonus=0</t>
        </is>
      </c>
    </row>
    <row r="352"/>
    <row r="353">
      <c r="A353" s="4" t="inlineStr">
        <is>
          <t>--- 细分: 氯化亚砜 ---</t>
        </is>
      </c>
    </row>
    <row r="354">
      <c r="A354" s="5" t="inlineStr">
        <is>
          <t>排名</t>
        </is>
      </c>
      <c r="B354" s="5" t="inlineStr">
        <is>
          <t>代码</t>
        </is>
      </c>
      <c r="C354" s="5" t="inlineStr">
        <is>
          <t>名称</t>
        </is>
      </c>
      <c r="D354" s="5" t="inlineStr">
        <is>
          <t>得分</t>
        </is>
      </c>
      <c r="E354" s="5" t="inlineStr">
        <is>
          <t>涨跌幅%</t>
        </is>
      </c>
      <c r="F354" s="5" t="inlineStr">
        <is>
          <t>成交额(亿)</t>
        </is>
      </c>
      <c r="G354" s="5" t="inlineStr">
        <is>
          <t>D1新高</t>
        </is>
      </c>
      <c r="H354" s="5" t="inlineStr">
        <is>
          <t>D2强势</t>
        </is>
      </c>
      <c r="I354" s="5" t="inlineStr">
        <is>
          <t>D3突破</t>
        </is>
      </c>
      <c r="J354" s="5" t="inlineStr">
        <is>
          <t>D4首板</t>
        </is>
      </c>
      <c r="K354" s="5" t="inlineStr">
        <is>
          <t>D5潜突</t>
        </is>
      </c>
      <c r="L354" s="5" t="inlineStr">
        <is>
          <t>D6连板</t>
        </is>
      </c>
      <c r="M354" s="5" t="inlineStr">
        <is>
          <t>D7一字</t>
        </is>
      </c>
      <c r="N354" s="5" t="inlineStr">
        <is>
          <t>D8活跃</t>
        </is>
      </c>
      <c r="O354" s="5" t="inlineStr">
        <is>
          <t>大成交额加分</t>
        </is>
      </c>
      <c r="P354" s="5" t="inlineStr">
        <is>
          <t>得分明细</t>
        </is>
      </c>
    </row>
    <row r="355">
      <c r="A355" t="n">
        <v>3</v>
      </c>
      <c r="B355" t="inlineStr">
        <is>
          <t>600409</t>
        </is>
      </c>
      <c r="C355" t="inlineStr">
        <is>
          <t>三友化工</t>
        </is>
      </c>
      <c r="D355" t="n">
        <v>0</v>
      </c>
      <c r="E355" t="n">
        <v>-3.66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inlineStr">
        <is>
          <t>D1新高=0,D2强势=0,D3突破=0,D4首板=0,D5潜突=0,D6连板=0,D7一字=0,D8活跃=0,bonus=0</t>
        </is>
      </c>
    </row>
    <row r="356">
      <c r="A356" t="n">
        <v>4</v>
      </c>
      <c r="B356" t="inlineStr">
        <is>
          <t>002004</t>
        </is>
      </c>
      <c r="C356" t="inlineStr">
        <is>
          <t>华邦健康</t>
        </is>
      </c>
      <c r="D356" t="n">
        <v>0</v>
      </c>
      <c r="E356" t="n">
        <v>-2.55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inlineStr">
        <is>
          <t>D1新高=0,D2强势=0,D3突破=0,D4首板=0,D5潜突=0,D6连板=0,D7一字=0,D8活跃=0,bonus=0</t>
        </is>
      </c>
    </row>
    <row r="357"/>
    <row r="358">
      <c r="A358" s="4" t="inlineStr">
        <is>
          <t>--- 细分: 磷酸铁 ---</t>
        </is>
      </c>
    </row>
    <row r="359">
      <c r="A359" s="5" t="inlineStr">
        <is>
          <t>排名</t>
        </is>
      </c>
      <c r="B359" s="5" t="inlineStr">
        <is>
          <t>代码</t>
        </is>
      </c>
      <c r="C359" s="5" t="inlineStr">
        <is>
          <t>名称</t>
        </is>
      </c>
      <c r="D359" s="5" t="inlineStr">
        <is>
          <t>得分</t>
        </is>
      </c>
      <c r="E359" s="5" t="inlineStr">
        <is>
          <t>涨跌幅%</t>
        </is>
      </c>
      <c r="F359" s="5" t="inlineStr">
        <is>
          <t>成交额(亿)</t>
        </is>
      </c>
      <c r="G359" s="5" t="inlineStr">
        <is>
          <t>D1新高</t>
        </is>
      </c>
      <c r="H359" s="5" t="inlineStr">
        <is>
          <t>D2强势</t>
        </is>
      </c>
      <c r="I359" s="5" t="inlineStr">
        <is>
          <t>D3突破</t>
        </is>
      </c>
      <c r="J359" s="5" t="inlineStr">
        <is>
          <t>D4首板</t>
        </is>
      </c>
      <c r="K359" s="5" t="inlineStr">
        <is>
          <t>D5潜突</t>
        </is>
      </c>
      <c r="L359" s="5" t="inlineStr">
        <is>
          <t>D6连板</t>
        </is>
      </c>
      <c r="M359" s="5" t="inlineStr">
        <is>
          <t>D7一字</t>
        </is>
      </c>
      <c r="N359" s="5" t="inlineStr">
        <is>
          <t>D8活跃</t>
        </is>
      </c>
      <c r="O359" s="5" t="inlineStr">
        <is>
          <t>大成交额加分</t>
        </is>
      </c>
      <c r="P359" s="5" t="inlineStr">
        <is>
          <t>得分明细</t>
        </is>
      </c>
    </row>
    <row r="360">
      <c r="A360" t="n">
        <v>2</v>
      </c>
      <c r="B360" t="inlineStr">
        <is>
          <t>600096</t>
        </is>
      </c>
      <c r="C360" t="inlineStr">
        <is>
          <t>云天化</t>
        </is>
      </c>
      <c r="D360" t="n">
        <v>0</v>
      </c>
      <c r="E360" t="n">
        <v>-1.27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inlineStr">
        <is>
          <t>D1新高=0,D2强势=0,D3突破=0,D4首板=0,D5潜突=0,D6连板=0,D7一字=0,D8活跃=0,bonus=0</t>
        </is>
      </c>
    </row>
    <row r="361">
      <c r="A361" t="n">
        <v>3</v>
      </c>
      <c r="B361" t="inlineStr">
        <is>
          <t>002601</t>
        </is>
      </c>
      <c r="C361" t="inlineStr">
        <is>
          <t>龙佰集团</t>
        </is>
      </c>
      <c r="D361" t="n">
        <v>0</v>
      </c>
      <c r="E361" t="n">
        <v>-3.57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inlineStr">
        <is>
          <t>D1新高=0,D2强势=0,D3突破=0,D4首板=0,D5潜突=0,D6连板=0,D7一字=0,D8活跃=0,bonus=0</t>
        </is>
      </c>
    </row>
    <row r="362"/>
    <row r="363">
      <c r="A363" s="4" t="inlineStr">
        <is>
          <t>--- 细分: 前段设备 ---</t>
        </is>
      </c>
    </row>
    <row r="364">
      <c r="A364" s="5" t="inlineStr">
        <is>
          <t>排名</t>
        </is>
      </c>
      <c r="B364" s="5" t="inlineStr">
        <is>
          <t>代码</t>
        </is>
      </c>
      <c r="C364" s="5" t="inlineStr">
        <is>
          <t>名称</t>
        </is>
      </c>
      <c r="D364" s="5" t="inlineStr">
        <is>
          <t>得分</t>
        </is>
      </c>
      <c r="E364" s="5" t="inlineStr">
        <is>
          <t>涨跌幅%</t>
        </is>
      </c>
      <c r="F364" s="5" t="inlineStr">
        <is>
          <t>成交额(亿)</t>
        </is>
      </c>
      <c r="G364" s="5" t="inlineStr">
        <is>
          <t>D1新高</t>
        </is>
      </c>
      <c r="H364" s="5" t="inlineStr">
        <is>
          <t>D2强势</t>
        </is>
      </c>
      <c r="I364" s="5" t="inlineStr">
        <is>
          <t>D3突破</t>
        </is>
      </c>
      <c r="J364" s="5" t="inlineStr">
        <is>
          <t>D4首板</t>
        </is>
      </c>
      <c r="K364" s="5" t="inlineStr">
        <is>
          <t>D5潜突</t>
        </is>
      </c>
      <c r="L364" s="5" t="inlineStr">
        <is>
          <t>D6连板</t>
        </is>
      </c>
      <c r="M364" s="5" t="inlineStr">
        <is>
          <t>D7一字</t>
        </is>
      </c>
      <c r="N364" s="5" t="inlineStr">
        <is>
          <t>D8活跃</t>
        </is>
      </c>
      <c r="O364" s="5" t="inlineStr">
        <is>
          <t>大成交额加分</t>
        </is>
      </c>
      <c r="P364" s="5" t="inlineStr">
        <is>
          <t>得分明细</t>
        </is>
      </c>
    </row>
    <row r="365">
      <c r="A365" t="n">
        <v>1</v>
      </c>
      <c r="B365" t="inlineStr">
        <is>
          <t>003043</t>
        </is>
      </c>
      <c r="C365" t="inlineStr">
        <is>
          <t>华亚智能</t>
        </is>
      </c>
      <c r="D365" t="n">
        <v>3</v>
      </c>
      <c r="E365" t="n">
        <v>-2.75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3</v>
      </c>
      <c r="O365" t="n">
        <v>0</v>
      </c>
      <c r="P365" t="inlineStr">
        <is>
          <t>D1新高=0,D2强势=0,D3突破=0,D4首板=0,D5潜突=0,D6连板=0,D7一字=0,D8活跃=3,bonus=0</t>
        </is>
      </c>
    </row>
    <row r="366">
      <c r="A366" t="n">
        <v>2</v>
      </c>
      <c r="B366" t="inlineStr">
        <is>
          <t>688573</t>
        </is>
      </c>
      <c r="C366" t="inlineStr">
        <is>
          <t>信宇人</t>
        </is>
      </c>
      <c r="D366" t="n">
        <v>0</v>
      </c>
      <c r="E366" t="n">
        <v>-1.84</v>
      </c>
      <c r="F366" t="n">
        <v>0.04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inlineStr">
        <is>
          <t>D1新高=0,D2强势=0,D3突破=0,D4首板=0,D5潜突=0,D6连板=0,D7一字=0,D8活跃=0,bonus=0</t>
        </is>
      </c>
    </row>
    <row r="367">
      <c r="A367" t="n">
        <v>3</v>
      </c>
      <c r="B367" t="inlineStr">
        <is>
          <t>301662</t>
        </is>
      </c>
      <c r="C367" t="inlineStr">
        <is>
          <t>宏工科技</t>
        </is>
      </c>
      <c r="D367" t="n">
        <v>0</v>
      </c>
      <c r="E367" t="n">
        <v>4.02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inlineStr">
        <is>
          <t>D1新高=0,D2强势=0,D3突破=0,D4首板=0,D5潜突=0,D6连板=0,D7一字=0,D8活跃=0,bonus=0</t>
        </is>
      </c>
    </row>
    <row r="368">
      <c r="A368" t="n">
        <v>4</v>
      </c>
      <c r="B368" t="inlineStr">
        <is>
          <t>300619</t>
        </is>
      </c>
      <c r="C368" t="inlineStr">
        <is>
          <t>金银河</t>
        </is>
      </c>
      <c r="D368" t="n">
        <v>0</v>
      </c>
      <c r="E368" t="n">
        <v>-1.05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inlineStr">
        <is>
          <t>D1新高=0,D2强势=0,D3突破=0,D4首板=0,D5潜突=0,D6连板=0,D7一字=0,D8活跃=0,bonus=0</t>
        </is>
      </c>
    </row>
    <row r="369">
      <c r="A369" t="n">
        <v>5</v>
      </c>
      <c r="B369" t="inlineStr">
        <is>
          <t>688155</t>
        </is>
      </c>
      <c r="C369" t="inlineStr">
        <is>
          <t>先惠技术</t>
        </is>
      </c>
      <c r="D369" t="n">
        <v>0</v>
      </c>
      <c r="E369" t="n">
        <v>-0.07000000000000001</v>
      </c>
      <c r="F369" t="n">
        <v>0.04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inlineStr">
        <is>
          <t>D1新高=0,D2强势=0,D3突破=0,D4首板=0,D5潜突=0,D6连板=0,D7一字=0,D8活跃=0,bonus=0</t>
        </is>
      </c>
    </row>
    <row r="370">
      <c r="A370" t="n">
        <v>6</v>
      </c>
      <c r="B370" t="inlineStr">
        <is>
          <t>301325</t>
        </is>
      </c>
      <c r="C370" t="inlineStr">
        <is>
          <t>曼恩斯特</t>
        </is>
      </c>
      <c r="D370" t="n">
        <v>0</v>
      </c>
      <c r="E370" t="n">
        <v>0.77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inlineStr">
        <is>
          <t>D1新高=0,D2强势=0,D3突破=0,D4首板=0,D5潜突=0,D6连板=0,D7一字=0,D8活跃=0,bonus=0</t>
        </is>
      </c>
    </row>
    <row r="371"/>
    <row r="372">
      <c r="A372" s="4" t="inlineStr">
        <is>
          <t>--- 细分: 云母提锂 ---</t>
        </is>
      </c>
    </row>
    <row r="373">
      <c r="A373" s="5" t="inlineStr">
        <is>
          <t>排名</t>
        </is>
      </c>
      <c r="B373" s="5" t="inlineStr">
        <is>
          <t>代码</t>
        </is>
      </c>
      <c r="C373" s="5" t="inlineStr">
        <is>
          <t>名称</t>
        </is>
      </c>
      <c r="D373" s="5" t="inlineStr">
        <is>
          <t>得分</t>
        </is>
      </c>
      <c r="E373" s="5" t="inlineStr">
        <is>
          <t>涨跌幅%</t>
        </is>
      </c>
      <c r="F373" s="5" t="inlineStr">
        <is>
          <t>成交额(亿)</t>
        </is>
      </c>
      <c r="G373" s="5" t="inlineStr">
        <is>
          <t>D1新高</t>
        </is>
      </c>
      <c r="H373" s="5" t="inlineStr">
        <is>
          <t>D2强势</t>
        </is>
      </c>
      <c r="I373" s="5" t="inlineStr">
        <is>
          <t>D3突破</t>
        </is>
      </c>
      <c r="J373" s="5" t="inlineStr">
        <is>
          <t>D4首板</t>
        </is>
      </c>
      <c r="K373" s="5" t="inlineStr">
        <is>
          <t>D5潜突</t>
        </is>
      </c>
      <c r="L373" s="5" t="inlineStr">
        <is>
          <t>D6连板</t>
        </is>
      </c>
      <c r="M373" s="5" t="inlineStr">
        <is>
          <t>D7一字</t>
        </is>
      </c>
      <c r="N373" s="5" t="inlineStr">
        <is>
          <t>D8活跃</t>
        </is>
      </c>
      <c r="O373" s="5" t="inlineStr">
        <is>
          <t>大成交额加分</t>
        </is>
      </c>
      <c r="P373" s="5" t="inlineStr">
        <is>
          <t>得分明细</t>
        </is>
      </c>
    </row>
    <row r="374">
      <c r="A374" t="n">
        <v>1</v>
      </c>
      <c r="B374" t="inlineStr">
        <is>
          <t>002176</t>
        </is>
      </c>
      <c r="C374" t="inlineStr">
        <is>
          <t>江特电机</t>
        </is>
      </c>
      <c r="D374" t="n">
        <v>0</v>
      </c>
      <c r="E374" t="n">
        <v>-2.3</v>
      </c>
      <c r="F374" t="n">
        <v>0.01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inlineStr">
        <is>
          <t>D1新高=0,D2强势=0,D3突破=0,D4首板=0,D5潜突=0,D6连板=0,D7一字=0,D8活跃=0,bonus=0</t>
        </is>
      </c>
    </row>
    <row r="375">
      <c r="A375" t="n">
        <v>3</v>
      </c>
      <c r="B375" t="inlineStr">
        <is>
          <t>002756</t>
        </is>
      </c>
      <c r="C375" t="inlineStr">
        <is>
          <t>永兴材料</t>
        </is>
      </c>
      <c r="D375" t="n">
        <v>0</v>
      </c>
      <c r="E375" t="n">
        <v>-1.48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inlineStr">
        <is>
          <t>D1新高=0,D2强势=0,D3突破=0,D4首板=0,D5潜突=0,D6连板=0,D7一字=0,D8活跃=0,bonus=0</t>
        </is>
      </c>
    </row>
    <row r="376"/>
    <row r="377">
      <c r="A377" s="4" t="inlineStr">
        <is>
          <t>--- 细分: 富锂锰基正极 ---</t>
        </is>
      </c>
    </row>
    <row r="378">
      <c r="A378" s="5" t="inlineStr">
        <is>
          <t>排名</t>
        </is>
      </c>
      <c r="B378" s="5" t="inlineStr">
        <is>
          <t>代码</t>
        </is>
      </c>
      <c r="C378" s="5" t="inlineStr">
        <is>
          <t>名称</t>
        </is>
      </c>
      <c r="D378" s="5" t="inlineStr">
        <is>
          <t>得分</t>
        </is>
      </c>
      <c r="E378" s="5" t="inlineStr">
        <is>
          <t>涨跌幅%</t>
        </is>
      </c>
      <c r="F378" s="5" t="inlineStr">
        <is>
          <t>成交额(亿)</t>
        </is>
      </c>
      <c r="G378" s="5" t="inlineStr">
        <is>
          <t>D1新高</t>
        </is>
      </c>
      <c r="H378" s="5" t="inlineStr">
        <is>
          <t>D2强势</t>
        </is>
      </c>
      <c r="I378" s="5" t="inlineStr">
        <is>
          <t>D3突破</t>
        </is>
      </c>
      <c r="J378" s="5" t="inlineStr">
        <is>
          <t>D4首板</t>
        </is>
      </c>
      <c r="K378" s="5" t="inlineStr">
        <is>
          <t>D5潜突</t>
        </is>
      </c>
      <c r="L378" s="5" t="inlineStr">
        <is>
          <t>D6连板</t>
        </is>
      </c>
      <c r="M378" s="5" t="inlineStr">
        <is>
          <t>D7一字</t>
        </is>
      </c>
      <c r="N378" s="5" t="inlineStr">
        <is>
          <t>D8活跃</t>
        </is>
      </c>
      <c r="O378" s="5" t="inlineStr">
        <is>
          <t>大成交额加分</t>
        </is>
      </c>
      <c r="P378" s="5" t="inlineStr">
        <is>
          <t>得分明细</t>
        </is>
      </c>
    </row>
    <row r="379">
      <c r="A379" t="n">
        <v>1</v>
      </c>
      <c r="B379" t="inlineStr">
        <is>
          <t>002340</t>
        </is>
      </c>
      <c r="C379" t="inlineStr">
        <is>
          <t>格林美</t>
        </is>
      </c>
      <c r="D379" t="n">
        <v>0</v>
      </c>
      <c r="E379" t="n">
        <v>-2.75</v>
      </c>
      <c r="F379" t="n">
        <v>0.02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inlineStr">
        <is>
          <t>D1新高=0,D2强势=0,D3突破=0,D4首板=0,D5潜突=0,D6连板=0,D7一字=0,D8活跃=0,bonus=0</t>
        </is>
      </c>
    </row>
    <row r="380">
      <c r="A380" t="n">
        <v>3</v>
      </c>
      <c r="B380" t="inlineStr">
        <is>
          <t>300647</t>
        </is>
      </c>
      <c r="C380" t="inlineStr">
        <is>
          <t>超频三</t>
        </is>
      </c>
      <c r="D380" t="n">
        <v>0</v>
      </c>
      <c r="E380" t="n">
        <v>-1.77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inlineStr">
        <is>
          <t>D1新高=0,D2强势=0,D3突破=0,D4首板=0,D5潜突=0,D6连板=0,D7一字=0,D8活跃=0,bonus=0</t>
        </is>
      </c>
    </row>
    <row r="381">
      <c r="A381" t="n">
        <v>4</v>
      </c>
      <c r="B381" t="inlineStr">
        <is>
          <t>300565</t>
        </is>
      </c>
      <c r="C381" t="inlineStr">
        <is>
          <t>科信技术</t>
        </is>
      </c>
      <c r="D381" t="n">
        <v>0</v>
      </c>
      <c r="E381" t="n">
        <v>-1.98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inlineStr">
        <is>
          <t>D1新高=0,D2强势=0,D3突破=0,D4首板=0,D5潜突=0,D6连板=0,D7一字=0,D8活跃=0,bonus=0</t>
        </is>
      </c>
    </row>
    <row r="382"/>
    <row r="383">
      <c r="A383" s="4" t="inlineStr">
        <is>
          <t>--- 细分: 三元前驱 ---</t>
        </is>
      </c>
    </row>
    <row r="384">
      <c r="A384" s="5" t="inlineStr">
        <is>
          <t>排名</t>
        </is>
      </c>
      <c r="B384" s="5" t="inlineStr">
        <is>
          <t>代码</t>
        </is>
      </c>
      <c r="C384" s="5" t="inlineStr">
        <is>
          <t>名称</t>
        </is>
      </c>
      <c r="D384" s="5" t="inlineStr">
        <is>
          <t>得分</t>
        </is>
      </c>
      <c r="E384" s="5" t="inlineStr">
        <is>
          <t>涨跌幅%</t>
        </is>
      </c>
      <c r="F384" s="5" t="inlineStr">
        <is>
          <t>成交额(亿)</t>
        </is>
      </c>
      <c r="G384" s="5" t="inlineStr">
        <is>
          <t>D1新高</t>
        </is>
      </c>
      <c r="H384" s="5" t="inlineStr">
        <is>
          <t>D2强势</t>
        </is>
      </c>
      <c r="I384" s="5" t="inlineStr">
        <is>
          <t>D3突破</t>
        </is>
      </c>
      <c r="J384" s="5" t="inlineStr">
        <is>
          <t>D4首板</t>
        </is>
      </c>
      <c r="K384" s="5" t="inlineStr">
        <is>
          <t>D5潜突</t>
        </is>
      </c>
      <c r="L384" s="5" t="inlineStr">
        <is>
          <t>D6连板</t>
        </is>
      </c>
      <c r="M384" s="5" t="inlineStr">
        <is>
          <t>D7一字</t>
        </is>
      </c>
      <c r="N384" s="5" t="inlineStr">
        <is>
          <t>D8活跃</t>
        </is>
      </c>
      <c r="O384" s="5" t="inlineStr">
        <is>
          <t>大成交额加分</t>
        </is>
      </c>
      <c r="P384" s="5" t="inlineStr">
        <is>
          <t>得分明细</t>
        </is>
      </c>
    </row>
    <row r="385">
      <c r="A385" t="n">
        <v>1</v>
      </c>
      <c r="B385" t="inlineStr">
        <is>
          <t>300919</t>
        </is>
      </c>
      <c r="C385" t="inlineStr">
        <is>
          <t>中伟新材</t>
        </is>
      </c>
      <c r="D385" t="n">
        <v>0</v>
      </c>
      <c r="E385" t="n">
        <v>-1.3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inlineStr">
        <is>
          <t>D1新高=0,D2强势=0,D3突破=0,D4首板=0,D5潜突=0,D6连板=0,D7一字=0,D8活跃=0,bonus=0</t>
        </is>
      </c>
    </row>
    <row r="386">
      <c r="A386" t="n">
        <v>3</v>
      </c>
      <c r="B386" t="inlineStr">
        <is>
          <t>603799</t>
        </is>
      </c>
      <c r="C386" t="inlineStr">
        <is>
          <t>华友钴业</t>
        </is>
      </c>
      <c r="D386" t="n">
        <v>0</v>
      </c>
      <c r="E386" t="n">
        <v>-0.77</v>
      </c>
      <c r="F386" t="n">
        <v>0.01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inlineStr">
        <is>
          <t>D1新高=0,D2强势=0,D3突破=0,D4首板=0,D5潜突=0,D6连板=0,D7一字=0,D8活跃=0,bonus=0</t>
        </is>
      </c>
    </row>
    <row r="387"/>
    <row r="388">
      <c r="A388" s="4" t="inlineStr">
        <is>
          <t>--- 细分: 硅碳负极 ---</t>
        </is>
      </c>
    </row>
    <row r="389">
      <c r="A389" s="5" t="inlineStr">
        <is>
          <t>排名</t>
        </is>
      </c>
      <c r="B389" s="5" t="inlineStr">
        <is>
          <t>代码</t>
        </is>
      </c>
      <c r="C389" s="5" t="inlineStr">
        <is>
          <t>名称</t>
        </is>
      </c>
      <c r="D389" s="5" t="inlineStr">
        <is>
          <t>得分</t>
        </is>
      </c>
      <c r="E389" s="5" t="inlineStr">
        <is>
          <t>涨跌幅%</t>
        </is>
      </c>
      <c r="F389" s="5" t="inlineStr">
        <is>
          <t>成交额(亿)</t>
        </is>
      </c>
      <c r="G389" s="5" t="inlineStr">
        <is>
          <t>D1新高</t>
        </is>
      </c>
      <c r="H389" s="5" t="inlineStr">
        <is>
          <t>D2强势</t>
        </is>
      </c>
      <c r="I389" s="5" t="inlineStr">
        <is>
          <t>D3突破</t>
        </is>
      </c>
      <c r="J389" s="5" t="inlineStr">
        <is>
          <t>D4首板</t>
        </is>
      </c>
      <c r="K389" s="5" t="inlineStr">
        <is>
          <t>D5潜突</t>
        </is>
      </c>
      <c r="L389" s="5" t="inlineStr">
        <is>
          <t>D6连板</t>
        </is>
      </c>
      <c r="M389" s="5" t="inlineStr">
        <is>
          <t>D7一字</t>
        </is>
      </c>
      <c r="N389" s="5" t="inlineStr">
        <is>
          <t>D8活跃</t>
        </is>
      </c>
      <c r="O389" s="5" t="inlineStr">
        <is>
          <t>大成交额加分</t>
        </is>
      </c>
      <c r="P389" s="5" t="inlineStr">
        <is>
          <t>得分明细</t>
        </is>
      </c>
    </row>
    <row r="390">
      <c r="A390" t="n">
        <v>1</v>
      </c>
      <c r="B390" t="inlineStr">
        <is>
          <t>300890</t>
        </is>
      </c>
      <c r="C390" t="inlineStr">
        <is>
          <t>翔丰华</t>
        </is>
      </c>
      <c r="D390" t="n">
        <v>0</v>
      </c>
      <c r="E390" t="n">
        <v>-1.11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inlineStr">
        <is>
          <t>D1新高=0,D2强势=0,D3突破=0,D4首板=0,D5潜突=0,D6连板=0,D7一字=0,D8活跃=0,bonus=0</t>
        </is>
      </c>
    </row>
    <row r="391">
      <c r="A391" t="n">
        <v>2</v>
      </c>
      <c r="B391" t="inlineStr">
        <is>
          <t>600884</t>
        </is>
      </c>
      <c r="C391" t="inlineStr">
        <is>
          <t>杉杉股份</t>
        </is>
      </c>
      <c r="D391" t="n">
        <v>0</v>
      </c>
      <c r="E391" t="n">
        <v>0.92</v>
      </c>
      <c r="F391" t="n">
        <v>0.01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inlineStr">
        <is>
          <t>D1新高=0,D2强势=0,D3突破=0,D4首板=0,D5潜突=0,D6连板=0,D7一字=0,D8活跃=0,bonus=0</t>
        </is>
      </c>
    </row>
    <row r="392">
      <c r="A392" t="n">
        <v>3</v>
      </c>
      <c r="B392" t="inlineStr">
        <is>
          <t>300019</t>
        </is>
      </c>
      <c r="C392" t="inlineStr">
        <is>
          <t>硅宝科技</t>
        </is>
      </c>
      <c r="D392" t="n">
        <v>0</v>
      </c>
      <c r="E392" t="n">
        <v>1.29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inlineStr">
        <is>
          <t>D1新高=0,D2强势=0,D3突破=0,D4首板=0,D5潜突=0,D6连板=0,D7一字=0,D8活跃=0,bonus=0</t>
        </is>
      </c>
    </row>
    <row r="393"/>
    <row r="394">
      <c r="A394" s="4" t="inlineStr">
        <is>
          <t>--- 细分: 硅胶膜 ---</t>
        </is>
      </c>
    </row>
    <row r="395">
      <c r="A395" s="5" t="inlineStr">
        <is>
          <t>排名</t>
        </is>
      </c>
      <c r="B395" s="5" t="inlineStr">
        <is>
          <t>代码</t>
        </is>
      </c>
      <c r="C395" s="5" t="inlineStr">
        <is>
          <t>名称</t>
        </is>
      </c>
      <c r="D395" s="5" t="inlineStr">
        <is>
          <t>得分</t>
        </is>
      </c>
      <c r="E395" s="5" t="inlineStr">
        <is>
          <t>涨跌幅%</t>
        </is>
      </c>
      <c r="F395" s="5" t="inlineStr">
        <is>
          <t>成交额(亿)</t>
        </is>
      </c>
      <c r="G395" s="5" t="inlineStr">
        <is>
          <t>D1新高</t>
        </is>
      </c>
      <c r="H395" s="5" t="inlineStr">
        <is>
          <t>D2强势</t>
        </is>
      </c>
      <c r="I395" s="5" t="inlineStr">
        <is>
          <t>D3突破</t>
        </is>
      </c>
      <c r="J395" s="5" t="inlineStr">
        <is>
          <t>D4首板</t>
        </is>
      </c>
      <c r="K395" s="5" t="inlineStr">
        <is>
          <t>D5潜突</t>
        </is>
      </c>
      <c r="L395" s="5" t="inlineStr">
        <is>
          <t>D6连板</t>
        </is>
      </c>
      <c r="M395" s="5" t="inlineStr">
        <is>
          <t>D7一字</t>
        </is>
      </c>
      <c r="N395" s="5" t="inlineStr">
        <is>
          <t>D8活跃</t>
        </is>
      </c>
      <c r="O395" s="5" t="inlineStr">
        <is>
          <t>大成交额加分</t>
        </is>
      </c>
      <c r="P395" s="5" t="inlineStr">
        <is>
          <t>得分明细</t>
        </is>
      </c>
    </row>
    <row r="396">
      <c r="A396" t="n">
        <v>1</v>
      </c>
      <c r="B396" t="inlineStr">
        <is>
          <t>603212</t>
        </is>
      </c>
      <c r="C396" t="inlineStr">
        <is>
          <t>赛伍技术</t>
        </is>
      </c>
      <c r="D396" t="n">
        <v>0</v>
      </c>
      <c r="E396" t="n">
        <v>-1.12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inlineStr">
        <is>
          <t>D1新高=0,D2强势=0,D3突破=0,D4首板=0,D5潜突=0,D6连板=0,D7一字=0,D8活跃=0,bonus=0</t>
        </is>
      </c>
    </row>
    <row r="397"/>
    <row r="398">
      <c r="A398" s="4" t="inlineStr">
        <is>
          <t>--- 细分: 包覆材料 ---</t>
        </is>
      </c>
    </row>
    <row r="399">
      <c r="A399" s="5" t="inlineStr">
        <is>
          <t>排名</t>
        </is>
      </c>
      <c r="B399" s="5" t="inlineStr">
        <is>
          <t>代码</t>
        </is>
      </c>
      <c r="C399" s="5" t="inlineStr">
        <is>
          <t>名称</t>
        </is>
      </c>
      <c r="D399" s="5" t="inlineStr">
        <is>
          <t>得分</t>
        </is>
      </c>
      <c r="E399" s="5" t="inlineStr">
        <is>
          <t>涨跌幅%</t>
        </is>
      </c>
      <c r="F399" s="5" t="inlineStr">
        <is>
          <t>成交额(亿)</t>
        </is>
      </c>
      <c r="G399" s="5" t="inlineStr">
        <is>
          <t>D1新高</t>
        </is>
      </c>
      <c r="H399" s="5" t="inlineStr">
        <is>
          <t>D2强势</t>
        </is>
      </c>
      <c r="I399" s="5" t="inlineStr">
        <is>
          <t>D3突破</t>
        </is>
      </c>
      <c r="J399" s="5" t="inlineStr">
        <is>
          <t>D4首板</t>
        </is>
      </c>
      <c r="K399" s="5" t="inlineStr">
        <is>
          <t>D5潜突</t>
        </is>
      </c>
      <c r="L399" s="5" t="inlineStr">
        <is>
          <t>D6连板</t>
        </is>
      </c>
      <c r="M399" s="5" t="inlineStr">
        <is>
          <t>D7一字</t>
        </is>
      </c>
      <c r="N399" s="5" t="inlineStr">
        <is>
          <t>D8活跃</t>
        </is>
      </c>
      <c r="O399" s="5" t="inlineStr">
        <is>
          <t>大成交额加分</t>
        </is>
      </c>
      <c r="P399" s="5" t="inlineStr">
        <is>
          <t>得分明细</t>
        </is>
      </c>
    </row>
    <row r="400">
      <c r="A400" t="n">
        <v>1</v>
      </c>
      <c r="B400" t="inlineStr">
        <is>
          <t>301349</t>
        </is>
      </c>
      <c r="C400" t="inlineStr">
        <is>
          <t>信德新材</t>
        </is>
      </c>
      <c r="D400" t="n">
        <v>0</v>
      </c>
      <c r="E400" t="n">
        <v>-1.66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inlineStr">
        <is>
          <t>D1新高=0,D2强势=0,D3突破=0,D4首板=0,D5潜突=0,D6连板=0,D7一字=0,D8活跃=0,bonus=0</t>
        </is>
      </c>
    </row>
    <row r="401"/>
    <row r="402">
      <c r="A402" s="4" t="inlineStr">
        <is>
          <t>--- 细分: 导电添加剂 ---</t>
        </is>
      </c>
    </row>
    <row r="403">
      <c r="A403" s="5" t="inlineStr">
        <is>
          <t>排名</t>
        </is>
      </c>
      <c r="B403" s="5" t="inlineStr">
        <is>
          <t>代码</t>
        </is>
      </c>
      <c r="C403" s="5" t="inlineStr">
        <is>
          <t>名称</t>
        </is>
      </c>
      <c r="D403" s="5" t="inlineStr">
        <is>
          <t>得分</t>
        </is>
      </c>
      <c r="E403" s="5" t="inlineStr">
        <is>
          <t>涨跌幅%</t>
        </is>
      </c>
      <c r="F403" s="5" t="inlineStr">
        <is>
          <t>成交额(亿)</t>
        </is>
      </c>
      <c r="G403" s="5" t="inlineStr">
        <is>
          <t>D1新高</t>
        </is>
      </c>
      <c r="H403" s="5" t="inlineStr">
        <is>
          <t>D2强势</t>
        </is>
      </c>
      <c r="I403" s="5" t="inlineStr">
        <is>
          <t>D3突破</t>
        </is>
      </c>
      <c r="J403" s="5" t="inlineStr">
        <is>
          <t>D4首板</t>
        </is>
      </c>
      <c r="K403" s="5" t="inlineStr">
        <is>
          <t>D5潜突</t>
        </is>
      </c>
      <c r="L403" s="5" t="inlineStr">
        <is>
          <t>D6连板</t>
        </is>
      </c>
      <c r="M403" s="5" t="inlineStr">
        <is>
          <t>D7一字</t>
        </is>
      </c>
      <c r="N403" s="5" t="inlineStr">
        <is>
          <t>D8活跃</t>
        </is>
      </c>
      <c r="O403" s="5" t="inlineStr">
        <is>
          <t>大成交额加分</t>
        </is>
      </c>
      <c r="P403" s="5" t="inlineStr">
        <is>
          <t>得分明细</t>
        </is>
      </c>
    </row>
    <row r="404">
      <c r="A404" t="n">
        <v>1</v>
      </c>
      <c r="B404" t="inlineStr">
        <is>
          <t>002068</t>
        </is>
      </c>
      <c r="C404" t="inlineStr">
        <is>
          <t>黑猫股份</t>
        </is>
      </c>
      <c r="D404" t="n">
        <v>0</v>
      </c>
      <c r="E404" t="n">
        <v>-5.75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inlineStr">
        <is>
          <t>D1新高=0,D2强势=0,D3突破=0,D4首板=0,D5潜突=0,D6连板=0,D7一字=0,D8活跃=0,bonus=0</t>
        </is>
      </c>
    </row>
    <row r="405"/>
    <row r="406">
      <c r="A406" s="4" t="inlineStr">
        <is>
          <t>--- 细分: 超高分子量聚乙烯 ---</t>
        </is>
      </c>
    </row>
    <row r="407">
      <c r="A407" s="5" t="inlineStr">
        <is>
          <t>排名</t>
        </is>
      </c>
      <c r="B407" s="5" t="inlineStr">
        <is>
          <t>代码</t>
        </is>
      </c>
      <c r="C407" s="5" t="inlineStr">
        <is>
          <t>名称</t>
        </is>
      </c>
      <c r="D407" s="5" t="inlineStr">
        <is>
          <t>得分</t>
        </is>
      </c>
      <c r="E407" s="5" t="inlineStr">
        <is>
          <t>涨跌幅%</t>
        </is>
      </c>
      <c r="F407" s="5" t="inlineStr">
        <is>
          <t>成交额(亿)</t>
        </is>
      </c>
      <c r="G407" s="5" t="inlineStr">
        <is>
          <t>D1新高</t>
        </is>
      </c>
      <c r="H407" s="5" t="inlineStr">
        <is>
          <t>D2强势</t>
        </is>
      </c>
      <c r="I407" s="5" t="inlineStr">
        <is>
          <t>D3突破</t>
        </is>
      </c>
      <c r="J407" s="5" t="inlineStr">
        <is>
          <t>D4首板</t>
        </is>
      </c>
      <c r="K407" s="5" t="inlineStr">
        <is>
          <t>D5潜突</t>
        </is>
      </c>
      <c r="L407" s="5" t="inlineStr">
        <is>
          <t>D6连板</t>
        </is>
      </c>
      <c r="M407" s="5" t="inlineStr">
        <is>
          <t>D7一字</t>
        </is>
      </c>
      <c r="N407" s="5" t="inlineStr">
        <is>
          <t>D8活跃</t>
        </is>
      </c>
      <c r="O407" s="5" t="inlineStr">
        <is>
          <t>大成交额加分</t>
        </is>
      </c>
      <c r="P407" s="5" t="inlineStr">
        <is>
          <t>得分明细</t>
        </is>
      </c>
    </row>
    <row r="408">
      <c r="A408" t="n">
        <v>1</v>
      </c>
      <c r="B408" t="inlineStr">
        <is>
          <t>000301</t>
        </is>
      </c>
      <c r="C408" t="inlineStr">
        <is>
          <t>东方盛虹</t>
        </is>
      </c>
      <c r="D408" t="n">
        <v>0</v>
      </c>
      <c r="E408" t="n">
        <v>-1.45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>
        <is>
          <t>D1新高=0,D2强势=0,D3突破=0,D4首板=0,D5潜突=0,D6连板=0,D7一字=0,D8活跃=0,bonus=0</t>
        </is>
      </c>
    </row>
    <row r="409">
      <c r="A409" t="n">
        <v>2</v>
      </c>
      <c r="B409" t="inlineStr">
        <is>
          <t>603130</t>
        </is>
      </c>
      <c r="C409" t="inlineStr">
        <is>
          <t>云中马</t>
        </is>
      </c>
      <c r="D409" t="n">
        <v>0</v>
      </c>
      <c r="E409" t="n">
        <v>-1.07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inlineStr">
        <is>
          <t>D1新高=0,D2强势=0,D3突破=0,D4首板=0,D5潜突=0,D6连板=0,D7一字=0,D8活跃=0,bonus=0</t>
        </is>
      </c>
    </row>
    <row r="410"/>
    <row r="411">
      <c r="A411" s="4" t="inlineStr">
        <is>
          <t>--- 细分: BOPA膜 ---</t>
        </is>
      </c>
    </row>
    <row r="412">
      <c r="A412" s="5" t="inlineStr">
        <is>
          <t>排名</t>
        </is>
      </c>
      <c r="B412" s="5" t="inlineStr">
        <is>
          <t>代码</t>
        </is>
      </c>
      <c r="C412" s="5" t="inlineStr">
        <is>
          <t>名称</t>
        </is>
      </c>
      <c r="D412" s="5" t="inlineStr">
        <is>
          <t>得分</t>
        </is>
      </c>
      <c r="E412" s="5" t="inlineStr">
        <is>
          <t>涨跌幅%</t>
        </is>
      </c>
      <c r="F412" s="5" t="inlineStr">
        <is>
          <t>成交额(亿)</t>
        </is>
      </c>
      <c r="G412" s="5" t="inlineStr">
        <is>
          <t>D1新高</t>
        </is>
      </c>
      <c r="H412" s="5" t="inlineStr">
        <is>
          <t>D2强势</t>
        </is>
      </c>
      <c r="I412" s="5" t="inlineStr">
        <is>
          <t>D3突破</t>
        </is>
      </c>
      <c r="J412" s="5" t="inlineStr">
        <is>
          <t>D4首板</t>
        </is>
      </c>
      <c r="K412" s="5" t="inlineStr">
        <is>
          <t>D5潜突</t>
        </is>
      </c>
      <c r="L412" s="5" t="inlineStr">
        <is>
          <t>D6连板</t>
        </is>
      </c>
      <c r="M412" s="5" t="inlineStr">
        <is>
          <t>D7一字</t>
        </is>
      </c>
      <c r="N412" s="5" t="inlineStr">
        <is>
          <t>D8活跃</t>
        </is>
      </c>
      <c r="O412" s="5" t="inlineStr">
        <is>
          <t>大成交额加分</t>
        </is>
      </c>
      <c r="P412" s="5" t="inlineStr">
        <is>
          <t>得分明细</t>
        </is>
      </c>
    </row>
    <row r="413">
      <c r="A413" t="n">
        <v>1</v>
      </c>
      <c r="B413" t="inlineStr">
        <is>
          <t>002846</t>
        </is>
      </c>
      <c r="C413" t="inlineStr">
        <is>
          <t>英联股份</t>
        </is>
      </c>
      <c r="D413" t="n">
        <v>0</v>
      </c>
      <c r="E413" t="n">
        <v>-1.41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inlineStr">
        <is>
          <t>D1新高=0,D2强势=0,D3突破=0,D4首板=0,D5潜突=0,D6连板=0,D7一字=0,D8活跃=0,bonus=0</t>
        </is>
      </c>
    </row>
    <row r="414"/>
    <row r="415">
      <c r="A415" s="4" t="inlineStr">
        <is>
          <t>--- 细分: 参股 ---</t>
        </is>
      </c>
    </row>
    <row r="416">
      <c r="A416" s="5" t="inlineStr">
        <is>
          <t>排名</t>
        </is>
      </c>
      <c r="B416" s="5" t="inlineStr">
        <is>
          <t>代码</t>
        </is>
      </c>
      <c r="C416" s="5" t="inlineStr">
        <is>
          <t>名称</t>
        </is>
      </c>
      <c r="D416" s="5" t="inlineStr">
        <is>
          <t>得分</t>
        </is>
      </c>
      <c r="E416" s="5" t="inlineStr">
        <is>
          <t>涨跌幅%</t>
        </is>
      </c>
      <c r="F416" s="5" t="inlineStr">
        <is>
          <t>成交额(亿)</t>
        </is>
      </c>
      <c r="G416" s="5" t="inlineStr">
        <is>
          <t>D1新高</t>
        </is>
      </c>
      <c r="H416" s="5" t="inlineStr">
        <is>
          <t>D2强势</t>
        </is>
      </c>
      <c r="I416" s="5" t="inlineStr">
        <is>
          <t>D3突破</t>
        </is>
      </c>
      <c r="J416" s="5" t="inlineStr">
        <is>
          <t>D4首板</t>
        </is>
      </c>
      <c r="K416" s="5" t="inlineStr">
        <is>
          <t>D5潜突</t>
        </is>
      </c>
      <c r="L416" s="5" t="inlineStr">
        <is>
          <t>D6连板</t>
        </is>
      </c>
      <c r="M416" s="5" t="inlineStr">
        <is>
          <t>D7一字</t>
        </is>
      </c>
      <c r="N416" s="5" t="inlineStr">
        <is>
          <t>D8活跃</t>
        </is>
      </c>
      <c r="O416" s="5" t="inlineStr">
        <is>
          <t>大成交额加分</t>
        </is>
      </c>
      <c r="P416" s="5" t="inlineStr">
        <is>
          <t>得分明细</t>
        </is>
      </c>
    </row>
    <row r="417">
      <c r="A417" t="n">
        <v>1</v>
      </c>
      <c r="B417" t="inlineStr">
        <is>
          <t>300484</t>
        </is>
      </c>
      <c r="C417" t="inlineStr">
        <is>
          <t>蓝海华腾</t>
        </is>
      </c>
      <c r="D417" t="n">
        <v>0</v>
      </c>
      <c r="E417" t="n">
        <v>-1.8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inlineStr">
        <is>
          <t>D1新高=0,D2强势=0,D3突破=0,D4首板=0,D5潜突=0,D6连板=0,D7一字=0,D8活跃=0,bonus=0</t>
        </is>
      </c>
    </row>
    <row r="418"/>
    <row r="419">
      <c r="A419" s="4" t="inlineStr">
        <is>
          <t>--- 细分: 锂金属负极 ---</t>
        </is>
      </c>
    </row>
    <row r="420">
      <c r="A420" s="5" t="inlineStr">
        <is>
          <t>排名</t>
        </is>
      </c>
      <c r="B420" s="5" t="inlineStr">
        <is>
          <t>代码</t>
        </is>
      </c>
      <c r="C420" s="5" t="inlineStr">
        <is>
          <t>名称</t>
        </is>
      </c>
      <c r="D420" s="5" t="inlineStr">
        <is>
          <t>得分</t>
        </is>
      </c>
      <c r="E420" s="5" t="inlineStr">
        <is>
          <t>涨跌幅%</t>
        </is>
      </c>
      <c r="F420" s="5" t="inlineStr">
        <is>
          <t>成交额(亿)</t>
        </is>
      </c>
      <c r="G420" s="5" t="inlineStr">
        <is>
          <t>D1新高</t>
        </is>
      </c>
      <c r="H420" s="5" t="inlineStr">
        <is>
          <t>D2强势</t>
        </is>
      </c>
      <c r="I420" s="5" t="inlineStr">
        <is>
          <t>D3突破</t>
        </is>
      </c>
      <c r="J420" s="5" t="inlineStr">
        <is>
          <t>D4首板</t>
        </is>
      </c>
      <c r="K420" s="5" t="inlineStr">
        <is>
          <t>D5潜突</t>
        </is>
      </c>
      <c r="L420" s="5" t="inlineStr">
        <is>
          <t>D6连板</t>
        </is>
      </c>
      <c r="M420" s="5" t="inlineStr">
        <is>
          <t>D7一字</t>
        </is>
      </c>
      <c r="N420" s="5" t="inlineStr">
        <is>
          <t>D8活跃</t>
        </is>
      </c>
      <c r="O420" s="5" t="inlineStr">
        <is>
          <t>大成交额加分</t>
        </is>
      </c>
      <c r="P420" s="5" t="inlineStr">
        <is>
          <t>得分明细</t>
        </is>
      </c>
    </row>
    <row r="421">
      <c r="A421" t="n">
        <v>1</v>
      </c>
      <c r="B421" t="inlineStr">
        <is>
          <t>300587</t>
        </is>
      </c>
      <c r="C421" t="inlineStr">
        <is>
          <t>天铁科技</t>
        </is>
      </c>
      <c r="D421" t="n">
        <v>0</v>
      </c>
      <c r="E421" t="n">
        <v>-3.32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inlineStr">
        <is>
          <t>D1新高=0,D2强势=0,D3突破=0,D4首板=0,D5潜突=0,D6连板=0,D7一字=0,D8活跃=0,bonus=0</t>
        </is>
      </c>
    </row>
    <row r="422"/>
    <row r="423">
      <c r="A423" s="4" t="inlineStr">
        <is>
          <t>--- 细分: 粘接剂 ---</t>
        </is>
      </c>
    </row>
    <row r="424">
      <c r="A424" s="5" t="inlineStr">
        <is>
          <t>排名</t>
        </is>
      </c>
      <c r="B424" s="5" t="inlineStr">
        <is>
          <t>代码</t>
        </is>
      </c>
      <c r="C424" s="5" t="inlineStr">
        <is>
          <t>名称</t>
        </is>
      </c>
      <c r="D424" s="5" t="inlineStr">
        <is>
          <t>得分</t>
        </is>
      </c>
      <c r="E424" s="5" t="inlineStr">
        <is>
          <t>涨跌幅%</t>
        </is>
      </c>
      <c r="F424" s="5" t="inlineStr">
        <is>
          <t>成交额(亿)</t>
        </is>
      </c>
      <c r="G424" s="5" t="inlineStr">
        <is>
          <t>D1新高</t>
        </is>
      </c>
      <c r="H424" s="5" t="inlineStr">
        <is>
          <t>D2强势</t>
        </is>
      </c>
      <c r="I424" s="5" t="inlineStr">
        <is>
          <t>D3突破</t>
        </is>
      </c>
      <c r="J424" s="5" t="inlineStr">
        <is>
          <t>D4首板</t>
        </is>
      </c>
      <c r="K424" s="5" t="inlineStr">
        <is>
          <t>D5潜突</t>
        </is>
      </c>
      <c r="L424" s="5" t="inlineStr">
        <is>
          <t>D6连板</t>
        </is>
      </c>
      <c r="M424" s="5" t="inlineStr">
        <is>
          <t>D7一字</t>
        </is>
      </c>
      <c r="N424" s="5" t="inlineStr">
        <is>
          <t>D8活跃</t>
        </is>
      </c>
      <c r="O424" s="5" t="inlineStr">
        <is>
          <t>大成交额加分</t>
        </is>
      </c>
      <c r="P424" s="5" t="inlineStr">
        <is>
          <t>得分明细</t>
        </is>
      </c>
    </row>
    <row r="425">
      <c r="A425" t="n">
        <v>1</v>
      </c>
      <c r="B425" t="inlineStr">
        <is>
          <t>603051</t>
        </is>
      </c>
      <c r="C425" t="inlineStr">
        <is>
          <t>鹿山新材</t>
        </is>
      </c>
      <c r="D425" t="n">
        <v>0</v>
      </c>
      <c r="E425" t="n">
        <v>0.65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inlineStr">
        <is>
          <t>D1新高=0,D2强势=0,D3突破=0,D4首板=0,D5潜突=0,D6连板=0,D7一字=0,D8活跃=0,bonus=0</t>
        </is>
      </c>
    </row>
    <row r="426">
      <c r="A426" t="n">
        <v>2</v>
      </c>
      <c r="B426" t="inlineStr">
        <is>
          <t>300041</t>
        </is>
      </c>
      <c r="C426" t="inlineStr">
        <is>
          <t>回天新材</t>
        </is>
      </c>
      <c r="D426" t="n">
        <v>0</v>
      </c>
      <c r="E426" t="n">
        <v>1.82</v>
      </c>
      <c r="F426" t="n">
        <v>0.01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inlineStr">
        <is>
          <t>D1新高=0,D2强势=0,D3突破=0,D4首板=0,D5潜突=0,D6连板=0,D7一字=0,D8活跃=0,bonus=0</t>
        </is>
      </c>
    </row>
    <row r="427"/>
    <row r="428">
      <c r="A428" s="4" t="inlineStr">
        <is>
          <t>--- 细分: BOPA膜 ---</t>
        </is>
      </c>
    </row>
    <row r="429">
      <c r="A429" s="5" t="inlineStr">
        <is>
          <t>排名</t>
        </is>
      </c>
      <c r="B429" s="5" t="inlineStr">
        <is>
          <t>代码</t>
        </is>
      </c>
      <c r="C429" s="5" t="inlineStr">
        <is>
          <t>名称</t>
        </is>
      </c>
      <c r="D429" s="5" t="inlineStr">
        <is>
          <t>得分</t>
        </is>
      </c>
      <c r="E429" s="5" t="inlineStr">
        <is>
          <t>涨跌幅%</t>
        </is>
      </c>
      <c r="F429" s="5" t="inlineStr">
        <is>
          <t>成交额(亿)</t>
        </is>
      </c>
      <c r="G429" s="5" t="inlineStr">
        <is>
          <t>D1新高</t>
        </is>
      </c>
      <c r="H429" s="5" t="inlineStr">
        <is>
          <t>D2强势</t>
        </is>
      </c>
      <c r="I429" s="5" t="inlineStr">
        <is>
          <t>D3突破</t>
        </is>
      </c>
      <c r="J429" s="5" t="inlineStr">
        <is>
          <t>D4首板</t>
        </is>
      </c>
      <c r="K429" s="5" t="inlineStr">
        <is>
          <t>D5潜突</t>
        </is>
      </c>
      <c r="L429" s="5" t="inlineStr">
        <is>
          <t>D6连板</t>
        </is>
      </c>
      <c r="M429" s="5" t="inlineStr">
        <is>
          <t>D7一字</t>
        </is>
      </c>
      <c r="N429" s="5" t="inlineStr">
        <is>
          <t>D8活跃</t>
        </is>
      </c>
      <c r="O429" s="5" t="inlineStr">
        <is>
          <t>大成交额加分</t>
        </is>
      </c>
      <c r="P429" s="5" t="inlineStr">
        <is>
          <t>得分明细</t>
        </is>
      </c>
    </row>
    <row r="430">
      <c r="A430" t="n">
        <v>1</v>
      </c>
      <c r="B430" t="inlineStr">
        <is>
          <t>301565</t>
        </is>
      </c>
      <c r="C430" t="inlineStr">
        <is>
          <t>中仑新材</t>
        </is>
      </c>
      <c r="D430" t="n">
        <v>0</v>
      </c>
      <c r="E430" t="n">
        <v>-2.72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inlineStr">
        <is>
          <t>D1新高=0,D2强势=0,D3突破=0,D4首板=0,D5潜突=0,D6连板=0,D7一字=0,D8活跃=0,bonus=0</t>
        </is>
      </c>
    </row>
    <row r="431"/>
    <row r="432">
      <c r="A432" s="4" t="inlineStr">
        <is>
          <t>--- 细分: 等静压设备 ---</t>
        </is>
      </c>
    </row>
    <row r="433">
      <c r="A433" s="5" t="inlineStr">
        <is>
          <t>排名</t>
        </is>
      </c>
      <c r="B433" s="5" t="inlineStr">
        <is>
          <t>代码</t>
        </is>
      </c>
      <c r="C433" s="5" t="inlineStr">
        <is>
          <t>名称</t>
        </is>
      </c>
      <c r="D433" s="5" t="inlineStr">
        <is>
          <t>得分</t>
        </is>
      </c>
      <c r="E433" s="5" t="inlineStr">
        <is>
          <t>涨跌幅%</t>
        </is>
      </c>
      <c r="F433" s="5" t="inlineStr">
        <is>
          <t>成交额(亿)</t>
        </is>
      </c>
      <c r="G433" s="5" t="inlineStr">
        <is>
          <t>D1新高</t>
        </is>
      </c>
      <c r="H433" s="5" t="inlineStr">
        <is>
          <t>D2强势</t>
        </is>
      </c>
      <c r="I433" s="5" t="inlineStr">
        <is>
          <t>D3突破</t>
        </is>
      </c>
      <c r="J433" s="5" t="inlineStr">
        <is>
          <t>D4首板</t>
        </is>
      </c>
      <c r="K433" s="5" t="inlineStr">
        <is>
          <t>D5潜突</t>
        </is>
      </c>
      <c r="L433" s="5" t="inlineStr">
        <is>
          <t>D6连板</t>
        </is>
      </c>
      <c r="M433" s="5" t="inlineStr">
        <is>
          <t>D7一字</t>
        </is>
      </c>
      <c r="N433" s="5" t="inlineStr">
        <is>
          <t>D8活跃</t>
        </is>
      </c>
      <c r="O433" s="5" t="inlineStr">
        <is>
          <t>大成交额加分</t>
        </is>
      </c>
      <c r="P433" s="5" t="inlineStr">
        <is>
          <t>得分明细</t>
        </is>
      </c>
    </row>
    <row r="434">
      <c r="A434" t="n">
        <v>1</v>
      </c>
      <c r="B434" t="inlineStr">
        <is>
          <t>300490</t>
        </is>
      </c>
      <c r="C434" t="inlineStr">
        <is>
          <t>华自科技</t>
        </is>
      </c>
      <c r="D434" t="n">
        <v>0</v>
      </c>
      <c r="E434" t="n">
        <v>-1.33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inlineStr">
        <is>
          <t>D1新高=0,D2强势=0,D3突破=0,D4首板=0,D5潜突=0,D6连板=0,D7一字=0,D8活跃=0,bonus=0</t>
        </is>
      </c>
    </row>
    <row r="435"/>
    <row r="436">
      <c r="A436" s="4" t="inlineStr">
        <is>
          <t>--- 细分: 车企合作 ---</t>
        </is>
      </c>
    </row>
    <row r="437">
      <c r="A437" s="5" t="inlineStr">
        <is>
          <t>排名</t>
        </is>
      </c>
      <c r="B437" s="5" t="inlineStr">
        <is>
          <t>代码</t>
        </is>
      </c>
      <c r="C437" s="5" t="inlineStr">
        <is>
          <t>名称</t>
        </is>
      </c>
      <c r="D437" s="5" t="inlineStr">
        <is>
          <t>得分</t>
        </is>
      </c>
      <c r="E437" s="5" t="inlineStr">
        <is>
          <t>涨跌幅%</t>
        </is>
      </c>
      <c r="F437" s="5" t="inlineStr">
        <is>
          <t>成交额(亿)</t>
        </is>
      </c>
      <c r="G437" s="5" t="inlineStr">
        <is>
          <t>D1新高</t>
        </is>
      </c>
      <c r="H437" s="5" t="inlineStr">
        <is>
          <t>D2强势</t>
        </is>
      </c>
      <c r="I437" s="5" t="inlineStr">
        <is>
          <t>D3突破</t>
        </is>
      </c>
      <c r="J437" s="5" t="inlineStr">
        <is>
          <t>D4首板</t>
        </is>
      </c>
      <c r="K437" s="5" t="inlineStr">
        <is>
          <t>D5潜突</t>
        </is>
      </c>
      <c r="L437" s="5" t="inlineStr">
        <is>
          <t>D6连板</t>
        </is>
      </c>
      <c r="M437" s="5" t="inlineStr">
        <is>
          <t>D7一字</t>
        </is>
      </c>
      <c r="N437" s="5" t="inlineStr">
        <is>
          <t>D8活跃</t>
        </is>
      </c>
      <c r="O437" s="5" t="inlineStr">
        <is>
          <t>大成交额加分</t>
        </is>
      </c>
      <c r="P437" s="5" t="inlineStr">
        <is>
          <t>得分明细</t>
        </is>
      </c>
    </row>
    <row r="438">
      <c r="A438" t="n">
        <v>1</v>
      </c>
      <c r="B438" t="inlineStr">
        <is>
          <t>688567</t>
        </is>
      </c>
      <c r="C438" t="inlineStr">
        <is>
          <t>孚能科技</t>
        </is>
      </c>
      <c r="D438" t="n">
        <v>0</v>
      </c>
      <c r="E438" t="n">
        <v>-2.4</v>
      </c>
      <c r="F438" t="n">
        <v>0.12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inlineStr">
        <is>
          <t>D1新高=0,D2强势=0,D3突破=0,D4首板=0,D5潜突=0,D6连板=0,D7一字=0,D8活跃=0,bonus=0</t>
        </is>
      </c>
    </row>
    <row r="439"/>
    <row r="440">
      <c r="A440" s="4" t="inlineStr">
        <is>
          <t>--- 细分: 碳纳米管 ---</t>
        </is>
      </c>
    </row>
    <row r="441">
      <c r="A441" s="5" t="inlineStr">
        <is>
          <t>排名</t>
        </is>
      </c>
      <c r="B441" s="5" t="inlineStr">
        <is>
          <t>代码</t>
        </is>
      </c>
      <c r="C441" s="5" t="inlineStr">
        <is>
          <t>名称</t>
        </is>
      </c>
      <c r="D441" s="5" t="inlineStr">
        <is>
          <t>得分</t>
        </is>
      </c>
      <c r="E441" s="5" t="inlineStr">
        <is>
          <t>涨跌幅%</t>
        </is>
      </c>
      <c r="F441" s="5" t="inlineStr">
        <is>
          <t>成交额(亿)</t>
        </is>
      </c>
      <c r="G441" s="5" t="inlineStr">
        <is>
          <t>D1新高</t>
        </is>
      </c>
      <c r="H441" s="5" t="inlineStr">
        <is>
          <t>D2强势</t>
        </is>
      </c>
      <c r="I441" s="5" t="inlineStr">
        <is>
          <t>D3突破</t>
        </is>
      </c>
      <c r="J441" s="5" t="inlineStr">
        <is>
          <t>D4首板</t>
        </is>
      </c>
      <c r="K441" s="5" t="inlineStr">
        <is>
          <t>D5潜突</t>
        </is>
      </c>
      <c r="L441" s="5" t="inlineStr">
        <is>
          <t>D6连板</t>
        </is>
      </c>
      <c r="M441" s="5" t="inlineStr">
        <is>
          <t>D7一字</t>
        </is>
      </c>
      <c r="N441" s="5" t="inlineStr">
        <is>
          <t>D8活跃</t>
        </is>
      </c>
      <c r="O441" s="5" t="inlineStr">
        <is>
          <t>大成交额加分</t>
        </is>
      </c>
      <c r="P441" s="5" t="inlineStr">
        <is>
          <t>得分明细</t>
        </is>
      </c>
    </row>
    <row r="442">
      <c r="A442" t="n">
        <v>1</v>
      </c>
      <c r="B442" t="inlineStr">
        <is>
          <t>300409</t>
        </is>
      </c>
      <c r="C442" t="inlineStr">
        <is>
          <t>道氏技术</t>
        </is>
      </c>
      <c r="D442" t="n">
        <v>0</v>
      </c>
      <c r="E442" t="n">
        <v>-0.63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inlineStr">
        <is>
          <t>D1新高=0,D2强势=0,D3突破=0,D4首板=0,D5潜突=0,D6连板=0,D7一字=0,D8活跃=0,bonus=0</t>
        </is>
      </c>
    </row>
    <row r="443"/>
    <row r="444">
      <c r="A444" s="4" t="inlineStr">
        <is>
          <t>--- 细分: 硫化物路线电池 ---</t>
        </is>
      </c>
    </row>
    <row r="445">
      <c r="A445" s="5" t="inlineStr">
        <is>
          <t>排名</t>
        </is>
      </c>
      <c r="B445" s="5" t="inlineStr">
        <is>
          <t>代码</t>
        </is>
      </c>
      <c r="C445" s="5" t="inlineStr">
        <is>
          <t>名称</t>
        </is>
      </c>
      <c r="D445" s="5" t="inlineStr">
        <is>
          <t>得分</t>
        </is>
      </c>
      <c r="E445" s="5" t="inlineStr">
        <is>
          <t>涨跌幅%</t>
        </is>
      </c>
      <c r="F445" s="5" t="inlineStr">
        <is>
          <t>成交额(亿)</t>
        </is>
      </c>
      <c r="G445" s="5" t="inlineStr">
        <is>
          <t>D1新高</t>
        </is>
      </c>
      <c r="H445" s="5" t="inlineStr">
        <is>
          <t>D2强势</t>
        </is>
      </c>
      <c r="I445" s="5" t="inlineStr">
        <is>
          <t>D3突破</t>
        </is>
      </c>
      <c r="J445" s="5" t="inlineStr">
        <is>
          <t>D4首板</t>
        </is>
      </c>
      <c r="K445" s="5" t="inlineStr">
        <is>
          <t>D5潜突</t>
        </is>
      </c>
      <c r="L445" s="5" t="inlineStr">
        <is>
          <t>D6连板</t>
        </is>
      </c>
      <c r="M445" s="5" t="inlineStr">
        <is>
          <t>D7一字</t>
        </is>
      </c>
      <c r="N445" s="5" t="inlineStr">
        <is>
          <t>D8活跃</t>
        </is>
      </c>
      <c r="O445" s="5" t="inlineStr">
        <is>
          <t>大成交额加分</t>
        </is>
      </c>
      <c r="P445" s="5" t="inlineStr">
        <is>
          <t>得分明细</t>
        </is>
      </c>
    </row>
    <row r="446">
      <c r="A446" t="n">
        <v>1</v>
      </c>
      <c r="B446" t="inlineStr">
        <is>
          <t>300750</t>
        </is>
      </c>
      <c r="C446" t="inlineStr">
        <is>
          <t>宁德时代</t>
        </is>
      </c>
      <c r="D446" t="n">
        <v>0</v>
      </c>
      <c r="E446" t="n">
        <v>-1.12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inlineStr">
        <is>
          <t>D1新高=0,D2强势=0,D3突破=0,D4首板=0,D5潜突=0,D6连板=0,D7一字=0,D8活跃=0,bonus=0</t>
        </is>
      </c>
    </row>
    <row r="447"/>
    <row r="448">
      <c r="A448" s="4" t="inlineStr">
        <is>
          <t>--- 细分: 硫化锂 ---</t>
        </is>
      </c>
    </row>
    <row r="449">
      <c r="A449" s="5" t="inlineStr">
        <is>
          <t>排名</t>
        </is>
      </c>
      <c r="B449" s="5" t="inlineStr">
        <is>
          <t>代码</t>
        </is>
      </c>
      <c r="C449" s="5" t="inlineStr">
        <is>
          <t>名称</t>
        </is>
      </c>
      <c r="D449" s="5" t="inlineStr">
        <is>
          <t>得分</t>
        </is>
      </c>
      <c r="E449" s="5" t="inlineStr">
        <is>
          <t>涨跌幅%</t>
        </is>
      </c>
      <c r="F449" s="5" t="inlineStr">
        <is>
          <t>成交额(亿)</t>
        </is>
      </c>
      <c r="G449" s="5" t="inlineStr">
        <is>
          <t>D1新高</t>
        </is>
      </c>
      <c r="H449" s="5" t="inlineStr">
        <is>
          <t>D2强势</t>
        </is>
      </c>
      <c r="I449" s="5" t="inlineStr">
        <is>
          <t>D3突破</t>
        </is>
      </c>
      <c r="J449" s="5" t="inlineStr">
        <is>
          <t>D4首板</t>
        </is>
      </c>
      <c r="K449" s="5" t="inlineStr">
        <is>
          <t>D5潜突</t>
        </is>
      </c>
      <c r="L449" s="5" t="inlineStr">
        <is>
          <t>D6连板</t>
        </is>
      </c>
      <c r="M449" s="5" t="inlineStr">
        <is>
          <t>D7一字</t>
        </is>
      </c>
      <c r="N449" s="5" t="inlineStr">
        <is>
          <t>D8活跃</t>
        </is>
      </c>
      <c r="O449" s="5" t="inlineStr">
        <is>
          <t>大成交额加分</t>
        </is>
      </c>
      <c r="P449" s="5" t="inlineStr">
        <is>
          <t>得分明细</t>
        </is>
      </c>
    </row>
    <row r="450">
      <c r="A450" t="n">
        <v>1</v>
      </c>
      <c r="B450" t="inlineStr">
        <is>
          <t>002759</t>
        </is>
      </c>
      <c r="C450" t="inlineStr">
        <is>
          <t>天际股份</t>
        </is>
      </c>
      <c r="D450" t="n">
        <v>0</v>
      </c>
      <c r="E450" t="n">
        <v>-2.72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inlineStr">
        <is>
          <t>D1新高=0,D2强势=0,D3突破=0,D4首板=0,D5潜突=0,D6连板=0,D7一字=0,D8活跃=0,bonus=0</t>
        </is>
      </c>
    </row>
    <row r="451"/>
    <row r="452">
      <c r="A452" s="4" t="inlineStr">
        <is>
          <t>--- 细分: 碳纳米管 ---</t>
        </is>
      </c>
    </row>
    <row r="453">
      <c r="A453" s="5" t="inlineStr">
        <is>
          <t>排名</t>
        </is>
      </c>
      <c r="B453" s="5" t="inlineStr">
        <is>
          <t>代码</t>
        </is>
      </c>
      <c r="C453" s="5" t="inlineStr">
        <is>
          <t>名称</t>
        </is>
      </c>
      <c r="D453" s="5" t="inlineStr">
        <is>
          <t>得分</t>
        </is>
      </c>
      <c r="E453" s="5" t="inlineStr">
        <is>
          <t>涨跌幅%</t>
        </is>
      </c>
      <c r="F453" s="5" t="inlineStr">
        <is>
          <t>成交额(亿)</t>
        </is>
      </c>
      <c r="G453" s="5" t="inlineStr">
        <is>
          <t>D1新高</t>
        </is>
      </c>
      <c r="H453" s="5" t="inlineStr">
        <is>
          <t>D2强势</t>
        </is>
      </c>
      <c r="I453" s="5" t="inlineStr">
        <is>
          <t>D3突破</t>
        </is>
      </c>
      <c r="J453" s="5" t="inlineStr">
        <is>
          <t>D4首板</t>
        </is>
      </c>
      <c r="K453" s="5" t="inlineStr">
        <is>
          <t>D5潜突</t>
        </is>
      </c>
      <c r="L453" s="5" t="inlineStr">
        <is>
          <t>D6连板</t>
        </is>
      </c>
      <c r="M453" s="5" t="inlineStr">
        <is>
          <t>D7一字</t>
        </is>
      </c>
      <c r="N453" s="5" t="inlineStr">
        <is>
          <t>D8活跃</t>
        </is>
      </c>
      <c r="O453" s="5" t="inlineStr">
        <is>
          <t>大成交额加分</t>
        </is>
      </c>
      <c r="P453" s="5" t="inlineStr">
        <is>
          <t>得分明细</t>
        </is>
      </c>
    </row>
    <row r="454">
      <c r="A454" t="n">
        <v>1</v>
      </c>
      <c r="B454" t="inlineStr">
        <is>
          <t>688116</t>
        </is>
      </c>
      <c r="C454" t="inlineStr">
        <is>
          <t>天奈科技</t>
        </is>
      </c>
      <c r="D454" t="n">
        <v>0</v>
      </c>
      <c r="E454" t="n">
        <v>2.28</v>
      </c>
      <c r="F454" t="n">
        <v>0.12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inlineStr">
        <is>
          <t>D1新高=0,D2强势=0,D3突破=0,D4首板=0,D5潜突=0,D6连板=0,D7一字=0,D8活跃=0,bonus=0</t>
        </is>
      </c>
    </row>
    <row r="455">
      <c r="A455" t="n">
        <v>2</v>
      </c>
      <c r="B455" t="inlineStr">
        <is>
          <t>301326</t>
        </is>
      </c>
      <c r="C455" t="inlineStr">
        <is>
          <t>捷邦科技</t>
        </is>
      </c>
      <c r="D455" t="n">
        <v>0</v>
      </c>
      <c r="E455" t="n">
        <v>-0.36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inlineStr">
        <is>
          <t>D1新高=0,D2强势=0,D3突破=0,D4首板=0,D5潜突=0,D6连板=0,D7一字=0,D8活跃=0,bonus=0</t>
        </is>
      </c>
    </row>
    <row r="456"/>
    <row r="457">
      <c r="A457" s="4" t="inlineStr">
        <is>
          <t>--- 细分: 三乙胺 ---</t>
        </is>
      </c>
    </row>
    <row r="458">
      <c r="A458" s="5" t="inlineStr">
        <is>
          <t>排名</t>
        </is>
      </c>
      <c r="B458" s="5" t="inlineStr">
        <is>
          <t>代码</t>
        </is>
      </c>
      <c r="C458" s="5" t="inlineStr">
        <is>
          <t>名称</t>
        </is>
      </c>
      <c r="D458" s="5" t="inlineStr">
        <is>
          <t>得分</t>
        </is>
      </c>
      <c r="E458" s="5" t="inlineStr">
        <is>
          <t>涨跌幅%</t>
        </is>
      </c>
      <c r="F458" s="5" t="inlineStr">
        <is>
          <t>成交额(亿)</t>
        </is>
      </c>
      <c r="G458" s="5" t="inlineStr">
        <is>
          <t>D1新高</t>
        </is>
      </c>
      <c r="H458" s="5" t="inlineStr">
        <is>
          <t>D2强势</t>
        </is>
      </c>
      <c r="I458" s="5" t="inlineStr">
        <is>
          <t>D3突破</t>
        </is>
      </c>
      <c r="J458" s="5" t="inlineStr">
        <is>
          <t>D4首板</t>
        </is>
      </c>
      <c r="K458" s="5" t="inlineStr">
        <is>
          <t>D5潜突</t>
        </is>
      </c>
      <c r="L458" s="5" t="inlineStr">
        <is>
          <t>D6连板</t>
        </is>
      </c>
      <c r="M458" s="5" t="inlineStr">
        <is>
          <t>D7一字</t>
        </is>
      </c>
      <c r="N458" s="5" t="inlineStr">
        <is>
          <t>D8活跃</t>
        </is>
      </c>
      <c r="O458" s="5" t="inlineStr">
        <is>
          <t>大成交额加分</t>
        </is>
      </c>
      <c r="P458" s="5" t="inlineStr">
        <is>
          <t>得分明细</t>
        </is>
      </c>
    </row>
    <row r="459">
      <c r="A459" t="n">
        <v>1</v>
      </c>
      <c r="B459" t="inlineStr">
        <is>
          <t>603948</t>
        </is>
      </c>
      <c r="C459" t="inlineStr">
        <is>
          <t>建业股份</t>
        </is>
      </c>
      <c r="D459" t="n">
        <v>0</v>
      </c>
      <c r="E459" t="n">
        <v>-4.6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inlineStr">
        <is>
          <t>D1新高=0,D2强势=0,D3突破=0,D4首板=0,D5潜突=0,D6连板=0,D7一字=0,D8活跃=0,bonus=0</t>
        </is>
      </c>
    </row>
    <row r="460">
      <c r="A460" t="n">
        <v>2</v>
      </c>
      <c r="B460" t="inlineStr">
        <is>
          <t>603867</t>
        </is>
      </c>
      <c r="C460" t="inlineStr">
        <is>
          <t>新化股份</t>
        </is>
      </c>
      <c r="D460" t="n">
        <v>0</v>
      </c>
      <c r="E460" t="n">
        <v>1.24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2">
        <f>== 算力租赁 产业链全局看板 ===</f>
        <v/>
      </c>
    </row>
    <row r="2">
      <c r="A2" t="inlineStr">
        <is>
          <t>板块整体均分</t>
        </is>
      </c>
      <c r="B2" t="n">
        <v>2.81</v>
      </c>
      <c r="C2" t="inlineStr">
        <is>
          <t>最强细分</t>
        </is>
      </c>
      <c r="D2" t="inlineStr">
        <is>
          <t>算力租赁 (2.86分)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185</v>
      </c>
      <c r="B6" t="inlineStr">
        <is>
          <t>算力租赁</t>
        </is>
      </c>
      <c r="C6" t="n">
        <v>2.86</v>
      </c>
      <c r="D6" t="n">
        <v>30</v>
      </c>
      <c r="E6" t="n">
        <v>50</v>
      </c>
      <c r="F6" t="n">
        <v>9</v>
      </c>
      <c r="G6" t="n">
        <v>4</v>
      </c>
      <c r="H6" t="n">
        <v>3</v>
      </c>
      <c r="I6" t="n">
        <v>34</v>
      </c>
      <c r="J6" t="inlineStr">
        <is>
          <t>莲花控股</t>
        </is>
      </c>
      <c r="K6" t="n">
        <v>30</v>
      </c>
    </row>
    <row r="7"/>
    <row r="8">
      <c r="A8" s="4" t="inlineStr">
        <is>
          <t>--- 细分: 算力租赁 ---</t>
        </is>
      </c>
    </row>
    <row r="9">
      <c r="A9" s="5" t="inlineStr">
        <is>
          <t>排名</t>
        </is>
      </c>
      <c r="B9" s="5" t="inlineStr">
        <is>
          <t>代码</t>
        </is>
      </c>
      <c r="C9" s="5" t="inlineStr">
        <is>
          <t>名称</t>
        </is>
      </c>
      <c r="D9" s="5" t="inlineStr">
        <is>
          <t>得分</t>
        </is>
      </c>
      <c r="E9" s="5" t="inlineStr">
        <is>
          <t>涨跌幅%</t>
        </is>
      </c>
      <c r="F9" s="5" t="inlineStr">
        <is>
          <t>成交额(亿)</t>
        </is>
      </c>
      <c r="G9" s="5" t="inlineStr">
        <is>
          <t>D1新高</t>
        </is>
      </c>
      <c r="H9" s="5" t="inlineStr">
        <is>
          <t>D2强势</t>
        </is>
      </c>
      <c r="I9" s="5" t="inlineStr">
        <is>
          <t>D3突破</t>
        </is>
      </c>
      <c r="J9" s="5" t="inlineStr">
        <is>
          <t>D4首板</t>
        </is>
      </c>
      <c r="K9" s="5" t="inlineStr">
        <is>
          <t>D5潜突</t>
        </is>
      </c>
      <c r="L9" s="5" t="inlineStr">
        <is>
          <t>D6连板</t>
        </is>
      </c>
      <c r="M9" s="5" t="inlineStr">
        <is>
          <t>D7一字</t>
        </is>
      </c>
      <c r="N9" s="5" t="inlineStr">
        <is>
          <t>D8活跃</t>
        </is>
      </c>
      <c r="O9" s="5" t="inlineStr">
        <is>
          <t>大成交额加分</t>
        </is>
      </c>
      <c r="P9" s="5" t="inlineStr">
        <is>
          <t>得分明细</t>
        </is>
      </c>
    </row>
    <row r="10">
      <c r="A10" t="n">
        <v>1</v>
      </c>
      <c r="B10" t="inlineStr">
        <is>
          <t>600186</t>
        </is>
      </c>
      <c r="C10" t="inlineStr">
        <is>
          <t>莲花控股</t>
        </is>
      </c>
      <c r="D10" t="n">
        <v>30</v>
      </c>
      <c r="E10" t="n">
        <v>9.98</v>
      </c>
      <c r="F10" t="n">
        <v>0.02</v>
      </c>
      <c r="G10" t="n">
        <v>8</v>
      </c>
      <c r="H10" t="n">
        <v>6</v>
      </c>
      <c r="I10" t="n">
        <v>5</v>
      </c>
      <c r="J10" t="n">
        <v>3</v>
      </c>
      <c r="K10" t="n">
        <v>0</v>
      </c>
      <c r="L10" t="n">
        <v>5</v>
      </c>
      <c r="M10" t="n">
        <v>0</v>
      </c>
      <c r="N10" t="n">
        <v>3</v>
      </c>
      <c r="O10" t="n">
        <v>0</v>
      </c>
      <c r="P10" t="inlineStr">
        <is>
          <t>D1新高=8,D2强势=6,D3突破=5,D4首板=3,D5潜突=0,D6连板=5,D7一字=0,D8活跃=3,bonus=0</t>
        </is>
      </c>
    </row>
    <row r="11">
      <c r="A11" t="n">
        <v>2</v>
      </c>
      <c r="B11" t="inlineStr">
        <is>
          <t>300088</t>
        </is>
      </c>
      <c r="C11" t="inlineStr">
        <is>
          <t>长信科技</t>
        </is>
      </c>
      <c r="D11" t="n">
        <v>30</v>
      </c>
      <c r="E11" t="n">
        <v>19.98</v>
      </c>
      <c r="F11" t="n">
        <v>0.04</v>
      </c>
      <c r="G11" t="n">
        <v>8</v>
      </c>
      <c r="H11" t="n">
        <v>6</v>
      </c>
      <c r="I11" t="n">
        <v>5</v>
      </c>
      <c r="J11" t="n">
        <v>3</v>
      </c>
      <c r="K11" t="n">
        <v>0</v>
      </c>
      <c r="L11" t="n">
        <v>5</v>
      </c>
      <c r="M11" t="n">
        <v>0</v>
      </c>
      <c r="N11" t="n">
        <v>3</v>
      </c>
      <c r="O11" t="n">
        <v>0</v>
      </c>
      <c r="P11" t="inlineStr">
        <is>
          <t>D1新高=8,D2强势=6,D3突破=5,D4首板=3,D5潜突=0,D6连板=5,D7一字=0,D8活跃=3,bonus=0</t>
        </is>
      </c>
    </row>
    <row r="12">
      <c r="A12" t="n">
        <v>3</v>
      </c>
      <c r="B12" t="inlineStr">
        <is>
          <t>600996</t>
        </is>
      </c>
      <c r="C12" t="inlineStr">
        <is>
          <t>贵广网络</t>
        </is>
      </c>
      <c r="D12" t="n">
        <v>11</v>
      </c>
      <c r="E12" t="n">
        <v>0.73</v>
      </c>
      <c r="F12" t="n">
        <v>0.01</v>
      </c>
      <c r="G12" t="n">
        <v>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3</v>
      </c>
      <c r="O12" t="n">
        <v>0</v>
      </c>
      <c r="P12" t="inlineStr">
        <is>
          <t>D1新高=8,D2强势=0,D3突破=0,D4首板=0,D5潜突=0,D6连板=0,D7一字=0,D8活跃=3,bonus=0</t>
        </is>
      </c>
    </row>
    <row r="13">
      <c r="A13" t="n">
        <v>4</v>
      </c>
      <c r="B13" t="inlineStr">
        <is>
          <t>301396</t>
        </is>
      </c>
      <c r="C13" t="inlineStr">
        <is>
          <t>宏景科技</t>
        </is>
      </c>
      <c r="D13" t="n">
        <v>11</v>
      </c>
      <c r="E13" t="n">
        <v>9.890000000000001</v>
      </c>
      <c r="F13" t="n">
        <v>0</v>
      </c>
      <c r="G13" t="n">
        <v>0</v>
      </c>
      <c r="H13" t="n">
        <v>0</v>
      </c>
      <c r="I13" t="n">
        <v>5</v>
      </c>
      <c r="J13" t="n">
        <v>3</v>
      </c>
      <c r="K13" t="n">
        <v>0</v>
      </c>
      <c r="L13" t="n">
        <v>0</v>
      </c>
      <c r="M13" t="n">
        <v>0</v>
      </c>
      <c r="N13" t="n">
        <v>3</v>
      </c>
      <c r="O13" t="n">
        <v>0</v>
      </c>
      <c r="P13" t="inlineStr">
        <is>
          <t>D1新高=0,D2强势=0,D3突破=5,D4首板=3,D5潜突=0,D6连板=0,D7一字=0,D8活跃=3,bonus=0</t>
        </is>
      </c>
    </row>
    <row r="14">
      <c r="A14" t="n">
        <v>5</v>
      </c>
      <c r="B14" t="inlineStr">
        <is>
          <t>300736</t>
        </is>
      </c>
      <c r="C14" t="inlineStr">
        <is>
          <t>百邦科技</t>
        </is>
      </c>
      <c r="D14" t="n">
        <v>8</v>
      </c>
      <c r="E14" t="n">
        <v>4.79</v>
      </c>
      <c r="F14" t="n">
        <v>0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3</v>
      </c>
      <c r="O14" t="n">
        <v>0</v>
      </c>
      <c r="P14" t="inlineStr">
        <is>
          <t>D1新高=0,D2强势=0,D3突破=5,D4首板=0,D5潜突=0,D6连板=0,D7一字=0,D8活跃=3,bonus=0</t>
        </is>
      </c>
    </row>
    <row r="15">
      <c r="A15" t="n">
        <v>6</v>
      </c>
      <c r="B15" t="inlineStr">
        <is>
          <t>300857</t>
        </is>
      </c>
      <c r="C15" t="inlineStr">
        <is>
          <t>协创数据</t>
        </is>
      </c>
      <c r="D15" t="n">
        <v>8</v>
      </c>
      <c r="E15" t="n">
        <v>12.42</v>
      </c>
      <c r="F15" t="n">
        <v>0</v>
      </c>
      <c r="G15" t="n">
        <v>0</v>
      </c>
      <c r="H15" t="n">
        <v>0</v>
      </c>
      <c r="I15" t="n">
        <v>5</v>
      </c>
      <c r="J15" t="n">
        <v>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D1新高=0,D2强势=0,D3突破=5,D4首板=3,D5潜突=0,D6连板=0,D7一字=0,D8活跃=0,bonus=0</t>
        </is>
      </c>
    </row>
    <row r="16">
      <c r="A16" t="n">
        <v>7</v>
      </c>
      <c r="B16" t="inlineStr">
        <is>
          <t>300042</t>
        </is>
      </c>
      <c r="C16" t="inlineStr">
        <is>
          <t>朗科科技</t>
        </is>
      </c>
      <c r="D16" t="n">
        <v>8</v>
      </c>
      <c r="E16" t="n">
        <v>5.21</v>
      </c>
      <c r="F16" t="n">
        <v>0</v>
      </c>
      <c r="G16" t="n">
        <v>0</v>
      </c>
      <c r="H16" t="n">
        <v>0</v>
      </c>
      <c r="I16" t="n">
        <v>5</v>
      </c>
      <c r="J16" t="n">
        <v>0</v>
      </c>
      <c r="K16" t="n">
        <v>0</v>
      </c>
      <c r="L16" t="n">
        <v>0</v>
      </c>
      <c r="M16" t="n">
        <v>0</v>
      </c>
      <c r="N16" t="n">
        <v>3</v>
      </c>
      <c r="O16" t="n">
        <v>0</v>
      </c>
      <c r="P16" t="inlineStr">
        <is>
          <t>D1新高=0,D2强势=0,D3突破=5,D4首板=0,D5潜突=0,D6连板=0,D7一字=0,D8活跃=3,bonus=0</t>
        </is>
      </c>
    </row>
    <row r="17">
      <c r="A17" t="n">
        <v>8</v>
      </c>
      <c r="B17" t="inlineStr">
        <is>
          <t>001339</t>
        </is>
      </c>
      <c r="C17" t="inlineStr">
        <is>
          <t>智微智能</t>
        </is>
      </c>
      <c r="D17" t="n">
        <v>8</v>
      </c>
      <c r="E17" t="n">
        <v>10</v>
      </c>
      <c r="F17" t="n">
        <v>0</v>
      </c>
      <c r="G17" t="n">
        <v>0</v>
      </c>
      <c r="H17" t="n">
        <v>0</v>
      </c>
      <c r="I17" t="n">
        <v>5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D1新高=0,D2强势=0,D3突破=5,D4首板=3,D5潜突=0,D6连板=0,D7一字=0,D8活跃=0,bonus=0</t>
        </is>
      </c>
    </row>
    <row r="18">
      <c r="A18" t="n">
        <v>9</v>
      </c>
      <c r="B18" t="inlineStr">
        <is>
          <t>300209</t>
        </is>
      </c>
      <c r="C18" t="inlineStr">
        <is>
          <t>行云科技</t>
        </is>
      </c>
      <c r="D18" t="n">
        <v>8</v>
      </c>
      <c r="E18" t="n">
        <v>8.529999999999999</v>
      </c>
      <c r="F18" t="n">
        <v>0.01</v>
      </c>
      <c r="G18" t="n">
        <v>0</v>
      </c>
      <c r="H18" t="n">
        <v>0</v>
      </c>
      <c r="I18" t="n">
        <v>5</v>
      </c>
      <c r="J18" t="n">
        <v>0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inlineStr">
        <is>
          <t>D1新高=0,D2强势=0,D3突破=5,D4首板=0,D5潜突=0,D6连板=0,D7一字=0,D8活跃=3,bonus=0</t>
        </is>
      </c>
    </row>
    <row r="19">
      <c r="A19" t="n">
        <v>10</v>
      </c>
      <c r="B19" t="inlineStr">
        <is>
          <t>301259</t>
        </is>
      </c>
      <c r="C19" t="inlineStr">
        <is>
          <t>艾布鲁</t>
        </is>
      </c>
      <c r="D19" t="n">
        <v>3</v>
      </c>
      <c r="E19" t="n">
        <v>-4.62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3</v>
      </c>
      <c r="O19" t="n">
        <v>0</v>
      </c>
      <c r="P19" t="inlineStr">
        <is>
          <t>D1新高=0,D2强势=0,D3突破=0,D4首板=0,D5潜突=0,D6连板=0,D7一字=0,D8活跃=3,bonus=0</t>
        </is>
      </c>
    </row>
    <row r="20">
      <c r="A20" t="n">
        <v>11</v>
      </c>
      <c r="B20" t="inlineStr">
        <is>
          <t>603636</t>
        </is>
      </c>
      <c r="C20" t="inlineStr">
        <is>
          <t>南威软件</t>
        </is>
      </c>
      <c r="D20" t="n">
        <v>3</v>
      </c>
      <c r="E20" t="n">
        <v>-2.91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3</v>
      </c>
      <c r="O20" t="n">
        <v>0</v>
      </c>
      <c r="P20" t="inlineStr">
        <is>
          <t>D1新高=0,D2强势=0,D3突破=0,D4首板=0,D5潜突=0,D6连板=0,D7一字=0,D8活跃=3,bonus=0</t>
        </is>
      </c>
    </row>
    <row r="21">
      <c r="A21" t="n">
        <v>12</v>
      </c>
      <c r="B21" t="inlineStr">
        <is>
          <t>603629</t>
        </is>
      </c>
      <c r="C21" t="inlineStr">
        <is>
          <t>利通电子</t>
        </is>
      </c>
      <c r="D21" t="n">
        <v>3</v>
      </c>
      <c r="E21" t="n">
        <v>1.18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inlineStr">
        <is>
          <t>D1新高=0,D2强势=0,D3突破=0,D4首板=0,D5潜突=0,D6连板=0,D7一字=0,D8活跃=3,bonus=0</t>
        </is>
      </c>
    </row>
    <row r="22">
      <c r="A22" t="n">
        <v>13</v>
      </c>
      <c r="B22" t="inlineStr">
        <is>
          <t>603220</t>
        </is>
      </c>
      <c r="C22" t="inlineStr">
        <is>
          <t>中贝通信</t>
        </is>
      </c>
      <c r="D22" t="n">
        <v>3</v>
      </c>
      <c r="E22" t="n">
        <v>-0.41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inlineStr">
        <is>
          <t>D1新高=0,D2强势=0,D3突破=0,D4首板=0,D5潜突=0,D6连板=0,D7一字=0,D8活跃=3,bonus=0</t>
        </is>
      </c>
    </row>
    <row r="23">
      <c r="A23" t="n">
        <v>14</v>
      </c>
      <c r="B23" t="inlineStr">
        <is>
          <t>300657</t>
        </is>
      </c>
      <c r="C23" t="inlineStr">
        <is>
          <t>弘信电子</t>
        </is>
      </c>
      <c r="D23" t="n">
        <v>3</v>
      </c>
      <c r="E23" t="n">
        <v>1.44</v>
      </c>
      <c r="F23" t="n">
        <v>0.01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3</v>
      </c>
      <c r="O23" t="n">
        <v>0</v>
      </c>
      <c r="P23" t="inlineStr">
        <is>
          <t>D1新高=0,D2强势=0,D3突破=0,D4首板=0,D5潜突=0,D6连板=0,D7一字=0,D8活跃=3,bonus=0</t>
        </is>
      </c>
    </row>
    <row r="24">
      <c r="A24" t="n">
        <v>15</v>
      </c>
      <c r="B24" t="inlineStr">
        <is>
          <t>300052</t>
        </is>
      </c>
      <c r="C24" t="inlineStr">
        <is>
          <t>中青宝</t>
        </is>
      </c>
      <c r="D24" t="n">
        <v>3</v>
      </c>
      <c r="E24" t="n">
        <v>0.73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inlineStr">
        <is>
          <t>D1新高=0,D2强势=0,D3突破=0,D4首板=0,D5潜突=0,D6连板=0,D7一字=0,D8活跃=3,bonus=0</t>
        </is>
      </c>
    </row>
    <row r="25">
      <c r="A25" t="n">
        <v>16</v>
      </c>
      <c r="B25" t="inlineStr">
        <is>
          <t>002575</t>
        </is>
      </c>
      <c r="C25" t="inlineStr">
        <is>
          <t>群兴玩具</t>
        </is>
      </c>
      <c r="D25" t="n">
        <v>3</v>
      </c>
      <c r="E25" t="n">
        <v>2.18</v>
      </c>
      <c r="F25" t="n">
        <v>0.01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3</v>
      </c>
      <c r="O25" t="n">
        <v>0</v>
      </c>
      <c r="P25" t="inlineStr">
        <is>
          <t>D1新高=0,D2强势=0,D3突破=0,D4首板=0,D5潜突=0,D6连板=0,D7一字=0,D8活跃=3,bonus=0</t>
        </is>
      </c>
    </row>
    <row r="26">
      <c r="A26" t="n">
        <v>17</v>
      </c>
      <c r="B26" t="inlineStr">
        <is>
          <t>688619</t>
        </is>
      </c>
      <c r="C26" t="inlineStr">
        <is>
          <t>罗普特</t>
        </is>
      </c>
      <c r="D26" t="n">
        <v>0</v>
      </c>
      <c r="E26" t="n">
        <v>1.7</v>
      </c>
      <c r="F26" t="n">
        <v>0.05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D1新高=0,D2强势=0,D3突破=0,D4首板=0,D5潜突=0,D6连板=0,D7一字=0,D8活跃=0,bonus=0</t>
        </is>
      </c>
    </row>
    <row r="27">
      <c r="A27" t="n">
        <v>18</v>
      </c>
      <c r="B27" t="inlineStr">
        <is>
          <t>688685</t>
        </is>
      </c>
      <c r="C27" t="inlineStr">
        <is>
          <t>迈信林</t>
        </is>
      </c>
      <c r="D27" t="n">
        <v>0</v>
      </c>
      <c r="E27" t="n">
        <v>-2.26</v>
      </c>
      <c r="F27" t="n">
        <v>0.05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D1新高=0,D2强势=0,D3突破=0,D4首板=0,D5潜突=0,D6连板=0,D7一字=0,D8活跃=0,bonus=0</t>
        </is>
      </c>
    </row>
    <row r="28">
      <c r="A28" t="n">
        <v>19</v>
      </c>
      <c r="B28" t="inlineStr">
        <is>
          <t>301248</t>
        </is>
      </c>
      <c r="C28" t="inlineStr">
        <is>
          <t>杰创智能</t>
        </is>
      </c>
      <c r="D28" t="n">
        <v>0</v>
      </c>
      <c r="E28" t="n">
        <v>1.41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inlineStr">
        <is>
          <t>D1新高=0,D2强势=0,D3突破=0,D4首板=0,D5潜突=0,D6连板=0,D7一字=0,D8活跃=0,bonus=0</t>
        </is>
      </c>
    </row>
    <row r="29">
      <c r="A29" t="n">
        <v>20</v>
      </c>
      <c r="B29" t="inlineStr">
        <is>
          <t>301189</t>
        </is>
      </c>
      <c r="C29" t="inlineStr">
        <is>
          <t>奥尼电子</t>
        </is>
      </c>
      <c r="D29" t="n">
        <v>0</v>
      </c>
      <c r="E29" t="n">
        <v>-1.4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D1新高=0,D2强势=0,D3突破=0,D4首板=0,D5潜突=0,D6连板=0,D7一字=0,D8活跃=0,bonus=0</t>
        </is>
      </c>
    </row>
    <row r="30">
      <c r="A30" t="n">
        <v>21</v>
      </c>
      <c r="B30" t="inlineStr">
        <is>
          <t>301091</t>
        </is>
      </c>
      <c r="C30" t="inlineStr">
        <is>
          <t>深城交</t>
        </is>
      </c>
      <c r="D30" t="n">
        <v>0</v>
      </c>
      <c r="E30" t="n">
        <v>-1.16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D1新高=0,D2强势=0,D3突破=0,D4首板=0,D5潜突=0,D6连板=0,D7一字=0,D8活跃=0,bonus=0</t>
        </is>
      </c>
    </row>
    <row r="31">
      <c r="A31" t="n">
        <v>22</v>
      </c>
      <c r="B31" t="inlineStr">
        <is>
          <t>301085</t>
        </is>
      </c>
      <c r="C31" t="inlineStr">
        <is>
          <t>亚康股份</t>
        </is>
      </c>
      <c r="D31" t="n">
        <v>0</v>
      </c>
      <c r="E31" t="n">
        <v>-0.47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D1新高=0,D2强势=0,D3突破=0,D4首板=0,D5潜突=0,D6连板=0,D7一字=0,D8活跃=0,bonus=0</t>
        </is>
      </c>
    </row>
    <row r="32">
      <c r="A32" t="n">
        <v>23</v>
      </c>
      <c r="B32" t="inlineStr">
        <is>
          <t>301042</t>
        </is>
      </c>
      <c r="C32" t="inlineStr">
        <is>
          <t>安联锐视</t>
        </is>
      </c>
      <c r="D32" t="n">
        <v>0</v>
      </c>
      <c r="E32" t="n">
        <v>4.42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D1新高=0,D2强势=0,D3突破=0,D4首板=0,D5潜突=0,D6连板=0,D7一字=0,D8活跃=0,bonus=0</t>
        </is>
      </c>
    </row>
    <row r="33">
      <c r="A33" t="n">
        <v>24</v>
      </c>
      <c r="B33" t="inlineStr">
        <is>
          <t>600156</t>
        </is>
      </c>
      <c r="C33" t="inlineStr">
        <is>
          <t>华升股份</t>
        </is>
      </c>
      <c r="D33" t="n">
        <v>0</v>
      </c>
      <c r="E33" t="n">
        <v>0.44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D1新高=0,D2强势=0,D3突破=0,D4首板=0,D5潜突=0,D6连板=0,D7一字=0,D8活跃=0,bonus=0</t>
        </is>
      </c>
    </row>
    <row r="34">
      <c r="A34" t="n">
        <v>25</v>
      </c>
      <c r="B34" t="inlineStr">
        <is>
          <t>301012</t>
        </is>
      </c>
      <c r="C34" t="inlineStr">
        <is>
          <t>扬电科技</t>
        </is>
      </c>
      <c r="D34" t="n">
        <v>0</v>
      </c>
      <c r="E34" t="n">
        <v>-1.87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D1新高=0,D2强势=0,D3突破=0,D4首板=0,D5潜突=0,D6连板=0,D7一字=0,D8活跃=0,bonus=0</t>
        </is>
      </c>
    </row>
    <row r="35">
      <c r="A35" t="n">
        <v>26</v>
      </c>
      <c r="B35" t="inlineStr">
        <is>
          <t>600589</t>
        </is>
      </c>
      <c r="C35" t="inlineStr">
        <is>
          <t>大位科技</t>
        </is>
      </c>
      <c r="D35" t="n">
        <v>0</v>
      </c>
      <c r="E35" t="n">
        <v>2.2</v>
      </c>
      <c r="F35" t="n">
        <v>0.01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D1新高=0,D2强势=0,D3突破=0,D4首板=0,D5潜突=0,D6连板=0,D7一字=0,D8活跃=0,bonus=0</t>
        </is>
      </c>
    </row>
    <row r="36">
      <c r="A36" t="n">
        <v>27</v>
      </c>
      <c r="B36" t="inlineStr">
        <is>
          <t>600666</t>
        </is>
      </c>
      <c r="C36" t="inlineStr">
        <is>
          <t>奥瑞德</t>
        </is>
      </c>
      <c r="D36" t="n">
        <v>0</v>
      </c>
      <c r="E36" t="n">
        <v>1.74</v>
      </c>
      <c r="F36" t="n">
        <v>0.02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D1新高=0,D2强势=0,D3突破=0,D4首板=0,D5潜突=0,D6连板=0,D7一字=0,D8活跃=0,bonus=0</t>
        </is>
      </c>
    </row>
    <row r="37">
      <c r="A37" t="n">
        <v>28</v>
      </c>
      <c r="B37" t="inlineStr">
        <is>
          <t>300846</t>
        </is>
      </c>
      <c r="C37" t="inlineStr">
        <is>
          <t>首都在线</t>
        </is>
      </c>
      <c r="D37" t="n">
        <v>0</v>
      </c>
      <c r="E37" t="n">
        <v>-1.06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D1新高=0,D2强势=0,D3突破=0,D4首板=0,D5潜突=0,D6连板=0,D7一字=0,D8活跃=0,bonus=0</t>
        </is>
      </c>
    </row>
    <row r="38">
      <c r="A38" t="n">
        <v>29</v>
      </c>
      <c r="B38" t="inlineStr">
        <is>
          <t>300798</t>
        </is>
      </c>
      <c r="C38" t="inlineStr">
        <is>
          <t>锦鸡股份</t>
        </is>
      </c>
      <c r="D38" t="n">
        <v>0</v>
      </c>
      <c r="E38" t="n">
        <v>-3.06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D1新高=0,D2强势=0,D3突破=0,D4首板=0,D5潜突=0,D6连板=0,D7一字=0,D8活跃=0,bonus=0</t>
        </is>
      </c>
    </row>
    <row r="39">
      <c r="A39" t="n">
        <v>30</v>
      </c>
      <c r="B39" t="inlineStr">
        <is>
          <t>600959</t>
        </is>
      </c>
      <c r="C39" t="inlineStr">
        <is>
          <t>江苏有线</t>
        </is>
      </c>
      <c r="D39" t="n">
        <v>0</v>
      </c>
      <c r="E39" t="n">
        <v>-1.58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D1新高=0,D2强势=0,D3突破=0,D4首板=0,D5潜突=0,D6连板=0,D7一字=0,D8活跃=0,bonus=0</t>
        </is>
      </c>
    </row>
    <row r="40">
      <c r="A40" t="n">
        <v>31</v>
      </c>
      <c r="B40" t="inlineStr">
        <is>
          <t>002229</t>
        </is>
      </c>
      <c r="C40" t="inlineStr">
        <is>
          <t>鸿博股份</t>
        </is>
      </c>
      <c r="D40" t="n">
        <v>0</v>
      </c>
      <c r="E40" t="n">
        <v>-6.2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D1新高=0,D2强势=0,D3突破=0,D4首板=0,D5潜突=0,D6连板=0,D7一字=0,D8活跃=0,bonus=0</t>
        </is>
      </c>
    </row>
    <row r="41">
      <c r="A41" t="n">
        <v>32</v>
      </c>
      <c r="B41" t="inlineStr">
        <is>
          <t>300609</t>
        </is>
      </c>
      <c r="C41" t="inlineStr">
        <is>
          <t>汇纳科技</t>
        </is>
      </c>
      <c r="D41" t="n">
        <v>0</v>
      </c>
      <c r="E41" t="n">
        <v>-1.98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inlineStr">
        <is>
          <t>D1新高=0,D2强势=0,D3突破=0,D4首板=0,D5潜突=0,D6连板=0,D7一字=0,D8活跃=0,bonus=0</t>
        </is>
      </c>
    </row>
    <row r="42">
      <c r="A42" t="n">
        <v>33</v>
      </c>
      <c r="B42" t="inlineStr">
        <is>
          <t>300571</t>
        </is>
      </c>
      <c r="C42" t="inlineStr">
        <is>
          <t>平治信息</t>
        </is>
      </c>
      <c r="D42" t="n">
        <v>0</v>
      </c>
      <c r="E42" t="n">
        <v>2.89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D1新高=0,D2强势=0,D3突破=0,D4首板=0,D5潜突=0,D6连板=0,D7一字=0,D8活跃=0,bonus=0</t>
        </is>
      </c>
    </row>
    <row r="43">
      <c r="A43" t="n">
        <v>34</v>
      </c>
      <c r="B43" t="inlineStr">
        <is>
          <t>603110</t>
        </is>
      </c>
      <c r="C43" t="inlineStr">
        <is>
          <t>东方材料</t>
        </is>
      </c>
      <c r="D43" t="n">
        <v>0</v>
      </c>
      <c r="E43" t="n">
        <v>-0.04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D1新高=0,D2强势=0,D3突破=0,D4首板=0,D5潜突=0,D6连板=0,D7一字=0,D8活跃=0,bonus=0</t>
        </is>
      </c>
    </row>
    <row r="44">
      <c r="A44" t="n">
        <v>35</v>
      </c>
      <c r="B44" t="inlineStr">
        <is>
          <t>300536</t>
        </is>
      </c>
      <c r="C44" t="inlineStr">
        <is>
          <t>农尚环境</t>
        </is>
      </c>
      <c r="D44" t="n">
        <v>0</v>
      </c>
      <c r="E44" t="n">
        <v>-2.24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D1新高=0,D2强势=0,D3突破=0,D4首板=0,D5潜突=0,D6连板=0,D7一字=0,D8活跃=0,bonus=0</t>
        </is>
      </c>
    </row>
    <row r="45">
      <c r="A45" t="n">
        <v>36</v>
      </c>
      <c r="B45" t="inlineStr">
        <is>
          <t>603300</t>
        </is>
      </c>
      <c r="C45" t="inlineStr">
        <is>
          <t>海南华铁</t>
        </is>
      </c>
      <c r="D45" t="n">
        <v>0</v>
      </c>
      <c r="E45" t="n">
        <v>-1.56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D1新高=0,D2强势=0,D3突破=0,D4首板=0,D5潜突=0,D6连板=0,D7一字=0,D8活跃=0,bonus=0</t>
        </is>
      </c>
    </row>
    <row r="46">
      <c r="A46" t="n">
        <v>37</v>
      </c>
      <c r="B46" t="inlineStr">
        <is>
          <t>300383</t>
        </is>
      </c>
      <c r="C46" t="inlineStr">
        <is>
          <t>光环新网</t>
        </is>
      </c>
      <c r="D46" t="n">
        <v>0</v>
      </c>
      <c r="E46" t="n">
        <v>-0.48</v>
      </c>
      <c r="F46" t="n">
        <v>0.01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D1新高=0,D2强势=0,D3突破=0,D4首板=0,D5潜突=0,D6连板=0,D7一字=0,D8活跃=0,bonus=0</t>
        </is>
      </c>
    </row>
    <row r="47">
      <c r="A47" t="n">
        <v>38</v>
      </c>
      <c r="B47" t="inlineStr">
        <is>
          <t>603985</t>
        </is>
      </c>
      <c r="C47" t="inlineStr">
        <is>
          <t>恒润股份</t>
        </is>
      </c>
      <c r="D47" t="n">
        <v>0</v>
      </c>
      <c r="E47" t="n">
        <v>2.6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D1新高=0,D2强势=0,D3突破=0,D4首板=0,D5潜突=0,D6连板=0,D7一字=0,D8活跃=0,bonus=0</t>
        </is>
      </c>
    </row>
    <row r="48">
      <c r="A48" t="n">
        <v>39</v>
      </c>
      <c r="B48" t="inlineStr">
        <is>
          <t>002042</t>
        </is>
      </c>
      <c r="C48" t="inlineStr">
        <is>
          <t>华孚时尚</t>
        </is>
      </c>
      <c r="D48" t="n">
        <v>0</v>
      </c>
      <c r="E48" t="n">
        <v>-2.89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D1新高=0,D2强势=0,D3突破=0,D4首板=0,D5潜突=0,D6连板=0,D7一字=0,D8活跃=0,bonus=0</t>
        </is>
      </c>
    </row>
    <row r="49">
      <c r="A49" t="n">
        <v>40</v>
      </c>
      <c r="B49" t="inlineStr">
        <is>
          <t>605168</t>
        </is>
      </c>
      <c r="C49" t="inlineStr">
        <is>
          <t>三人行</t>
        </is>
      </c>
      <c r="D49" t="n">
        <v>0</v>
      </c>
      <c r="E49" t="n">
        <v>1.7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D1新高=0,D2强势=0,D3突破=0,D4首板=0,D5潜突=0,D6连板=0,D7一字=0,D8活跃=0,bonus=0</t>
        </is>
      </c>
    </row>
    <row r="50">
      <c r="A50" t="n">
        <v>41</v>
      </c>
      <c r="B50" t="inlineStr">
        <is>
          <t>300166</t>
        </is>
      </c>
      <c r="C50" t="inlineStr">
        <is>
          <t>东方国信</t>
        </is>
      </c>
      <c r="D50" t="n">
        <v>0</v>
      </c>
      <c r="E50" t="n">
        <v>0.58</v>
      </c>
      <c r="F50" t="n">
        <v>0.01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D1新高=0,D2强势=0,D3突破=0,D4首板=0,D5潜突=0,D6连板=0,D7一字=0,D8活跃=0,bonus=0</t>
        </is>
      </c>
    </row>
    <row r="51">
      <c r="A51" t="n">
        <v>42</v>
      </c>
      <c r="B51" t="inlineStr">
        <is>
          <t>300137</t>
        </is>
      </c>
      <c r="C51" t="inlineStr">
        <is>
          <t>先河环保</t>
        </is>
      </c>
      <c r="D51" t="n">
        <v>0</v>
      </c>
      <c r="E51" t="n">
        <v>-3.75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D1新高=0,D2强势=0,D3突破=0,D4首板=0,D5潜突=0,D6连板=0,D7一字=0,D8活跃=0,bonus=0</t>
        </is>
      </c>
    </row>
    <row r="52">
      <c r="A52" t="n">
        <v>43</v>
      </c>
      <c r="B52" t="inlineStr">
        <is>
          <t>300133</t>
        </is>
      </c>
      <c r="C52" t="inlineStr">
        <is>
          <t>华策影视</t>
        </is>
      </c>
      <c r="D52" t="n">
        <v>0</v>
      </c>
      <c r="E52" t="n">
        <v>-2.17</v>
      </c>
      <c r="F52" t="n">
        <v>0.01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D1新高=0,D2强势=0,D3突破=0,D4首板=0,D5潜突=0,D6连板=0,D7一字=0,D8活跃=0,bonus=0</t>
        </is>
      </c>
    </row>
    <row r="53">
      <c r="A53" t="n">
        <v>44</v>
      </c>
      <c r="B53" t="inlineStr">
        <is>
          <t>300113</t>
        </is>
      </c>
      <c r="C53" t="inlineStr">
        <is>
          <t>顺网科技</t>
        </is>
      </c>
      <c r="D53" t="n">
        <v>0</v>
      </c>
      <c r="E53" t="n">
        <v>-1.39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D1新高=0,D2强势=0,D3突破=0,D4首板=0,D5潜突=0,D6连板=0,D7一字=0,D8活跃=0,bonus=0</t>
        </is>
      </c>
    </row>
    <row r="54">
      <c r="A54" t="n">
        <v>45</v>
      </c>
      <c r="B54" t="inlineStr">
        <is>
          <t>300067</t>
        </is>
      </c>
      <c r="C54" t="inlineStr">
        <is>
          <t>安诺其</t>
        </is>
      </c>
      <c r="D54" t="n">
        <v>0</v>
      </c>
      <c r="E54" t="n">
        <v>0.72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D1新高=0,D2强势=0,D3突破=0,D4首板=0,D5潜突=0,D6连板=0,D7一字=0,D8活跃=0,bonus=0</t>
        </is>
      </c>
    </row>
    <row r="55">
      <c r="A55" t="n">
        <v>46</v>
      </c>
      <c r="B55" t="inlineStr">
        <is>
          <t>000967</t>
        </is>
      </c>
      <c r="C55" t="inlineStr">
        <is>
          <t>盈峰环境</t>
        </is>
      </c>
      <c r="D55" t="n">
        <v>0</v>
      </c>
      <c r="E55" t="n">
        <v>-0.97</v>
      </c>
      <c r="F55" t="n">
        <v>0.01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D1新高=0,D2强势=0,D3突破=0,D4首板=0,D5潜突=0,D6连板=0,D7一字=0,D8活跃=0,bonus=0</t>
        </is>
      </c>
    </row>
    <row r="56">
      <c r="A56" t="n">
        <v>47</v>
      </c>
      <c r="B56" t="inlineStr">
        <is>
          <t>000779</t>
        </is>
      </c>
      <c r="C56" t="inlineStr">
        <is>
          <t>甘咨询</t>
        </is>
      </c>
      <c r="D56" t="n">
        <v>0</v>
      </c>
      <c r="E56" t="n">
        <v>0.26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D1新高=0,D2强势=0,D3突破=0,D4首板=0,D5潜突=0,D6连板=0,D7一字=0,D8活跃=0,bonus=0</t>
        </is>
      </c>
    </row>
    <row r="57">
      <c r="A57" t="n">
        <v>48</v>
      </c>
      <c r="B57" t="inlineStr">
        <is>
          <t>002929</t>
        </is>
      </c>
      <c r="C57" t="inlineStr">
        <is>
          <t>润建股份</t>
        </is>
      </c>
      <c r="D57" t="n">
        <v>0</v>
      </c>
      <c r="E57" t="n">
        <v>0.82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D1新高=0,D2强势=0,D3突破=0,D4首板=0,D5潜突=0,D6连板=0,D7一字=0,D8活跃=0,bonus=0</t>
        </is>
      </c>
    </row>
    <row r="58">
      <c r="A58" t="n">
        <v>49</v>
      </c>
      <c r="B58" t="inlineStr">
        <is>
          <t>000818</t>
        </is>
      </c>
      <c r="C58" t="inlineStr">
        <is>
          <t>航锦科技</t>
        </is>
      </c>
      <c r="D58" t="n">
        <v>0</v>
      </c>
      <c r="E58" t="n">
        <v>-1.63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D1新高=0,D2强势=0,D3突破=0,D4首板=0,D5潜突=0,D6连板=0,D7一字=0,D8活跃=0,bonus=0</t>
        </is>
      </c>
    </row>
    <row r="59">
      <c r="A59" t="n">
        <v>50</v>
      </c>
      <c r="B59" t="inlineStr">
        <is>
          <t>000665</t>
        </is>
      </c>
      <c r="C59" t="inlineStr">
        <is>
          <t>湖北广电</t>
        </is>
      </c>
      <c r="D59" t="n">
        <v>0</v>
      </c>
      <c r="E59" t="n">
        <v>-3.68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s="2">
        <f>== 算力金属 产业链全局看板 ===</f>
        <v/>
      </c>
    </row>
    <row r="2">
      <c r="A2" t="inlineStr">
        <is>
          <t>板块整体均分</t>
        </is>
      </c>
      <c r="B2" t="n">
        <v>2.65</v>
      </c>
      <c r="C2" t="inlineStr">
        <is>
          <t>最强细分</t>
        </is>
      </c>
      <c r="D2" t="inlineStr">
        <is>
          <t>钽 (15.0分)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33</v>
      </c>
      <c r="B6" t="inlineStr">
        <is>
          <t>钽</t>
        </is>
      </c>
      <c r="C6" t="n">
        <v>15</v>
      </c>
      <c r="D6" t="n">
        <v>30</v>
      </c>
      <c r="E6" t="n">
        <v>2</v>
      </c>
      <c r="F6" t="n">
        <v>1</v>
      </c>
      <c r="G6" t="n">
        <v>0</v>
      </c>
      <c r="H6" t="n">
        <v>0</v>
      </c>
      <c r="I6" t="n">
        <v>1</v>
      </c>
      <c r="J6" t="inlineStr">
        <is>
          <t>江钨装备</t>
        </is>
      </c>
      <c r="K6" t="n">
        <v>30</v>
      </c>
    </row>
    <row r="7">
      <c r="A7" t="n">
        <v>136</v>
      </c>
      <c r="B7" t="inlineStr">
        <is>
          <t>铟</t>
        </is>
      </c>
      <c r="C7" t="n">
        <v>4.25</v>
      </c>
      <c r="D7" t="n">
        <v>8</v>
      </c>
      <c r="E7" t="n">
        <v>4</v>
      </c>
      <c r="F7" t="n">
        <v>1</v>
      </c>
      <c r="G7" t="n">
        <v>0</v>
      </c>
      <c r="H7" t="n">
        <v>3</v>
      </c>
      <c r="I7" t="n">
        <v>0</v>
      </c>
      <c r="J7" t="inlineStr">
        <is>
          <t>高能环境</t>
        </is>
      </c>
      <c r="K7" t="n">
        <v>8</v>
      </c>
    </row>
    <row r="8">
      <c r="A8" t="n">
        <v>155</v>
      </c>
      <c r="B8" t="inlineStr">
        <is>
          <t>锑</t>
        </is>
      </c>
      <c r="C8" t="n">
        <v>3</v>
      </c>
      <c r="D8" t="n">
        <v>3</v>
      </c>
      <c r="E8" t="n">
        <v>2</v>
      </c>
      <c r="F8" t="n">
        <v>0</v>
      </c>
      <c r="G8" t="n">
        <v>0</v>
      </c>
      <c r="H8" t="n">
        <v>2</v>
      </c>
      <c r="I8" t="n">
        <v>0</v>
      </c>
      <c r="J8" t="inlineStr">
        <is>
          <t>华钰矿业</t>
        </is>
      </c>
      <c r="K8" t="n">
        <v>3</v>
      </c>
    </row>
    <row r="9">
      <c r="A9" t="n">
        <v>166</v>
      </c>
      <c r="B9" t="inlineStr">
        <is>
          <t>钼</t>
        </is>
      </c>
      <c r="C9" t="n">
        <v>3</v>
      </c>
      <c r="D9" t="n">
        <v>9</v>
      </c>
      <c r="E9" t="n">
        <v>5</v>
      </c>
      <c r="F9" t="n">
        <v>0</v>
      </c>
      <c r="G9" t="n">
        <v>0</v>
      </c>
      <c r="H9" t="n">
        <v>3</v>
      </c>
      <c r="I9" t="n">
        <v>2</v>
      </c>
      <c r="J9" t="inlineStr">
        <is>
          <t>盛龙股份</t>
        </is>
      </c>
      <c r="K9" t="n">
        <v>9</v>
      </c>
    </row>
    <row r="10">
      <c r="A10" t="n">
        <v>183</v>
      </c>
      <c r="B10" t="inlineStr">
        <is>
          <t>钽</t>
        </is>
      </c>
      <c r="C10" t="n">
        <v>3</v>
      </c>
      <c r="D10" t="n">
        <v>3</v>
      </c>
      <c r="E10" t="n">
        <v>1</v>
      </c>
      <c r="F10" t="n">
        <v>0</v>
      </c>
      <c r="G10" t="n">
        <v>0</v>
      </c>
      <c r="H10" t="n">
        <v>1</v>
      </c>
      <c r="I10" t="n">
        <v>0</v>
      </c>
      <c r="J10" t="inlineStr">
        <is>
          <t>新金路</t>
        </is>
      </c>
      <c r="K10" t="n">
        <v>3</v>
      </c>
    </row>
    <row r="11">
      <c r="A11" t="n">
        <v>184</v>
      </c>
      <c r="B11" t="inlineStr">
        <is>
          <t>铟</t>
        </is>
      </c>
      <c r="C11" t="n">
        <v>3</v>
      </c>
      <c r="D11" t="n">
        <v>3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锡业股份</t>
        </is>
      </c>
      <c r="K11" t="n">
        <v>3</v>
      </c>
    </row>
    <row r="12">
      <c r="A12" t="n">
        <v>209</v>
      </c>
      <c r="B12" t="inlineStr">
        <is>
          <t>铜</t>
        </is>
      </c>
      <c r="C12" t="n">
        <v>1.5</v>
      </c>
      <c r="D12" t="n">
        <v>3</v>
      </c>
      <c r="E12" t="n">
        <v>6</v>
      </c>
      <c r="F12" t="n">
        <v>0</v>
      </c>
      <c r="G12" t="n">
        <v>0</v>
      </c>
      <c r="H12" t="n">
        <v>3</v>
      </c>
      <c r="I12" t="n">
        <v>3</v>
      </c>
      <c r="J12" t="inlineStr">
        <is>
          <t>铜陵有色</t>
        </is>
      </c>
      <c r="K12" t="n">
        <v>3</v>
      </c>
    </row>
    <row r="13">
      <c r="A13" t="n">
        <v>210</v>
      </c>
      <c r="B13" t="inlineStr">
        <is>
          <t>钨</t>
        </is>
      </c>
      <c r="C13" t="n">
        <v>1.5</v>
      </c>
      <c r="D13" t="n">
        <v>3</v>
      </c>
      <c r="E13" t="n">
        <v>2</v>
      </c>
      <c r="F13" t="n">
        <v>0</v>
      </c>
      <c r="G13" t="n">
        <v>0</v>
      </c>
      <c r="H13" t="n">
        <v>1</v>
      </c>
      <c r="I13" t="n">
        <v>1</v>
      </c>
      <c r="J13" t="inlineStr">
        <is>
          <t>亚盛集团</t>
        </is>
      </c>
      <c r="K13" t="n">
        <v>3</v>
      </c>
    </row>
    <row r="14">
      <c r="A14" t="n">
        <v>211</v>
      </c>
      <c r="B14" t="inlineStr">
        <is>
          <t>铜</t>
        </is>
      </c>
      <c r="C14" t="n">
        <v>1.5</v>
      </c>
      <c r="D14" t="n">
        <v>3</v>
      </c>
      <c r="E14" t="n">
        <v>4</v>
      </c>
      <c r="F14" t="n">
        <v>2</v>
      </c>
      <c r="G14" t="n">
        <v>0</v>
      </c>
      <c r="H14" t="n">
        <v>0</v>
      </c>
      <c r="I14" t="n">
        <v>2</v>
      </c>
      <c r="J14" t="inlineStr">
        <is>
          <t>洛阳钼业</t>
        </is>
      </c>
      <c r="K14" t="n">
        <v>3</v>
      </c>
    </row>
    <row r="15">
      <c r="A15" t="n">
        <v>212</v>
      </c>
      <c r="B15" t="inlineStr">
        <is>
          <t>锡</t>
        </is>
      </c>
      <c r="C15" t="n">
        <v>1.5</v>
      </c>
      <c r="D15" t="n">
        <v>3</v>
      </c>
      <c r="E15" t="n">
        <v>2</v>
      </c>
      <c r="F15" t="n">
        <v>0</v>
      </c>
      <c r="G15" t="n">
        <v>0</v>
      </c>
      <c r="H15" t="n">
        <v>1</v>
      </c>
      <c r="I15" t="n">
        <v>1</v>
      </c>
      <c r="J15" t="inlineStr">
        <is>
          <t>盛屯矿业</t>
        </is>
      </c>
      <c r="K15" t="n">
        <v>3</v>
      </c>
    </row>
    <row r="16">
      <c r="A16" t="n">
        <v>236</v>
      </c>
      <c r="B16" t="inlineStr">
        <is>
          <t>锑</t>
        </is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inlineStr">
        <is>
          <t>兴业银锡</t>
        </is>
      </c>
      <c r="K16" t="n">
        <v>0</v>
      </c>
    </row>
    <row r="17">
      <c r="A17" t="n">
        <v>242</v>
      </c>
      <c r="B17" t="inlineStr">
        <is>
          <t>镓</t>
        </is>
      </c>
      <c r="C17" t="n">
        <v>0</v>
      </c>
      <c r="D17" t="n">
        <v>0</v>
      </c>
      <c r="E17" t="n">
        <v>3</v>
      </c>
      <c r="F17" t="n">
        <v>0</v>
      </c>
      <c r="G17" t="n">
        <v>0</v>
      </c>
      <c r="H17" t="n">
        <v>3</v>
      </c>
      <c r="I17" t="n">
        <v>0</v>
      </c>
      <c r="J17" t="inlineStr">
        <is>
          <t>永泰能源</t>
        </is>
      </c>
      <c r="K17" t="n">
        <v>0</v>
      </c>
    </row>
    <row r="18">
      <c r="A18" t="n">
        <v>278</v>
      </c>
      <c r="B18" t="inlineStr">
        <is>
          <t>锑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inlineStr">
        <is>
          <t>华锡有色</t>
        </is>
      </c>
      <c r="K18" t="n">
        <v>0</v>
      </c>
    </row>
    <row r="19">
      <c r="A19" t="n">
        <v>306</v>
      </c>
      <c r="B19" t="inlineStr">
        <is>
          <t>铜</t>
        </is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</v>
      </c>
      <c r="J19" t="inlineStr">
        <is>
          <t>紫金矿业</t>
        </is>
      </c>
      <c r="K19" t="n">
        <v>0</v>
      </c>
    </row>
    <row r="20">
      <c r="A20" t="n">
        <v>307</v>
      </c>
      <c r="B20" t="inlineStr">
        <is>
          <t>锑</t>
        </is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inlineStr">
        <is>
          <t>湖南黄金</t>
        </is>
      </c>
      <c r="K20" t="n">
        <v>0</v>
      </c>
    </row>
    <row r="21">
      <c r="A21" t="n">
        <v>308</v>
      </c>
      <c r="B21" t="inlineStr">
        <is>
          <t>铜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inlineStr">
        <is>
          <t>中金岭南</t>
        </is>
      </c>
      <c r="K21" t="n">
        <v>0</v>
      </c>
    </row>
    <row r="22"/>
    <row r="23">
      <c r="A23" s="4" t="inlineStr">
        <is>
          <t>--- 细分: 钽 ---</t>
        </is>
      </c>
    </row>
    <row r="24">
      <c r="A24" s="5" t="inlineStr">
        <is>
          <t>排名</t>
        </is>
      </c>
      <c r="B24" s="5" t="inlineStr">
        <is>
          <t>代码</t>
        </is>
      </c>
      <c r="C24" s="5" t="inlineStr">
        <is>
          <t>名称</t>
        </is>
      </c>
      <c r="D24" s="5" t="inlineStr">
        <is>
          <t>得分</t>
        </is>
      </c>
      <c r="E24" s="5" t="inlineStr">
        <is>
          <t>涨跌幅%</t>
        </is>
      </c>
      <c r="F24" s="5" t="inlineStr">
        <is>
          <t>成交额(亿)</t>
        </is>
      </c>
      <c r="G24" s="5" t="inlineStr">
        <is>
          <t>D1新高</t>
        </is>
      </c>
      <c r="H24" s="5" t="inlineStr">
        <is>
          <t>D2强势</t>
        </is>
      </c>
      <c r="I24" s="5" t="inlineStr">
        <is>
          <t>D3突破</t>
        </is>
      </c>
      <c r="J24" s="5" t="inlineStr">
        <is>
          <t>D4首板</t>
        </is>
      </c>
      <c r="K24" s="5" t="inlineStr">
        <is>
          <t>D5潜突</t>
        </is>
      </c>
      <c r="L24" s="5" t="inlineStr">
        <is>
          <t>D6连板</t>
        </is>
      </c>
      <c r="M24" s="5" t="inlineStr">
        <is>
          <t>D7一字</t>
        </is>
      </c>
      <c r="N24" s="5" t="inlineStr">
        <is>
          <t>D8活跃</t>
        </is>
      </c>
      <c r="O24" s="5" t="inlineStr">
        <is>
          <t>大成交额加分</t>
        </is>
      </c>
      <c r="P24" s="5" t="inlineStr">
        <is>
          <t>得分明细</t>
        </is>
      </c>
    </row>
    <row r="25">
      <c r="A25" t="n">
        <v>1</v>
      </c>
      <c r="B25" t="inlineStr">
        <is>
          <t>600397</t>
        </is>
      </c>
      <c r="C25" t="inlineStr">
        <is>
          <t>江钨装备</t>
        </is>
      </c>
      <c r="D25" t="n">
        <v>30</v>
      </c>
      <c r="E25" t="n">
        <v>10.01</v>
      </c>
      <c r="F25" t="n">
        <v>0.01</v>
      </c>
      <c r="G25" t="n">
        <v>8</v>
      </c>
      <c r="H25" t="n">
        <v>6</v>
      </c>
      <c r="I25" t="n">
        <v>5</v>
      </c>
      <c r="J25" t="n">
        <v>3</v>
      </c>
      <c r="K25" t="n">
        <v>0</v>
      </c>
      <c r="L25" t="n">
        <v>5</v>
      </c>
      <c r="M25" t="n">
        <v>0</v>
      </c>
      <c r="N25" t="n">
        <v>3</v>
      </c>
      <c r="O25" t="n">
        <v>0</v>
      </c>
      <c r="P25" t="inlineStr">
        <is>
          <t>D1新高=8,D2强势=6,D3突破=5,D4首板=3,D5潜突=0,D6连板=5,D7一字=0,D8活跃=3,bonus=0</t>
        </is>
      </c>
    </row>
    <row r="26">
      <c r="A26" t="n">
        <v>2</v>
      </c>
      <c r="B26" t="inlineStr">
        <is>
          <t>002756</t>
        </is>
      </c>
      <c r="C26" t="inlineStr">
        <is>
          <t>永兴材料</t>
        </is>
      </c>
      <c r="D26" t="n">
        <v>0</v>
      </c>
      <c r="E26" t="n">
        <v>-1.48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inlineStr">
        <is>
          <t>D1新高=0,D2强势=0,D3突破=0,D4首板=0,D5潜突=0,D6连板=0,D7一字=0,D8活跃=0,bonus=0</t>
        </is>
      </c>
    </row>
    <row r="27"/>
    <row r="28">
      <c r="A28" s="4" t="inlineStr">
        <is>
          <t>--- 细分: 铟 ---</t>
        </is>
      </c>
    </row>
    <row r="29">
      <c r="A29" s="5" t="inlineStr">
        <is>
          <t>排名</t>
        </is>
      </c>
      <c r="B29" s="5" t="inlineStr">
        <is>
          <t>代码</t>
        </is>
      </c>
      <c r="C29" s="5" t="inlineStr">
        <is>
          <t>名称</t>
        </is>
      </c>
      <c r="D29" s="5" t="inlineStr">
        <is>
          <t>得分</t>
        </is>
      </c>
      <c r="E29" s="5" t="inlineStr">
        <is>
          <t>涨跌幅%</t>
        </is>
      </c>
      <c r="F29" s="5" t="inlineStr">
        <is>
          <t>成交额(亿)</t>
        </is>
      </c>
      <c r="G29" s="5" t="inlineStr">
        <is>
          <t>D1新高</t>
        </is>
      </c>
      <c r="H29" s="5" t="inlineStr">
        <is>
          <t>D2强势</t>
        </is>
      </c>
      <c r="I29" s="5" t="inlineStr">
        <is>
          <t>D3突破</t>
        </is>
      </c>
      <c r="J29" s="5" t="inlineStr">
        <is>
          <t>D4首板</t>
        </is>
      </c>
      <c r="K29" s="5" t="inlineStr">
        <is>
          <t>D5潜突</t>
        </is>
      </c>
      <c r="L29" s="5" t="inlineStr">
        <is>
          <t>D6连板</t>
        </is>
      </c>
      <c r="M29" s="5" t="inlineStr">
        <is>
          <t>D7一字</t>
        </is>
      </c>
      <c r="N29" s="5" t="inlineStr">
        <is>
          <t>D8活跃</t>
        </is>
      </c>
      <c r="O29" s="5" t="inlineStr">
        <is>
          <t>大成交额加分</t>
        </is>
      </c>
      <c r="P29" s="5" t="inlineStr">
        <is>
          <t>得分明细</t>
        </is>
      </c>
    </row>
    <row r="30">
      <c r="A30" t="n">
        <v>1</v>
      </c>
      <c r="B30" t="inlineStr">
        <is>
          <t>603588</t>
        </is>
      </c>
      <c r="C30" t="inlineStr">
        <is>
          <t>高能环境</t>
        </is>
      </c>
      <c r="D30" t="n">
        <v>8</v>
      </c>
      <c r="E30" t="n">
        <v>5.51</v>
      </c>
      <c r="F30" t="n">
        <v>0.01</v>
      </c>
      <c r="G30" t="n">
        <v>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D1新高=8,D2强势=0,D3突破=0,D4首板=0,D5潜突=0,D6连板=0,D7一字=0,D8活跃=0,bonus=0</t>
        </is>
      </c>
    </row>
    <row r="31">
      <c r="A31" t="n">
        <v>2</v>
      </c>
      <c r="B31" t="inlineStr">
        <is>
          <t>600961</t>
        </is>
      </c>
      <c r="C31" t="inlineStr">
        <is>
          <t>株冶集团</t>
        </is>
      </c>
      <c r="D31" t="n">
        <v>3</v>
      </c>
      <c r="E31" t="n">
        <v>-1.69</v>
      </c>
      <c r="F31" t="n">
        <v>0.01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inlineStr">
        <is>
          <t>D1新高=0,D2强势=0,D3突破=0,D4首板=0,D5潜突=0,D6连板=0,D7一字=0,D8活跃=3,bonus=0</t>
        </is>
      </c>
    </row>
    <row r="32">
      <c r="A32" t="n">
        <v>3</v>
      </c>
      <c r="B32" t="inlineStr">
        <is>
          <t>000751</t>
        </is>
      </c>
      <c r="C32" t="inlineStr">
        <is>
          <t>锌业股份</t>
        </is>
      </c>
      <c r="D32" t="n">
        <v>3</v>
      </c>
      <c r="E32" t="n">
        <v>-2.85</v>
      </c>
      <c r="F32" t="n">
        <v>0.01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3</v>
      </c>
      <c r="O32" t="n">
        <v>0</v>
      </c>
      <c r="P32" t="inlineStr">
        <is>
          <t>D1新高=0,D2强势=0,D3突破=0,D4首板=0,D5潜突=0,D6连板=0,D7一字=0,D8活跃=3,bonus=0</t>
        </is>
      </c>
    </row>
    <row r="33">
      <c r="A33" t="n">
        <v>4</v>
      </c>
      <c r="B33" t="inlineStr">
        <is>
          <t>301500</t>
        </is>
      </c>
      <c r="C33" t="inlineStr">
        <is>
          <t>飞南资源</t>
        </is>
      </c>
      <c r="D33" t="n">
        <v>3</v>
      </c>
      <c r="E33" t="n">
        <v>-2.19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3</v>
      </c>
      <c r="O33" t="n">
        <v>0</v>
      </c>
      <c r="P33" t="inlineStr">
        <is>
          <t>D1新高=0,D2强势=0,D3突破=0,D4首板=0,D5潜突=0,D6连板=0,D7一字=0,D8活跃=3,bonus=0</t>
        </is>
      </c>
    </row>
    <row r="34"/>
    <row r="35">
      <c r="A35" s="4" t="inlineStr">
        <is>
          <t>--- 细分: 锑 ---</t>
        </is>
      </c>
    </row>
    <row r="36">
      <c r="A36" s="5" t="inlineStr">
        <is>
          <t>排名</t>
        </is>
      </c>
      <c r="B36" s="5" t="inlineStr">
        <is>
          <t>代码</t>
        </is>
      </c>
      <c r="C36" s="5" t="inlineStr">
        <is>
          <t>名称</t>
        </is>
      </c>
      <c r="D36" s="5" t="inlineStr">
        <is>
          <t>得分</t>
        </is>
      </c>
      <c r="E36" s="5" t="inlineStr">
        <is>
          <t>涨跌幅%</t>
        </is>
      </c>
      <c r="F36" s="5" t="inlineStr">
        <is>
          <t>成交额(亿)</t>
        </is>
      </c>
      <c r="G36" s="5" t="inlineStr">
        <is>
          <t>D1新高</t>
        </is>
      </c>
      <c r="H36" s="5" t="inlineStr">
        <is>
          <t>D2强势</t>
        </is>
      </c>
      <c r="I36" s="5" t="inlineStr">
        <is>
          <t>D3突破</t>
        </is>
      </c>
      <c r="J36" s="5" t="inlineStr">
        <is>
          <t>D4首板</t>
        </is>
      </c>
      <c r="K36" s="5" t="inlineStr">
        <is>
          <t>D5潜突</t>
        </is>
      </c>
      <c r="L36" s="5" t="inlineStr">
        <is>
          <t>D6连板</t>
        </is>
      </c>
      <c r="M36" s="5" t="inlineStr">
        <is>
          <t>D7一字</t>
        </is>
      </c>
      <c r="N36" s="5" t="inlineStr">
        <is>
          <t>D8活跃</t>
        </is>
      </c>
      <c r="O36" s="5" t="inlineStr">
        <is>
          <t>大成交额加分</t>
        </is>
      </c>
      <c r="P36" s="5" t="inlineStr">
        <is>
          <t>得分明细</t>
        </is>
      </c>
    </row>
    <row r="37">
      <c r="A37" t="n">
        <v>1</v>
      </c>
      <c r="B37" t="inlineStr">
        <is>
          <t>601020</t>
        </is>
      </c>
      <c r="C37" t="inlineStr">
        <is>
          <t>华钰矿业</t>
        </is>
      </c>
      <c r="D37" t="n">
        <v>3</v>
      </c>
      <c r="E37" t="n">
        <v>-1.89</v>
      </c>
      <c r="F37" t="n">
        <v>0.01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</v>
      </c>
      <c r="O37" t="n">
        <v>0</v>
      </c>
      <c r="P37" t="inlineStr">
        <is>
          <t>D1新高=0,D2强势=0,D3突破=0,D4首板=0,D5潜突=0,D6连板=0,D7一字=0,D8活跃=3,bonus=0</t>
        </is>
      </c>
    </row>
    <row r="38">
      <c r="A38" t="n">
        <v>2</v>
      </c>
      <c r="B38" t="inlineStr">
        <is>
          <t>600868</t>
        </is>
      </c>
      <c r="C38" t="inlineStr">
        <is>
          <t>梅雁吉祥</t>
        </is>
      </c>
      <c r="D38" t="n">
        <v>3</v>
      </c>
      <c r="E38" t="n">
        <v>-2.27</v>
      </c>
      <c r="F38" t="n">
        <v>0.01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</v>
      </c>
      <c r="O38" t="n">
        <v>0</v>
      </c>
      <c r="P38" t="inlineStr">
        <is>
          <t>D1新高=0,D2强势=0,D3突破=0,D4首板=0,D5潜突=0,D6连板=0,D7一字=0,D8活跃=3,bonus=0</t>
        </is>
      </c>
    </row>
    <row r="39"/>
    <row r="40">
      <c r="A40" s="4" t="inlineStr">
        <is>
          <t>--- 细分: 钼 ---</t>
        </is>
      </c>
    </row>
    <row r="41">
      <c r="A41" s="5" t="inlineStr">
        <is>
          <t>排名</t>
        </is>
      </c>
      <c r="B41" s="5" t="inlineStr">
        <is>
          <t>代码</t>
        </is>
      </c>
      <c r="C41" s="5" t="inlineStr">
        <is>
          <t>名称</t>
        </is>
      </c>
      <c r="D41" s="5" t="inlineStr">
        <is>
          <t>得分</t>
        </is>
      </c>
      <c r="E41" s="5" t="inlineStr">
        <is>
          <t>涨跌幅%</t>
        </is>
      </c>
      <c r="F41" s="5" t="inlineStr">
        <is>
          <t>成交额(亿)</t>
        </is>
      </c>
      <c r="G41" s="5" t="inlineStr">
        <is>
          <t>D1新高</t>
        </is>
      </c>
      <c r="H41" s="5" t="inlineStr">
        <is>
          <t>D2强势</t>
        </is>
      </c>
      <c r="I41" s="5" t="inlineStr">
        <is>
          <t>D3突破</t>
        </is>
      </c>
      <c r="J41" s="5" t="inlineStr">
        <is>
          <t>D4首板</t>
        </is>
      </c>
      <c r="K41" s="5" t="inlineStr">
        <is>
          <t>D5潜突</t>
        </is>
      </c>
      <c r="L41" s="5" t="inlineStr">
        <is>
          <t>D6连板</t>
        </is>
      </c>
      <c r="M41" s="5" t="inlineStr">
        <is>
          <t>D7一字</t>
        </is>
      </c>
      <c r="N41" s="5" t="inlineStr">
        <is>
          <t>D8活跃</t>
        </is>
      </c>
      <c r="O41" s="5" t="inlineStr">
        <is>
          <t>大成交额加分</t>
        </is>
      </c>
      <c r="P41" s="5" t="inlineStr">
        <is>
          <t>得分明细</t>
        </is>
      </c>
    </row>
    <row r="42">
      <c r="A42" t="n">
        <v>1</v>
      </c>
      <c r="B42" t="inlineStr">
        <is>
          <t>001257</t>
        </is>
      </c>
      <c r="C42" t="inlineStr">
        <is>
          <t>盛龙股份</t>
        </is>
      </c>
      <c r="D42" t="n">
        <v>9</v>
      </c>
      <c r="E42" t="n">
        <v>-2.5</v>
      </c>
      <c r="F42" t="n">
        <v>0.01</v>
      </c>
      <c r="G42" t="n">
        <v>0</v>
      </c>
      <c r="H42" t="n">
        <v>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inlineStr">
        <is>
          <t>D1新高=0,D2强势=6,D3突破=0,D4首板=0,D5潜突=0,D6连板=0,D7一字=0,D8活跃=3,bonus=0</t>
        </is>
      </c>
    </row>
    <row r="43">
      <c r="A43" t="n">
        <v>2</v>
      </c>
      <c r="B43" t="inlineStr">
        <is>
          <t>601958</t>
        </is>
      </c>
      <c r="C43" t="inlineStr">
        <is>
          <t>金钼股份</t>
        </is>
      </c>
      <c r="D43" t="n">
        <v>3</v>
      </c>
      <c r="E43" t="n">
        <v>-1.42</v>
      </c>
      <c r="F43" t="n">
        <v>0.02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3</v>
      </c>
      <c r="O43" t="n">
        <v>0</v>
      </c>
      <c r="P43" t="inlineStr">
        <is>
          <t>D1新高=0,D2强势=0,D3突破=0,D4首板=0,D5潜突=0,D6连板=0,D7一字=0,D8活跃=3,bonus=0</t>
        </is>
      </c>
    </row>
    <row r="44">
      <c r="A44" t="n">
        <v>3</v>
      </c>
      <c r="B44" t="inlineStr">
        <is>
          <t>000688</t>
        </is>
      </c>
      <c r="C44" t="inlineStr">
        <is>
          <t>国城矿业</t>
        </is>
      </c>
      <c r="D44" t="n">
        <v>3</v>
      </c>
      <c r="E44" t="n">
        <v>-2.32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inlineStr">
        <is>
          <t>D1新高=0,D2强势=0,D3突破=0,D4首板=0,D5潜突=0,D6连板=0,D7一字=0,D8活跃=3,bonus=0</t>
        </is>
      </c>
    </row>
    <row r="45">
      <c r="A45" t="n">
        <v>4</v>
      </c>
      <c r="B45" t="inlineStr">
        <is>
          <t>600188</t>
        </is>
      </c>
      <c r="C45" t="inlineStr">
        <is>
          <t>兖矿能源</t>
        </is>
      </c>
      <c r="D45" t="n">
        <v>0</v>
      </c>
      <c r="E45" t="n">
        <v>-3.7</v>
      </c>
      <c r="F45" t="n">
        <v>0.01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D1新高=0,D2强势=0,D3突破=0,D4首板=0,D5潜突=0,D6连板=0,D7一字=0,D8活跃=0,bonus=0</t>
        </is>
      </c>
    </row>
    <row r="46">
      <c r="A46" t="n">
        <v>5</v>
      </c>
      <c r="B46" t="inlineStr">
        <is>
          <t>601390</t>
        </is>
      </c>
      <c r="C46" t="inlineStr">
        <is>
          <t>中国中铁</t>
        </is>
      </c>
      <c r="D46" t="n">
        <v>0</v>
      </c>
      <c r="E46" t="n">
        <v>2.41</v>
      </c>
      <c r="F46" t="n">
        <v>0.02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D1新高=0,D2强势=0,D3突破=0,D4首板=0,D5潜突=0,D6连板=0,D7一字=0,D8活跃=0,bonus=0</t>
        </is>
      </c>
    </row>
    <row r="47"/>
    <row r="48">
      <c r="A48" s="4" t="inlineStr">
        <is>
          <t>--- 细分: 钽 ---</t>
        </is>
      </c>
    </row>
    <row r="49">
      <c r="A49" s="5" t="inlineStr">
        <is>
          <t>排名</t>
        </is>
      </c>
      <c r="B49" s="5" t="inlineStr">
        <is>
          <t>代码</t>
        </is>
      </c>
      <c r="C49" s="5" t="inlineStr">
        <is>
          <t>名称</t>
        </is>
      </c>
      <c r="D49" s="5" t="inlineStr">
        <is>
          <t>得分</t>
        </is>
      </c>
      <c r="E49" s="5" t="inlineStr">
        <is>
          <t>涨跌幅%</t>
        </is>
      </c>
      <c r="F49" s="5" t="inlineStr">
        <is>
          <t>成交额(亿)</t>
        </is>
      </c>
      <c r="G49" s="5" t="inlineStr">
        <is>
          <t>D1新高</t>
        </is>
      </c>
      <c r="H49" s="5" t="inlineStr">
        <is>
          <t>D2强势</t>
        </is>
      </c>
      <c r="I49" s="5" t="inlineStr">
        <is>
          <t>D3突破</t>
        </is>
      </c>
      <c r="J49" s="5" t="inlineStr">
        <is>
          <t>D4首板</t>
        </is>
      </c>
      <c r="K49" s="5" t="inlineStr">
        <is>
          <t>D5潜突</t>
        </is>
      </c>
      <c r="L49" s="5" t="inlineStr">
        <is>
          <t>D6连板</t>
        </is>
      </c>
      <c r="M49" s="5" t="inlineStr">
        <is>
          <t>D7一字</t>
        </is>
      </c>
      <c r="N49" s="5" t="inlineStr">
        <is>
          <t>D8活跃</t>
        </is>
      </c>
      <c r="O49" s="5" t="inlineStr">
        <is>
          <t>大成交额加分</t>
        </is>
      </c>
      <c r="P49" s="5" t="inlineStr">
        <is>
          <t>得分明细</t>
        </is>
      </c>
    </row>
    <row r="50">
      <c r="A50" t="n">
        <v>1</v>
      </c>
      <c r="B50" t="inlineStr">
        <is>
          <t>000510</t>
        </is>
      </c>
      <c r="C50" t="inlineStr">
        <is>
          <t>新金路</t>
        </is>
      </c>
      <c r="D50" t="n">
        <v>3</v>
      </c>
      <c r="E50" t="n">
        <v>-4.05</v>
      </c>
      <c r="F50" t="n">
        <v>0.01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3</v>
      </c>
      <c r="O50" t="n">
        <v>0</v>
      </c>
      <c r="P50" t="inlineStr">
        <is>
          <t>D1新高=0,D2强势=0,D3突破=0,D4首板=0,D5潜突=0,D6连板=0,D7一字=0,D8活跃=3,bonus=0</t>
        </is>
      </c>
    </row>
    <row r="51"/>
    <row r="52">
      <c r="A52" s="4" t="inlineStr">
        <is>
          <t>--- 细分: 铟 ---</t>
        </is>
      </c>
    </row>
    <row r="53">
      <c r="A53" s="5" t="inlineStr">
        <is>
          <t>排名</t>
        </is>
      </c>
      <c r="B53" s="5" t="inlineStr">
        <is>
          <t>代码</t>
        </is>
      </c>
      <c r="C53" s="5" t="inlineStr">
        <is>
          <t>名称</t>
        </is>
      </c>
      <c r="D53" s="5" t="inlineStr">
        <is>
          <t>得分</t>
        </is>
      </c>
      <c r="E53" s="5" t="inlineStr">
        <is>
          <t>涨跌幅%</t>
        </is>
      </c>
      <c r="F53" s="5" t="inlineStr">
        <is>
          <t>成交额(亿)</t>
        </is>
      </c>
      <c r="G53" s="5" t="inlineStr">
        <is>
          <t>D1新高</t>
        </is>
      </c>
      <c r="H53" s="5" t="inlineStr">
        <is>
          <t>D2强势</t>
        </is>
      </c>
      <c r="I53" s="5" t="inlineStr">
        <is>
          <t>D3突破</t>
        </is>
      </c>
      <c r="J53" s="5" t="inlineStr">
        <is>
          <t>D4首板</t>
        </is>
      </c>
      <c r="K53" s="5" t="inlineStr">
        <is>
          <t>D5潜突</t>
        </is>
      </c>
      <c r="L53" s="5" t="inlineStr">
        <is>
          <t>D6连板</t>
        </is>
      </c>
      <c r="M53" s="5" t="inlineStr">
        <is>
          <t>D7一字</t>
        </is>
      </c>
      <c r="N53" s="5" t="inlineStr">
        <is>
          <t>D8活跃</t>
        </is>
      </c>
      <c r="O53" s="5" t="inlineStr">
        <is>
          <t>大成交额加分</t>
        </is>
      </c>
      <c r="P53" s="5" t="inlineStr">
        <is>
          <t>得分明细</t>
        </is>
      </c>
    </row>
    <row r="54">
      <c r="A54" t="n">
        <v>1</v>
      </c>
      <c r="B54" t="inlineStr">
        <is>
          <t>000960</t>
        </is>
      </c>
      <c r="C54" t="inlineStr">
        <is>
          <t>锡业股份</t>
        </is>
      </c>
      <c r="D54" t="n">
        <v>3</v>
      </c>
      <c r="E54" t="n">
        <v>-0.5</v>
      </c>
      <c r="F54" t="n">
        <v>0.01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3</v>
      </c>
      <c r="O54" t="n">
        <v>0</v>
      </c>
      <c r="P54" t="inlineStr">
        <is>
          <t>D1新高=0,D2强势=0,D3突破=0,D4首板=0,D5潜突=0,D6连板=0,D7一字=0,D8活跃=3,bonus=0</t>
        </is>
      </c>
    </row>
    <row r="55"/>
    <row r="56">
      <c r="A56" s="4" t="inlineStr">
        <is>
          <t>--- 细分: 铜 ---</t>
        </is>
      </c>
    </row>
    <row r="57">
      <c r="A57" s="5" t="inlineStr">
        <is>
          <t>排名</t>
        </is>
      </c>
      <c r="B57" s="5" t="inlineStr">
        <is>
          <t>代码</t>
        </is>
      </c>
      <c r="C57" s="5" t="inlineStr">
        <is>
          <t>名称</t>
        </is>
      </c>
      <c r="D57" s="5" t="inlineStr">
        <is>
          <t>得分</t>
        </is>
      </c>
      <c r="E57" s="5" t="inlineStr">
        <is>
          <t>涨跌幅%</t>
        </is>
      </c>
      <c r="F57" s="5" t="inlineStr">
        <is>
          <t>成交额(亿)</t>
        </is>
      </c>
      <c r="G57" s="5" t="inlineStr">
        <is>
          <t>D1新高</t>
        </is>
      </c>
      <c r="H57" s="5" t="inlineStr">
        <is>
          <t>D2强势</t>
        </is>
      </c>
      <c r="I57" s="5" t="inlineStr">
        <is>
          <t>D3突破</t>
        </is>
      </c>
      <c r="J57" s="5" t="inlineStr">
        <is>
          <t>D4首板</t>
        </is>
      </c>
      <c r="K57" s="5" t="inlineStr">
        <is>
          <t>D5潜突</t>
        </is>
      </c>
      <c r="L57" s="5" t="inlineStr">
        <is>
          <t>D6连板</t>
        </is>
      </c>
      <c r="M57" s="5" t="inlineStr">
        <is>
          <t>D7一字</t>
        </is>
      </c>
      <c r="N57" s="5" t="inlineStr">
        <is>
          <t>D8活跃</t>
        </is>
      </c>
      <c r="O57" s="5" t="inlineStr">
        <is>
          <t>大成交额加分</t>
        </is>
      </c>
      <c r="P57" s="5" t="inlineStr">
        <is>
          <t>得分明细</t>
        </is>
      </c>
    </row>
    <row r="58">
      <c r="A58" t="n">
        <v>1</v>
      </c>
      <c r="B58" t="inlineStr">
        <is>
          <t>000630</t>
        </is>
      </c>
      <c r="C58" t="inlineStr">
        <is>
          <t>铜陵有色</t>
        </is>
      </c>
      <c r="D58" t="n">
        <v>3</v>
      </c>
      <c r="E58" t="n">
        <v>-0.13</v>
      </c>
      <c r="F58" t="n">
        <v>0.06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inlineStr">
        <is>
          <t>D1新高=0,D2强势=0,D3突破=0,D4首板=0,D5潜突=0,D6连板=0,D7一字=0,D8活跃=3,bonus=0</t>
        </is>
      </c>
    </row>
    <row r="59">
      <c r="A59" t="n">
        <v>2</v>
      </c>
      <c r="B59" t="inlineStr">
        <is>
          <t>000758</t>
        </is>
      </c>
      <c r="C59" t="inlineStr">
        <is>
          <t>辽宁能源</t>
        </is>
      </c>
      <c r="D59" t="n">
        <v>3</v>
      </c>
      <c r="E59" t="n">
        <v>-2.11</v>
      </c>
      <c r="F59" t="n">
        <v>0.01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inlineStr">
        <is>
          <t>D1新高=0,D2强势=0,D3突破=0,D4首板=0,D5潜突=0,D6连板=0,D7一字=0,D8活跃=3,bonus=0</t>
        </is>
      </c>
    </row>
    <row r="60">
      <c r="A60" t="n">
        <v>3</v>
      </c>
      <c r="B60" t="inlineStr">
        <is>
          <t>000737</t>
        </is>
      </c>
      <c r="C60" t="inlineStr">
        <is>
          <t>北方铜业</t>
        </is>
      </c>
      <c r="D60" t="n">
        <v>3</v>
      </c>
      <c r="E60" t="n">
        <v>-0.2</v>
      </c>
      <c r="F60" t="n">
        <v>0.01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inlineStr">
        <is>
          <t>D1新高=0,D2强势=0,D3突破=0,D4首板=0,D5潜突=0,D6连板=0,D7一字=0,D8活跃=3,bonus=0</t>
        </is>
      </c>
    </row>
    <row r="61">
      <c r="A61" t="n">
        <v>4</v>
      </c>
      <c r="B61" t="inlineStr">
        <is>
          <t>000923</t>
        </is>
      </c>
      <c r="C61" t="inlineStr">
        <is>
          <t>河钢资源</t>
        </is>
      </c>
      <c r="D61" t="n">
        <v>0</v>
      </c>
      <c r="E61" t="n">
        <v>-1.7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D1新高=0,D2强势=0,D3突破=0,D4首板=0,D5潜突=0,D6连板=0,D7一字=0,D8活跃=0,bonus=0</t>
        </is>
      </c>
    </row>
    <row r="62">
      <c r="A62" t="n">
        <v>5</v>
      </c>
      <c r="B62" t="inlineStr">
        <is>
          <t>000878</t>
        </is>
      </c>
      <c r="C62" t="inlineStr">
        <is>
          <t>云南铜业</t>
        </is>
      </c>
      <c r="D62" t="n">
        <v>0</v>
      </c>
      <c r="E62" t="n">
        <v>0.62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D1新高=0,D2强势=0,D3突破=0,D4首板=0,D5潜突=0,D6连板=0,D7一字=0,D8活跃=0,bonus=0</t>
        </is>
      </c>
    </row>
    <row r="63">
      <c r="A63" t="n">
        <v>6</v>
      </c>
      <c r="B63" t="inlineStr">
        <is>
          <t>603843</t>
        </is>
      </c>
      <c r="C63" t="inlineStr">
        <is>
          <t>*ST正平</t>
        </is>
      </c>
      <c r="D63" t="n">
        <v>0</v>
      </c>
      <c r="E63" t="n">
        <v>-4.77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D1新高=0,D2强势=0,D3突破=0,D4首板=0,D5潜突=0,D6连板=0,D7一字=0,D8活跃=0,bonus=0</t>
        </is>
      </c>
    </row>
    <row r="64"/>
    <row r="65">
      <c r="A65" s="4" t="inlineStr">
        <is>
          <t>--- 细分: 钨 ---</t>
        </is>
      </c>
    </row>
    <row r="66">
      <c r="A66" s="5" t="inlineStr">
        <is>
          <t>排名</t>
        </is>
      </c>
      <c r="B66" s="5" t="inlineStr">
        <is>
          <t>代码</t>
        </is>
      </c>
      <c r="C66" s="5" t="inlineStr">
        <is>
          <t>名称</t>
        </is>
      </c>
      <c r="D66" s="5" t="inlineStr">
        <is>
          <t>得分</t>
        </is>
      </c>
      <c r="E66" s="5" t="inlineStr">
        <is>
          <t>涨跌幅%</t>
        </is>
      </c>
      <c r="F66" s="5" t="inlineStr">
        <is>
          <t>成交额(亿)</t>
        </is>
      </c>
      <c r="G66" s="5" t="inlineStr">
        <is>
          <t>D1新高</t>
        </is>
      </c>
      <c r="H66" s="5" t="inlineStr">
        <is>
          <t>D2强势</t>
        </is>
      </c>
      <c r="I66" s="5" t="inlineStr">
        <is>
          <t>D3突破</t>
        </is>
      </c>
      <c r="J66" s="5" t="inlineStr">
        <is>
          <t>D4首板</t>
        </is>
      </c>
      <c r="K66" s="5" t="inlineStr">
        <is>
          <t>D5潜突</t>
        </is>
      </c>
      <c r="L66" s="5" t="inlineStr">
        <is>
          <t>D6连板</t>
        </is>
      </c>
      <c r="M66" s="5" t="inlineStr">
        <is>
          <t>D7一字</t>
        </is>
      </c>
      <c r="N66" s="5" t="inlineStr">
        <is>
          <t>D8活跃</t>
        </is>
      </c>
      <c r="O66" s="5" t="inlineStr">
        <is>
          <t>大成交额加分</t>
        </is>
      </c>
      <c r="P66" s="5" t="inlineStr">
        <is>
          <t>得分明细</t>
        </is>
      </c>
    </row>
    <row r="67">
      <c r="A67" t="n">
        <v>1</v>
      </c>
      <c r="B67" t="inlineStr">
        <is>
          <t>600108</t>
        </is>
      </c>
      <c r="C67" t="inlineStr">
        <is>
          <t>亚盛集团</t>
        </is>
      </c>
      <c r="D67" t="n">
        <v>3</v>
      </c>
      <c r="E67" t="n">
        <v>-6.03</v>
      </c>
      <c r="F67" t="n">
        <v>0.01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3</v>
      </c>
      <c r="O67" t="n">
        <v>0</v>
      </c>
      <c r="P67" t="inlineStr">
        <is>
          <t>D1新高=0,D2强势=0,D3突破=0,D4首板=0,D5潜突=0,D6连板=0,D7一字=0,D8活跃=3,bonus=0</t>
        </is>
      </c>
    </row>
    <row r="68">
      <c r="A68" t="n">
        <v>2</v>
      </c>
      <c r="B68" t="inlineStr">
        <is>
          <t>001203</t>
        </is>
      </c>
      <c r="C68" t="inlineStr">
        <is>
          <t>大中矿业</t>
        </is>
      </c>
      <c r="D68" t="n">
        <v>0</v>
      </c>
      <c r="E68" t="n">
        <v>-7.96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D1新高=0,D2强势=0,D3突破=0,D4首板=0,D5潜突=0,D6连板=0,D7一字=0,D8活跃=0,bonus=0</t>
        </is>
      </c>
    </row>
    <row r="69"/>
    <row r="70">
      <c r="A70" s="4" t="inlineStr">
        <is>
          <t>--- 细分: 铜 ---</t>
        </is>
      </c>
    </row>
    <row r="71">
      <c r="A71" s="5" t="inlineStr">
        <is>
          <t>排名</t>
        </is>
      </c>
      <c r="B71" s="5" t="inlineStr">
        <is>
          <t>代码</t>
        </is>
      </c>
      <c r="C71" s="5" t="inlineStr">
        <is>
          <t>名称</t>
        </is>
      </c>
      <c r="D71" s="5" t="inlineStr">
        <is>
          <t>得分</t>
        </is>
      </c>
      <c r="E71" s="5" t="inlineStr">
        <is>
          <t>涨跌幅%</t>
        </is>
      </c>
      <c r="F71" s="5" t="inlineStr">
        <is>
          <t>成交额(亿)</t>
        </is>
      </c>
      <c r="G71" s="5" t="inlineStr">
        <is>
          <t>D1新高</t>
        </is>
      </c>
      <c r="H71" s="5" t="inlineStr">
        <is>
          <t>D2强势</t>
        </is>
      </c>
      <c r="I71" s="5" t="inlineStr">
        <is>
          <t>D3突破</t>
        </is>
      </c>
      <c r="J71" s="5" t="inlineStr">
        <is>
          <t>D4首板</t>
        </is>
      </c>
      <c r="K71" s="5" t="inlineStr">
        <is>
          <t>D5潜突</t>
        </is>
      </c>
      <c r="L71" s="5" t="inlineStr">
        <is>
          <t>D6连板</t>
        </is>
      </c>
      <c r="M71" s="5" t="inlineStr">
        <is>
          <t>D7一字</t>
        </is>
      </c>
      <c r="N71" s="5" t="inlineStr">
        <is>
          <t>D8活跃</t>
        </is>
      </c>
      <c r="O71" s="5" t="inlineStr">
        <is>
          <t>大成交额加分</t>
        </is>
      </c>
      <c r="P71" s="5" t="inlineStr">
        <is>
          <t>得分明细</t>
        </is>
      </c>
    </row>
    <row r="72">
      <c r="A72" t="n">
        <v>1</v>
      </c>
      <c r="B72" t="inlineStr">
        <is>
          <t>603993</t>
        </is>
      </c>
      <c r="C72" t="inlineStr">
        <is>
          <t>洛阳钼业</t>
        </is>
      </c>
      <c r="D72" t="n">
        <v>3</v>
      </c>
      <c r="E72" t="n">
        <v>0.7</v>
      </c>
      <c r="F72" t="n">
        <v>0.04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D1新高=0,D2强势=0,D3突破=0,D4首板=0,D5潜突=0,D6连板=0,D7一字=0,D8活跃=3,bonus=0</t>
        </is>
      </c>
    </row>
    <row r="73">
      <c r="A73" t="n">
        <v>2</v>
      </c>
      <c r="B73" t="inlineStr">
        <is>
          <t>600362</t>
        </is>
      </c>
      <c r="C73" t="inlineStr">
        <is>
          <t>江西铜业</t>
        </is>
      </c>
      <c r="D73" t="n">
        <v>3</v>
      </c>
      <c r="E73" t="n">
        <v>4.22</v>
      </c>
      <c r="F73" t="n">
        <v>0.01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3</v>
      </c>
      <c r="O73" t="n">
        <v>0</v>
      </c>
      <c r="P73" t="inlineStr">
        <is>
          <t>D1新高=0,D2强势=0,D3突破=0,D4首板=0,D5潜突=0,D6连板=0,D7一字=0,D8活跃=3,bonus=0</t>
        </is>
      </c>
    </row>
    <row r="74">
      <c r="A74" t="n">
        <v>3</v>
      </c>
      <c r="B74" t="inlineStr">
        <is>
          <t>600489</t>
        </is>
      </c>
      <c r="C74" t="inlineStr">
        <is>
          <t>中金黄金</t>
        </is>
      </c>
      <c r="D74" t="n">
        <v>0</v>
      </c>
      <c r="E74" t="n">
        <v>0.8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inlineStr">
        <is>
          <t>D1新高=0,D2强势=0,D3突破=0,D4首板=0,D5潜突=0,D6连板=0,D7一字=0,D8活跃=0,bonus=0</t>
        </is>
      </c>
    </row>
    <row r="75">
      <c r="A75" t="n">
        <v>4</v>
      </c>
      <c r="B75" t="inlineStr">
        <is>
          <t>601168</t>
        </is>
      </c>
      <c r="C75" t="inlineStr">
        <is>
          <t>西部矿业</t>
        </is>
      </c>
      <c r="D75" t="n">
        <v>0</v>
      </c>
      <c r="E75" t="n">
        <v>1.78</v>
      </c>
      <c r="F75" t="n">
        <v>0.01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inlineStr">
        <is>
          <t>D1新高=0,D2强势=0,D3突破=0,D4首板=0,D5潜突=0,D6连板=0,D7一字=0,D8活跃=0,bonus=0</t>
        </is>
      </c>
    </row>
    <row r="76"/>
    <row r="77">
      <c r="A77" s="4" t="inlineStr">
        <is>
          <t>--- 细分: 锡 ---</t>
        </is>
      </c>
    </row>
    <row r="78">
      <c r="A78" s="5" t="inlineStr">
        <is>
          <t>排名</t>
        </is>
      </c>
      <c r="B78" s="5" t="inlineStr">
        <is>
          <t>代码</t>
        </is>
      </c>
      <c r="C78" s="5" t="inlineStr">
        <is>
          <t>名称</t>
        </is>
      </c>
      <c r="D78" s="5" t="inlineStr">
        <is>
          <t>得分</t>
        </is>
      </c>
      <c r="E78" s="5" t="inlineStr">
        <is>
          <t>涨跌幅%</t>
        </is>
      </c>
      <c r="F78" s="5" t="inlineStr">
        <is>
          <t>成交额(亿)</t>
        </is>
      </c>
      <c r="G78" s="5" t="inlineStr">
        <is>
          <t>D1新高</t>
        </is>
      </c>
      <c r="H78" s="5" t="inlineStr">
        <is>
          <t>D2强势</t>
        </is>
      </c>
      <c r="I78" s="5" t="inlineStr">
        <is>
          <t>D3突破</t>
        </is>
      </c>
      <c r="J78" s="5" t="inlineStr">
        <is>
          <t>D4首板</t>
        </is>
      </c>
      <c r="K78" s="5" t="inlineStr">
        <is>
          <t>D5潜突</t>
        </is>
      </c>
      <c r="L78" s="5" t="inlineStr">
        <is>
          <t>D6连板</t>
        </is>
      </c>
      <c r="M78" s="5" t="inlineStr">
        <is>
          <t>D7一字</t>
        </is>
      </c>
      <c r="N78" s="5" t="inlineStr">
        <is>
          <t>D8活跃</t>
        </is>
      </c>
      <c r="O78" s="5" t="inlineStr">
        <is>
          <t>大成交额加分</t>
        </is>
      </c>
      <c r="P78" s="5" t="inlineStr">
        <is>
          <t>得分明细</t>
        </is>
      </c>
    </row>
    <row r="79">
      <c r="A79" t="n">
        <v>1</v>
      </c>
      <c r="B79" t="inlineStr">
        <is>
          <t>600711</t>
        </is>
      </c>
      <c r="C79" t="inlineStr">
        <is>
          <t>盛屯矿业</t>
        </is>
      </c>
      <c r="D79" t="n">
        <v>3</v>
      </c>
      <c r="E79" t="n">
        <v>-1.28</v>
      </c>
      <c r="F79" t="n">
        <v>0.01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</v>
      </c>
      <c r="O79" t="n">
        <v>0</v>
      </c>
      <c r="P79" t="inlineStr">
        <is>
          <t>D1新高=0,D2强势=0,D3突破=0,D4首板=0,D5潜突=0,D6连板=0,D7一字=0,D8活跃=3,bonus=0</t>
        </is>
      </c>
    </row>
    <row r="80">
      <c r="A80" t="n">
        <v>2</v>
      </c>
      <c r="B80" t="inlineStr">
        <is>
          <t>000975</t>
        </is>
      </c>
      <c r="C80" t="inlineStr">
        <is>
          <t>山金国际</t>
        </is>
      </c>
      <c r="D80" t="n">
        <v>0</v>
      </c>
      <c r="E80" t="n">
        <v>1.06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D1新高=0,D2强势=0,D3突破=0,D4首板=0,D5潜突=0,D6连板=0,D7一字=0,D8活跃=0,bonus=0</t>
        </is>
      </c>
    </row>
    <row r="81"/>
    <row r="82">
      <c r="A82" s="4" t="inlineStr">
        <is>
          <t>--- 细分: 锑 ---</t>
        </is>
      </c>
    </row>
    <row r="83">
      <c r="A83" s="5" t="inlineStr">
        <is>
          <t>排名</t>
        </is>
      </c>
      <c r="B83" s="5" t="inlineStr">
        <is>
          <t>代码</t>
        </is>
      </c>
      <c r="C83" s="5" t="inlineStr">
        <is>
          <t>名称</t>
        </is>
      </c>
      <c r="D83" s="5" t="inlineStr">
        <is>
          <t>得分</t>
        </is>
      </c>
      <c r="E83" s="5" t="inlineStr">
        <is>
          <t>涨跌幅%</t>
        </is>
      </c>
      <c r="F83" s="5" t="inlineStr">
        <is>
          <t>成交额(亿)</t>
        </is>
      </c>
      <c r="G83" s="5" t="inlineStr">
        <is>
          <t>D1新高</t>
        </is>
      </c>
      <c r="H83" s="5" t="inlineStr">
        <is>
          <t>D2强势</t>
        </is>
      </c>
      <c r="I83" s="5" t="inlineStr">
        <is>
          <t>D3突破</t>
        </is>
      </c>
      <c r="J83" s="5" t="inlineStr">
        <is>
          <t>D4首板</t>
        </is>
      </c>
      <c r="K83" s="5" t="inlineStr">
        <is>
          <t>D5潜突</t>
        </is>
      </c>
      <c r="L83" s="5" t="inlineStr">
        <is>
          <t>D6连板</t>
        </is>
      </c>
      <c r="M83" s="5" t="inlineStr">
        <is>
          <t>D7一字</t>
        </is>
      </c>
      <c r="N83" s="5" t="inlineStr">
        <is>
          <t>D8活跃</t>
        </is>
      </c>
      <c r="O83" s="5" t="inlineStr">
        <is>
          <t>大成交额加分</t>
        </is>
      </c>
      <c r="P83" s="5" t="inlineStr">
        <is>
          <t>得分明细</t>
        </is>
      </c>
    </row>
    <row r="84">
      <c r="A84" t="n">
        <v>1</v>
      </c>
      <c r="B84" t="inlineStr">
        <is>
          <t>000426</t>
        </is>
      </c>
      <c r="C84" t="inlineStr">
        <is>
          <t>兴业银锡</t>
        </is>
      </c>
      <c r="D84" t="n">
        <v>0</v>
      </c>
      <c r="E84" t="n">
        <v>1.5</v>
      </c>
      <c r="F84" t="n">
        <v>0.01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D1新高=0,D2强势=0,D3突破=0,D4首板=0,D5潜突=0,D6连板=0,D7一字=0,D8活跃=0,bonus=0</t>
        </is>
      </c>
    </row>
    <row r="85"/>
    <row r="86">
      <c r="A86" s="4" t="inlineStr">
        <is>
          <t>--- 细分: 镓 ---</t>
        </is>
      </c>
    </row>
    <row r="87">
      <c r="A87" s="5" t="inlineStr">
        <is>
          <t>排名</t>
        </is>
      </c>
      <c r="B87" s="5" t="inlineStr">
        <is>
          <t>代码</t>
        </is>
      </c>
      <c r="C87" s="5" t="inlineStr">
        <is>
          <t>名称</t>
        </is>
      </c>
      <c r="D87" s="5" t="inlineStr">
        <is>
          <t>得分</t>
        </is>
      </c>
      <c r="E87" s="5" t="inlineStr">
        <is>
          <t>涨跌幅%</t>
        </is>
      </c>
      <c r="F87" s="5" t="inlineStr">
        <is>
          <t>成交额(亿)</t>
        </is>
      </c>
      <c r="G87" s="5" t="inlineStr">
        <is>
          <t>D1新高</t>
        </is>
      </c>
      <c r="H87" s="5" t="inlineStr">
        <is>
          <t>D2强势</t>
        </is>
      </c>
      <c r="I87" s="5" t="inlineStr">
        <is>
          <t>D3突破</t>
        </is>
      </c>
      <c r="J87" s="5" t="inlineStr">
        <is>
          <t>D4首板</t>
        </is>
      </c>
      <c r="K87" s="5" t="inlineStr">
        <is>
          <t>D5潜突</t>
        </is>
      </c>
      <c r="L87" s="5" t="inlineStr">
        <is>
          <t>D6连板</t>
        </is>
      </c>
      <c r="M87" s="5" t="inlineStr">
        <is>
          <t>D7一字</t>
        </is>
      </c>
      <c r="N87" s="5" t="inlineStr">
        <is>
          <t>D8活跃</t>
        </is>
      </c>
      <c r="O87" s="5" t="inlineStr">
        <is>
          <t>大成交额加分</t>
        </is>
      </c>
      <c r="P87" s="5" t="inlineStr">
        <is>
          <t>得分明细</t>
        </is>
      </c>
    </row>
    <row r="88">
      <c r="A88" t="n">
        <v>1</v>
      </c>
      <c r="B88" t="inlineStr">
        <is>
          <t>600157</t>
        </is>
      </c>
      <c r="C88" t="inlineStr">
        <is>
          <t>永泰能源</t>
        </is>
      </c>
      <c r="D88" t="n">
        <v>0</v>
      </c>
      <c r="E88" t="n">
        <v>-1.76</v>
      </c>
      <c r="F88" t="n">
        <v>0.05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D1新高=0,D2强势=0,D3突破=0,D4首板=0,D5潜突=0,D6连板=0,D7一字=0,D8活跃=0,bonus=0</t>
        </is>
      </c>
    </row>
    <row r="89">
      <c r="A89" t="n">
        <v>2</v>
      </c>
      <c r="B89" t="inlineStr">
        <is>
          <t>000983</t>
        </is>
      </c>
      <c r="C89" t="inlineStr">
        <is>
          <t>山西焦煤</t>
        </is>
      </c>
      <c r="D89" t="n">
        <v>0</v>
      </c>
      <c r="E89" t="n">
        <v>-2.75</v>
      </c>
      <c r="F89" t="n">
        <v>0.01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inlineStr">
        <is>
          <t>D1新高=0,D2强势=0,D3突破=0,D4首板=0,D5潜突=0,D6连板=0,D7一字=0,D8活跃=0,bonus=0</t>
        </is>
      </c>
    </row>
    <row r="90">
      <c r="A90" t="n">
        <v>3</v>
      </c>
      <c r="B90" t="inlineStr">
        <is>
          <t>000603</t>
        </is>
      </c>
      <c r="C90" t="inlineStr">
        <is>
          <t>盛达资源</t>
        </is>
      </c>
      <c r="D90" t="n">
        <v>0</v>
      </c>
      <c r="E90" t="n">
        <v>-4.29</v>
      </c>
      <c r="F90" t="n">
        <v>0.01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D1新高=0,D2强势=0,D3突破=0,D4首板=0,D5潜突=0,D6连板=0,D7一字=0,D8活跃=0,bonus=0</t>
        </is>
      </c>
    </row>
    <row r="91"/>
    <row r="92">
      <c r="A92" s="4" t="inlineStr">
        <is>
          <t>--- 细分: 锑 ---</t>
        </is>
      </c>
    </row>
    <row r="93">
      <c r="A93" s="5" t="inlineStr">
        <is>
          <t>排名</t>
        </is>
      </c>
      <c r="B93" s="5" t="inlineStr">
        <is>
          <t>代码</t>
        </is>
      </c>
      <c r="C93" s="5" t="inlineStr">
        <is>
          <t>名称</t>
        </is>
      </c>
      <c r="D93" s="5" t="inlineStr">
        <is>
          <t>得分</t>
        </is>
      </c>
      <c r="E93" s="5" t="inlineStr">
        <is>
          <t>涨跌幅%</t>
        </is>
      </c>
      <c r="F93" s="5" t="inlineStr">
        <is>
          <t>成交额(亿)</t>
        </is>
      </c>
      <c r="G93" s="5" t="inlineStr">
        <is>
          <t>D1新高</t>
        </is>
      </c>
      <c r="H93" s="5" t="inlineStr">
        <is>
          <t>D2强势</t>
        </is>
      </c>
      <c r="I93" s="5" t="inlineStr">
        <is>
          <t>D3突破</t>
        </is>
      </c>
      <c r="J93" s="5" t="inlineStr">
        <is>
          <t>D4首板</t>
        </is>
      </c>
      <c r="K93" s="5" t="inlineStr">
        <is>
          <t>D5潜突</t>
        </is>
      </c>
      <c r="L93" s="5" t="inlineStr">
        <is>
          <t>D6连板</t>
        </is>
      </c>
      <c r="M93" s="5" t="inlineStr">
        <is>
          <t>D7一字</t>
        </is>
      </c>
      <c r="N93" s="5" t="inlineStr">
        <is>
          <t>D8活跃</t>
        </is>
      </c>
      <c r="O93" s="5" t="inlineStr">
        <is>
          <t>大成交额加分</t>
        </is>
      </c>
      <c r="P93" s="5" t="inlineStr">
        <is>
          <t>得分明细</t>
        </is>
      </c>
    </row>
    <row r="94">
      <c r="A94" t="n">
        <v>1</v>
      </c>
      <c r="B94" t="inlineStr">
        <is>
          <t>600301</t>
        </is>
      </c>
      <c r="C94" t="inlineStr">
        <is>
          <t>华锡有色</t>
        </is>
      </c>
      <c r="D94" t="n">
        <v>0</v>
      </c>
      <c r="E94" t="n">
        <v>-1.19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D1新高=0,D2强势=0,D3突破=0,D4首板=0,D5潜突=0,D6连板=0,D7一字=0,D8活跃=0,bonus=0</t>
        </is>
      </c>
    </row>
    <row r="95"/>
    <row r="96">
      <c r="A96" s="4" t="inlineStr">
        <is>
          <t>--- 细分: 铜 ---</t>
        </is>
      </c>
    </row>
    <row r="97">
      <c r="A97" s="5" t="inlineStr">
        <is>
          <t>排名</t>
        </is>
      </c>
      <c r="B97" s="5" t="inlineStr">
        <is>
          <t>代码</t>
        </is>
      </c>
      <c r="C97" s="5" t="inlineStr">
        <is>
          <t>名称</t>
        </is>
      </c>
      <c r="D97" s="5" t="inlineStr">
        <is>
          <t>得分</t>
        </is>
      </c>
      <c r="E97" s="5" t="inlineStr">
        <is>
          <t>涨跌幅%</t>
        </is>
      </c>
      <c r="F97" s="5" t="inlineStr">
        <is>
          <t>成交额(亿)</t>
        </is>
      </c>
      <c r="G97" s="5" t="inlineStr">
        <is>
          <t>D1新高</t>
        </is>
      </c>
      <c r="H97" s="5" t="inlineStr">
        <is>
          <t>D2强势</t>
        </is>
      </c>
      <c r="I97" s="5" t="inlineStr">
        <is>
          <t>D3突破</t>
        </is>
      </c>
      <c r="J97" s="5" t="inlineStr">
        <is>
          <t>D4首板</t>
        </is>
      </c>
      <c r="K97" s="5" t="inlineStr">
        <is>
          <t>D5潜突</t>
        </is>
      </c>
      <c r="L97" s="5" t="inlineStr">
        <is>
          <t>D6连板</t>
        </is>
      </c>
      <c r="M97" s="5" t="inlineStr">
        <is>
          <t>D7一字</t>
        </is>
      </c>
      <c r="N97" s="5" t="inlineStr">
        <is>
          <t>D8活跃</t>
        </is>
      </c>
      <c r="O97" s="5" t="inlineStr">
        <is>
          <t>大成交额加分</t>
        </is>
      </c>
      <c r="P97" s="5" t="inlineStr">
        <is>
          <t>得分明细</t>
        </is>
      </c>
    </row>
    <row r="98">
      <c r="A98" t="n">
        <v>1</v>
      </c>
      <c r="B98" t="inlineStr">
        <is>
          <t>601899</t>
        </is>
      </c>
      <c r="C98" t="inlineStr">
        <is>
          <t>紫金矿业</t>
        </is>
      </c>
      <c r="D98" t="n">
        <v>0</v>
      </c>
      <c r="E98" t="n">
        <v>0.46</v>
      </c>
      <c r="F98" t="n">
        <v>0.02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D1新高=0,D2强势=0,D3突破=0,D4首板=0,D5潜突=0,D6连板=0,D7一字=0,D8活跃=0,bonus=0</t>
        </is>
      </c>
    </row>
    <row r="99"/>
    <row r="100">
      <c r="A100" s="4" t="inlineStr">
        <is>
          <t>--- 细分: 锑 ---</t>
        </is>
      </c>
    </row>
    <row r="101">
      <c r="A101" s="5" t="inlineStr">
        <is>
          <t>排名</t>
        </is>
      </c>
      <c r="B101" s="5" t="inlineStr">
        <is>
          <t>代码</t>
        </is>
      </c>
      <c r="C101" s="5" t="inlineStr">
        <is>
          <t>名称</t>
        </is>
      </c>
      <c r="D101" s="5" t="inlineStr">
        <is>
          <t>得分</t>
        </is>
      </c>
      <c r="E101" s="5" t="inlineStr">
        <is>
          <t>涨跌幅%</t>
        </is>
      </c>
      <c r="F101" s="5" t="inlineStr">
        <is>
          <t>成交额(亿)</t>
        </is>
      </c>
      <c r="G101" s="5" t="inlineStr">
        <is>
          <t>D1新高</t>
        </is>
      </c>
      <c r="H101" s="5" t="inlineStr">
        <is>
          <t>D2强势</t>
        </is>
      </c>
      <c r="I101" s="5" t="inlineStr">
        <is>
          <t>D3突破</t>
        </is>
      </c>
      <c r="J101" s="5" t="inlineStr">
        <is>
          <t>D4首板</t>
        </is>
      </c>
      <c r="K101" s="5" t="inlineStr">
        <is>
          <t>D5潜突</t>
        </is>
      </c>
      <c r="L101" s="5" t="inlineStr">
        <is>
          <t>D6连板</t>
        </is>
      </c>
      <c r="M101" s="5" t="inlineStr">
        <is>
          <t>D7一字</t>
        </is>
      </c>
      <c r="N101" s="5" t="inlineStr">
        <is>
          <t>D8活跃</t>
        </is>
      </c>
      <c r="O101" s="5" t="inlineStr">
        <is>
          <t>大成交额加分</t>
        </is>
      </c>
      <c r="P101" s="5" t="inlineStr">
        <is>
          <t>得分明细</t>
        </is>
      </c>
    </row>
    <row r="102">
      <c r="A102" t="n">
        <v>1</v>
      </c>
      <c r="B102" t="inlineStr">
        <is>
          <t>002155</t>
        </is>
      </c>
      <c r="C102" t="inlineStr">
        <is>
          <t>湖南黄金</t>
        </is>
      </c>
      <c r="D102" t="n">
        <v>0</v>
      </c>
      <c r="E102" t="n">
        <v>-0.38</v>
      </c>
      <c r="F102" t="n">
        <v>0.01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D1新高=0,D2强势=0,D3突破=0,D4首板=0,D5潜突=0,D6连板=0,D7一字=0,D8活跃=0,bonus=0</t>
        </is>
      </c>
    </row>
    <row r="103"/>
    <row r="104">
      <c r="A104" s="4" t="inlineStr">
        <is>
          <t>--- 细分: 铜 ---</t>
        </is>
      </c>
    </row>
    <row r="105">
      <c r="A105" s="5" t="inlineStr">
        <is>
          <t>排名</t>
        </is>
      </c>
      <c r="B105" s="5" t="inlineStr">
        <is>
          <t>代码</t>
        </is>
      </c>
      <c r="C105" s="5" t="inlineStr">
        <is>
          <t>名称</t>
        </is>
      </c>
      <c r="D105" s="5" t="inlineStr">
        <is>
          <t>得分</t>
        </is>
      </c>
      <c r="E105" s="5" t="inlineStr">
        <is>
          <t>涨跌幅%</t>
        </is>
      </c>
      <c r="F105" s="5" t="inlineStr">
        <is>
          <t>成交额(亿)</t>
        </is>
      </c>
      <c r="G105" s="5" t="inlineStr">
        <is>
          <t>D1新高</t>
        </is>
      </c>
      <c r="H105" s="5" t="inlineStr">
        <is>
          <t>D2强势</t>
        </is>
      </c>
      <c r="I105" s="5" t="inlineStr">
        <is>
          <t>D3突破</t>
        </is>
      </c>
      <c r="J105" s="5" t="inlineStr">
        <is>
          <t>D4首板</t>
        </is>
      </c>
      <c r="K105" s="5" t="inlineStr">
        <is>
          <t>D5潜突</t>
        </is>
      </c>
      <c r="L105" s="5" t="inlineStr">
        <is>
          <t>D6连板</t>
        </is>
      </c>
      <c r="M105" s="5" t="inlineStr">
        <is>
          <t>D7一字</t>
        </is>
      </c>
      <c r="N105" s="5" t="inlineStr">
        <is>
          <t>D8活跃</t>
        </is>
      </c>
      <c r="O105" s="5" t="inlineStr">
        <is>
          <t>大成交额加分</t>
        </is>
      </c>
      <c r="P105" s="5" t="inlineStr">
        <is>
          <t>得分明细</t>
        </is>
      </c>
    </row>
    <row r="106">
      <c r="A106" t="n">
        <v>1</v>
      </c>
      <c r="B106" t="inlineStr">
        <is>
          <t>000060</t>
        </is>
      </c>
      <c r="C106" t="inlineStr">
        <is>
          <t>中金岭南</t>
        </is>
      </c>
      <c r="D106" t="n">
        <v>0</v>
      </c>
      <c r="E106" t="n">
        <v>-0.62</v>
      </c>
      <c r="F106" t="n">
        <v>0.02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52"/>
  <sheetViews>
    <sheetView workbookViewId="0">
      <selection activeCell="A1" sqref="A1"/>
    </sheetView>
  </sheetViews>
  <sheetFormatPr baseColWidth="8" defaultRowHeight="15"/>
  <sheetData>
    <row r="1">
      <c r="A1" s="2">
        <f>== 人形机器人 产业链全局看板 ===</f>
        <v/>
      </c>
    </row>
    <row r="2">
      <c r="A2" t="inlineStr">
        <is>
          <t>板块整体均分</t>
        </is>
      </c>
      <c r="B2" t="n">
        <v>1.48</v>
      </c>
      <c r="C2" t="inlineStr">
        <is>
          <t>最强细分</t>
        </is>
      </c>
      <c r="D2" t="inlineStr">
        <is>
          <t>加工刀具 (11.0分)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62</v>
      </c>
      <c r="B6" t="inlineStr">
        <is>
          <t>加工刀具</t>
        </is>
      </c>
      <c r="C6" t="n">
        <v>11</v>
      </c>
      <c r="D6" t="n">
        <v>22</v>
      </c>
      <c r="E6" t="n">
        <v>2</v>
      </c>
      <c r="F6" t="n">
        <v>1</v>
      </c>
      <c r="G6" t="n">
        <v>0</v>
      </c>
      <c r="H6" t="n">
        <v>0</v>
      </c>
      <c r="I6" t="n">
        <v>1</v>
      </c>
      <c r="J6" t="inlineStr">
        <is>
          <t>恒锋工具</t>
        </is>
      </c>
      <c r="K6" t="n">
        <v>22</v>
      </c>
    </row>
    <row r="7">
      <c r="A7" t="n">
        <v>133</v>
      </c>
      <c r="B7" t="inlineStr">
        <is>
          <t>结构件</t>
        </is>
      </c>
      <c r="C7" t="n">
        <v>4.5</v>
      </c>
      <c r="D7" t="n">
        <v>9</v>
      </c>
      <c r="E7" t="n">
        <v>2</v>
      </c>
      <c r="F7" t="n">
        <v>0</v>
      </c>
      <c r="G7" t="n">
        <v>0</v>
      </c>
      <c r="H7" t="n">
        <v>1</v>
      </c>
      <c r="I7" t="n">
        <v>1</v>
      </c>
      <c r="J7" t="inlineStr">
        <is>
          <t>祥鑫科技</t>
        </is>
      </c>
      <c r="K7" t="n">
        <v>9</v>
      </c>
    </row>
    <row r="8">
      <c r="A8" t="n">
        <v>152</v>
      </c>
      <c r="B8" t="inlineStr">
        <is>
          <t>传感器</t>
        </is>
      </c>
      <c r="C8" t="n">
        <v>3.4</v>
      </c>
      <c r="D8" t="n">
        <v>22</v>
      </c>
      <c r="E8" t="n">
        <v>20</v>
      </c>
      <c r="F8" t="n">
        <v>5</v>
      </c>
      <c r="G8" t="n">
        <v>0</v>
      </c>
      <c r="H8" t="n">
        <v>4</v>
      </c>
      <c r="I8" t="n">
        <v>11</v>
      </c>
      <c r="J8" t="inlineStr">
        <is>
          <t>敏芯股份</t>
        </is>
      </c>
      <c r="K8" t="n">
        <v>22</v>
      </c>
    </row>
    <row r="9">
      <c r="A9" t="n">
        <v>204</v>
      </c>
      <c r="B9" t="inlineStr">
        <is>
          <t>谐波减速器</t>
        </is>
      </c>
      <c r="C9" t="n">
        <v>1.5</v>
      </c>
      <c r="D9" t="n">
        <v>3</v>
      </c>
      <c r="E9" t="n">
        <v>8</v>
      </c>
      <c r="F9" t="n">
        <v>1</v>
      </c>
      <c r="G9" t="n">
        <v>0</v>
      </c>
      <c r="H9" t="n">
        <v>3</v>
      </c>
      <c r="I9" t="n">
        <v>4</v>
      </c>
      <c r="J9" t="inlineStr">
        <is>
          <t>丰立智能</t>
        </is>
      </c>
      <c r="K9" t="n">
        <v>3</v>
      </c>
    </row>
    <row r="10">
      <c r="A10" t="n">
        <v>205</v>
      </c>
      <c r="B10" t="inlineStr">
        <is>
          <t>电机</t>
        </is>
      </c>
      <c r="C10" t="n">
        <v>1.5</v>
      </c>
      <c r="D10" t="n">
        <v>3</v>
      </c>
      <c r="E10" t="n">
        <v>4</v>
      </c>
      <c r="F10" t="n">
        <v>0</v>
      </c>
      <c r="G10" t="n">
        <v>0</v>
      </c>
      <c r="H10" t="n">
        <v>2</v>
      </c>
      <c r="I10" t="n">
        <v>2</v>
      </c>
      <c r="J10" t="inlineStr">
        <is>
          <t>步科股份</t>
        </is>
      </c>
      <c r="K10" t="n">
        <v>3</v>
      </c>
    </row>
    <row r="11">
      <c r="A11" t="n">
        <v>206</v>
      </c>
      <c r="B11" t="inlineStr">
        <is>
          <t>丝杠设备</t>
        </is>
      </c>
      <c r="C11" t="n">
        <v>1.5</v>
      </c>
      <c r="D11" t="n">
        <v>3</v>
      </c>
      <c r="E11" t="n">
        <v>4</v>
      </c>
      <c r="F11" t="n">
        <v>0</v>
      </c>
      <c r="G11" t="n">
        <v>0</v>
      </c>
      <c r="H11" t="n">
        <v>2</v>
      </c>
      <c r="I11" t="n">
        <v>2</v>
      </c>
      <c r="J11" t="inlineStr">
        <is>
          <t>国机精工</t>
        </is>
      </c>
      <c r="K11" t="n">
        <v>3</v>
      </c>
    </row>
    <row r="12">
      <c r="A12" t="n">
        <v>214</v>
      </c>
      <c r="B12" t="inlineStr">
        <is>
          <t>灵巧手</t>
        </is>
      </c>
      <c r="C12" t="n">
        <v>1.25</v>
      </c>
      <c r="D12" t="n">
        <v>5</v>
      </c>
      <c r="E12" t="n">
        <v>4</v>
      </c>
      <c r="F12" t="n">
        <v>1</v>
      </c>
      <c r="G12" t="n">
        <v>0</v>
      </c>
      <c r="H12" t="n">
        <v>0</v>
      </c>
      <c r="I12" t="n">
        <v>3</v>
      </c>
      <c r="J12" t="inlineStr">
        <is>
          <t>雷赛智能</t>
        </is>
      </c>
      <c r="K12" t="n">
        <v>5</v>
      </c>
    </row>
    <row r="13">
      <c r="A13" t="n">
        <v>221</v>
      </c>
      <c r="B13" t="inlineStr">
        <is>
          <t>腱绳材料</t>
        </is>
      </c>
      <c r="C13" t="n">
        <v>1</v>
      </c>
      <c r="D13" t="n">
        <v>3</v>
      </c>
      <c r="E13" t="n">
        <v>3</v>
      </c>
      <c r="F13" t="n">
        <v>0</v>
      </c>
      <c r="G13" t="n">
        <v>0</v>
      </c>
      <c r="H13" t="n">
        <v>1</v>
      </c>
      <c r="I13" t="n">
        <v>2</v>
      </c>
      <c r="J13" t="inlineStr">
        <is>
          <t>大业股份</t>
        </is>
      </c>
      <c r="K13" t="n">
        <v>3</v>
      </c>
    </row>
    <row r="14">
      <c r="A14" t="n">
        <v>230</v>
      </c>
      <c r="B14" t="inlineStr">
        <is>
          <t>其他</t>
        </is>
      </c>
      <c r="C14" t="n">
        <v>0.55</v>
      </c>
      <c r="D14" t="n">
        <v>5</v>
      </c>
      <c r="E14" t="n">
        <v>20</v>
      </c>
      <c r="F14" t="n">
        <v>1</v>
      </c>
      <c r="G14" t="n">
        <v>0</v>
      </c>
      <c r="H14" t="n">
        <v>2</v>
      </c>
      <c r="I14" t="n">
        <v>17</v>
      </c>
      <c r="J14" t="inlineStr">
        <is>
          <t>银轮股份</t>
        </is>
      </c>
      <c r="K14" t="n">
        <v>5</v>
      </c>
    </row>
    <row r="15">
      <c r="A15" t="n">
        <v>232</v>
      </c>
      <c r="B15" t="inlineStr">
        <is>
          <t>本体及应用</t>
        </is>
      </c>
      <c r="C15" t="n">
        <v>0.3</v>
      </c>
      <c r="D15" t="n">
        <v>3</v>
      </c>
      <c r="E15" t="n">
        <v>10</v>
      </c>
      <c r="F15" t="n">
        <v>0</v>
      </c>
      <c r="G15" t="n">
        <v>0</v>
      </c>
      <c r="H15" t="n">
        <v>1</v>
      </c>
      <c r="I15" t="n">
        <v>9</v>
      </c>
      <c r="J15" t="inlineStr">
        <is>
          <t>埃斯顿</t>
        </is>
      </c>
      <c r="K15" t="n">
        <v>3</v>
      </c>
    </row>
    <row r="16">
      <c r="A16" t="n">
        <v>280</v>
      </c>
      <c r="B16" t="inlineStr">
        <is>
          <t>总成</t>
        </is>
      </c>
      <c r="C16" t="n">
        <v>0</v>
      </c>
      <c r="D16" t="n">
        <v>0</v>
      </c>
      <c r="E16" t="n">
        <v>4</v>
      </c>
      <c r="F16" t="n">
        <v>0</v>
      </c>
      <c r="G16" t="n">
        <v>0</v>
      </c>
      <c r="H16" t="n">
        <v>4</v>
      </c>
      <c r="I16" t="n">
        <v>0</v>
      </c>
      <c r="J16" t="inlineStr">
        <is>
          <t>拓普集团</t>
        </is>
      </c>
      <c r="K16" t="n">
        <v>0</v>
      </c>
    </row>
    <row r="17">
      <c r="A17" t="n">
        <v>288</v>
      </c>
      <c r="B17" t="inlineStr">
        <is>
          <t>千帆星座</t>
        </is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1</v>
      </c>
      <c r="I17" t="n">
        <v>0</v>
      </c>
      <c r="J17" t="inlineStr">
        <is>
          <t>星网宇达</t>
        </is>
      </c>
      <c r="K17" t="n">
        <v>0</v>
      </c>
    </row>
    <row r="18">
      <c r="A18" t="n">
        <v>291</v>
      </c>
      <c r="B18" t="inlineStr">
        <is>
          <t>千帆星座</t>
        </is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1</v>
      </c>
      <c r="I18" t="n">
        <v>0</v>
      </c>
      <c r="J18" t="inlineStr">
        <is>
          <t>隆盛科技</t>
        </is>
      </c>
      <c r="K18" t="n">
        <v>0</v>
      </c>
    </row>
    <row r="19">
      <c r="A19" t="n">
        <v>295</v>
      </c>
      <c r="B19" t="inlineStr">
        <is>
          <t>丝杠</t>
        </is>
      </c>
      <c r="C19" t="n">
        <v>0</v>
      </c>
      <c r="D19" t="n">
        <v>0</v>
      </c>
      <c r="E19" t="n">
        <v>8</v>
      </c>
      <c r="F19" t="n">
        <v>3</v>
      </c>
      <c r="G19" t="n">
        <v>0</v>
      </c>
      <c r="H19" t="n">
        <v>5</v>
      </c>
      <c r="I19" t="n">
        <v>0</v>
      </c>
      <c r="J19" t="inlineStr">
        <is>
          <t>南京化纤</t>
        </is>
      </c>
      <c r="K19" t="n">
        <v>0</v>
      </c>
    </row>
    <row r="20">
      <c r="A20" t="n">
        <v>304</v>
      </c>
      <c r="B20" t="inlineStr">
        <is>
          <t>轴承</t>
        </is>
      </c>
      <c r="C20" t="n">
        <v>0</v>
      </c>
      <c r="D20" t="n">
        <v>0</v>
      </c>
      <c r="E20" t="n">
        <v>4</v>
      </c>
      <c r="F20" t="n">
        <v>0</v>
      </c>
      <c r="G20" t="n">
        <v>0</v>
      </c>
      <c r="H20" t="n">
        <v>4</v>
      </c>
      <c r="I20" t="n">
        <v>0</v>
      </c>
      <c r="J20" t="inlineStr">
        <is>
          <t>南方精工</t>
        </is>
      </c>
      <c r="K20" t="n">
        <v>0</v>
      </c>
    </row>
    <row r="21"/>
    <row r="22">
      <c r="A22" s="4" t="inlineStr">
        <is>
          <t>--- 细分: 加工刀具 ---</t>
        </is>
      </c>
    </row>
    <row r="23">
      <c r="A23" s="5" t="inlineStr">
        <is>
          <t>排名</t>
        </is>
      </c>
      <c r="B23" s="5" t="inlineStr">
        <is>
          <t>代码</t>
        </is>
      </c>
      <c r="C23" s="5" t="inlineStr">
        <is>
          <t>名称</t>
        </is>
      </c>
      <c r="D23" s="5" t="inlineStr">
        <is>
          <t>得分</t>
        </is>
      </c>
      <c r="E23" s="5" t="inlineStr">
        <is>
          <t>涨跌幅%</t>
        </is>
      </c>
      <c r="F23" s="5" t="inlineStr">
        <is>
          <t>成交额(亿)</t>
        </is>
      </c>
      <c r="G23" s="5" t="inlineStr">
        <is>
          <t>D1新高</t>
        </is>
      </c>
      <c r="H23" s="5" t="inlineStr">
        <is>
          <t>D2强势</t>
        </is>
      </c>
      <c r="I23" s="5" t="inlineStr">
        <is>
          <t>D3突破</t>
        </is>
      </c>
      <c r="J23" s="5" t="inlineStr">
        <is>
          <t>D4首板</t>
        </is>
      </c>
      <c r="K23" s="5" t="inlineStr">
        <is>
          <t>D5潜突</t>
        </is>
      </c>
      <c r="L23" s="5" t="inlineStr">
        <is>
          <t>D6连板</t>
        </is>
      </c>
      <c r="M23" s="5" t="inlineStr">
        <is>
          <t>D7一字</t>
        </is>
      </c>
      <c r="N23" s="5" t="inlineStr">
        <is>
          <t>D8活跃</t>
        </is>
      </c>
      <c r="O23" s="5" t="inlineStr">
        <is>
          <t>大成交额加分</t>
        </is>
      </c>
      <c r="P23" s="5" t="inlineStr">
        <is>
          <t>得分明细</t>
        </is>
      </c>
    </row>
    <row r="24">
      <c r="A24" t="n">
        <v>1</v>
      </c>
      <c r="B24" t="inlineStr">
        <is>
          <t>300488</t>
        </is>
      </c>
      <c r="C24" t="inlineStr">
        <is>
          <t>恒锋工具</t>
        </is>
      </c>
      <c r="D24" t="n">
        <v>22</v>
      </c>
      <c r="E24" t="n">
        <v>8.33</v>
      </c>
      <c r="F24" t="n">
        <v>0</v>
      </c>
      <c r="G24" t="n">
        <v>8</v>
      </c>
      <c r="H24" t="n">
        <v>6</v>
      </c>
      <c r="I24" t="n">
        <v>5</v>
      </c>
      <c r="J24" t="n">
        <v>0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inlineStr">
        <is>
          <t>D1新高=8,D2强势=6,D3突破=5,D4首板=0,D5潜突=0,D6连板=0,D7一字=0,D8活跃=3,bonus=0</t>
        </is>
      </c>
    </row>
    <row r="25">
      <c r="A25" t="n">
        <v>2</v>
      </c>
      <c r="B25" t="inlineStr">
        <is>
          <t>688028</t>
        </is>
      </c>
      <c r="C25" t="inlineStr">
        <is>
          <t>沃尔德</t>
        </is>
      </c>
      <c r="D25" t="n">
        <v>0</v>
      </c>
      <c r="E25" t="n">
        <v>3.53</v>
      </c>
      <c r="F25" t="n">
        <v>0.06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inlineStr">
        <is>
          <t>D1新高=0,D2强势=0,D3突破=0,D4首板=0,D5潜突=0,D6连板=0,D7一字=0,D8活跃=0,bonus=0</t>
        </is>
      </c>
    </row>
    <row r="26"/>
    <row r="27">
      <c r="A27" s="4" t="inlineStr">
        <is>
          <t>--- 细分: 结构件 ---</t>
        </is>
      </c>
    </row>
    <row r="28">
      <c r="A28" s="5" t="inlineStr">
        <is>
          <t>排名</t>
        </is>
      </c>
      <c r="B28" s="5" t="inlineStr">
        <is>
          <t>代码</t>
        </is>
      </c>
      <c r="C28" s="5" t="inlineStr">
        <is>
          <t>名称</t>
        </is>
      </c>
      <c r="D28" s="5" t="inlineStr">
        <is>
          <t>得分</t>
        </is>
      </c>
      <c r="E28" s="5" t="inlineStr">
        <is>
          <t>涨跌幅%</t>
        </is>
      </c>
      <c r="F28" s="5" t="inlineStr">
        <is>
          <t>成交额(亿)</t>
        </is>
      </c>
      <c r="G28" s="5" t="inlineStr">
        <is>
          <t>D1新高</t>
        </is>
      </c>
      <c r="H28" s="5" t="inlineStr">
        <is>
          <t>D2强势</t>
        </is>
      </c>
      <c r="I28" s="5" t="inlineStr">
        <is>
          <t>D3突破</t>
        </is>
      </c>
      <c r="J28" s="5" t="inlineStr">
        <is>
          <t>D4首板</t>
        </is>
      </c>
      <c r="K28" s="5" t="inlineStr">
        <is>
          <t>D5潜突</t>
        </is>
      </c>
      <c r="L28" s="5" t="inlineStr">
        <is>
          <t>D6连板</t>
        </is>
      </c>
      <c r="M28" s="5" t="inlineStr">
        <is>
          <t>D7一字</t>
        </is>
      </c>
      <c r="N28" s="5" t="inlineStr">
        <is>
          <t>D8活跃</t>
        </is>
      </c>
      <c r="O28" s="5" t="inlineStr">
        <is>
          <t>大成交额加分</t>
        </is>
      </c>
      <c r="P28" s="5" t="inlineStr">
        <is>
          <t>得分明细</t>
        </is>
      </c>
    </row>
    <row r="29">
      <c r="A29" t="n">
        <v>1</v>
      </c>
      <c r="B29" t="inlineStr">
        <is>
          <t>002965</t>
        </is>
      </c>
      <c r="C29" t="inlineStr">
        <is>
          <t>祥鑫科技</t>
        </is>
      </c>
      <c r="D29" t="n">
        <v>9</v>
      </c>
      <c r="E29" t="n">
        <v>-0.98</v>
      </c>
      <c r="F29" t="n">
        <v>0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inlineStr">
        <is>
          <t>D1新高=0,D2强势=6,D3突破=0,D4首板=0,D5潜突=0,D6连板=0,D7一字=0,D8活跃=3,bonus=0</t>
        </is>
      </c>
    </row>
    <row r="30">
      <c r="A30" t="n">
        <v>2</v>
      </c>
      <c r="B30" t="inlineStr">
        <is>
          <t>603119</t>
        </is>
      </c>
      <c r="C30" t="inlineStr">
        <is>
          <t>浙江荣泰</t>
        </is>
      </c>
      <c r="D30" t="n">
        <v>0</v>
      </c>
      <c r="E30" t="n">
        <v>-2.33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D1新高=0,D2强势=0,D3突破=0,D4首板=0,D5潜突=0,D6连板=0,D7一字=0,D8活跃=0,bonus=0</t>
        </is>
      </c>
    </row>
    <row r="31"/>
    <row r="32">
      <c r="A32" s="4" t="inlineStr">
        <is>
          <t>--- 细分: 传感器 ---</t>
        </is>
      </c>
    </row>
    <row r="33">
      <c r="A33" s="5" t="inlineStr">
        <is>
          <t>排名</t>
        </is>
      </c>
      <c r="B33" s="5" t="inlineStr">
        <is>
          <t>代码</t>
        </is>
      </c>
      <c r="C33" s="5" t="inlineStr">
        <is>
          <t>名称</t>
        </is>
      </c>
      <c r="D33" s="5" t="inlineStr">
        <is>
          <t>得分</t>
        </is>
      </c>
      <c r="E33" s="5" t="inlineStr">
        <is>
          <t>涨跌幅%</t>
        </is>
      </c>
      <c r="F33" s="5" t="inlineStr">
        <is>
          <t>成交额(亿)</t>
        </is>
      </c>
      <c r="G33" s="5" t="inlineStr">
        <is>
          <t>D1新高</t>
        </is>
      </c>
      <c r="H33" s="5" t="inlineStr">
        <is>
          <t>D2强势</t>
        </is>
      </c>
      <c r="I33" s="5" t="inlineStr">
        <is>
          <t>D3突破</t>
        </is>
      </c>
      <c r="J33" s="5" t="inlineStr">
        <is>
          <t>D4首板</t>
        </is>
      </c>
      <c r="K33" s="5" t="inlineStr">
        <is>
          <t>D5潜突</t>
        </is>
      </c>
      <c r="L33" s="5" t="inlineStr">
        <is>
          <t>D6连板</t>
        </is>
      </c>
      <c r="M33" s="5" t="inlineStr">
        <is>
          <t>D7一字</t>
        </is>
      </c>
      <c r="N33" s="5" t="inlineStr">
        <is>
          <t>D8活跃</t>
        </is>
      </c>
      <c r="O33" s="5" t="inlineStr">
        <is>
          <t>大成交额加分</t>
        </is>
      </c>
      <c r="P33" s="5" t="inlineStr">
        <is>
          <t>得分明细</t>
        </is>
      </c>
    </row>
    <row r="34">
      <c r="A34" t="n">
        <v>1</v>
      </c>
      <c r="B34" t="inlineStr">
        <is>
          <t>688286</t>
        </is>
      </c>
      <c r="C34" t="inlineStr">
        <is>
          <t>敏芯股份</t>
        </is>
      </c>
      <c r="D34" t="n">
        <v>22</v>
      </c>
      <c r="E34" t="n">
        <v>11.42</v>
      </c>
      <c r="F34" t="n">
        <v>0.06</v>
      </c>
      <c r="G34" t="n">
        <v>8</v>
      </c>
      <c r="H34" t="n">
        <v>6</v>
      </c>
      <c r="I34" t="n">
        <v>5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D1新高=8,D2强势=6,D3突破=5,D4首板=3,D5潜突=0,D6连板=0,D7一字=0,D8活跃=0,bonus=0</t>
        </is>
      </c>
    </row>
    <row r="35">
      <c r="A35" t="n">
        <v>2</v>
      </c>
      <c r="B35" t="inlineStr">
        <is>
          <t>688582</t>
        </is>
      </c>
      <c r="C35" t="inlineStr">
        <is>
          <t>芯动联科</t>
        </is>
      </c>
      <c r="D35" t="n">
        <v>19</v>
      </c>
      <c r="E35" t="n">
        <v>6.41</v>
      </c>
      <c r="F35" t="n">
        <v>0.14</v>
      </c>
      <c r="G35" t="n">
        <v>8</v>
      </c>
      <c r="H35" t="n">
        <v>6</v>
      </c>
      <c r="I35" t="n">
        <v>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D1新高=8,D2强势=6,D3突破=5,D4首板=0,D5潜突=0,D6连板=0,D7一字=0,D8活跃=0,bonus=0</t>
        </is>
      </c>
    </row>
    <row r="36">
      <c r="A36" t="n">
        <v>3</v>
      </c>
      <c r="B36" t="inlineStr">
        <is>
          <t>300354</t>
        </is>
      </c>
      <c r="C36" t="inlineStr">
        <is>
          <t>东华测试</t>
        </is>
      </c>
      <c r="D36" t="n">
        <v>5</v>
      </c>
      <c r="E36" t="n">
        <v>6.85</v>
      </c>
      <c r="F36" t="n">
        <v>0</v>
      </c>
      <c r="G36" t="n">
        <v>0</v>
      </c>
      <c r="H36" t="n">
        <v>0</v>
      </c>
      <c r="I36" t="n">
        <v>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D1新高=0,D2强势=0,D3突破=5,D4首板=0,D5潜突=0,D6连板=0,D7一字=0,D8活跃=0,bonus=0</t>
        </is>
      </c>
    </row>
    <row r="37">
      <c r="A37" t="n">
        <v>4</v>
      </c>
      <c r="B37" t="inlineStr">
        <is>
          <t>002079</t>
        </is>
      </c>
      <c r="C37" t="inlineStr">
        <is>
          <t>苏州固锝</t>
        </is>
      </c>
      <c r="D37" t="n">
        <v>5</v>
      </c>
      <c r="E37" t="n">
        <v>4.48</v>
      </c>
      <c r="F37" t="n">
        <v>0.01</v>
      </c>
      <c r="G37" t="n">
        <v>0</v>
      </c>
      <c r="H37" t="n">
        <v>0</v>
      </c>
      <c r="I37" t="n">
        <v>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D1新高=0,D2强势=0,D3突破=5,D4首板=0,D5潜突=0,D6连板=0,D7一字=0,D8活跃=0,bonus=0</t>
        </is>
      </c>
    </row>
    <row r="38">
      <c r="A38" t="n">
        <v>5</v>
      </c>
      <c r="B38" t="inlineStr">
        <is>
          <t>300445</t>
        </is>
      </c>
      <c r="C38" t="inlineStr">
        <is>
          <t>康斯特</t>
        </is>
      </c>
      <c r="D38" t="n">
        <v>5</v>
      </c>
      <c r="E38" t="n">
        <v>5.21</v>
      </c>
      <c r="F38" t="n">
        <v>0</v>
      </c>
      <c r="G38" t="n">
        <v>0</v>
      </c>
      <c r="H38" t="n">
        <v>0</v>
      </c>
      <c r="I38" t="n">
        <v>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D1新高=0,D2强势=0,D3突破=5,D4首板=0,D5潜突=0,D6连板=0,D7一字=0,D8活跃=0,bonus=0</t>
        </is>
      </c>
    </row>
    <row r="39">
      <c r="A39" t="n">
        <v>6</v>
      </c>
      <c r="B39" t="inlineStr">
        <is>
          <t>302132</t>
        </is>
      </c>
      <c r="C39" t="inlineStr">
        <is>
          <t>中航成飞</t>
        </is>
      </c>
      <c r="D39" t="n">
        <v>3</v>
      </c>
      <c r="E39" t="n">
        <v>-1.15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3</v>
      </c>
      <c r="O39" t="n">
        <v>0</v>
      </c>
      <c r="P39" t="inlineStr">
        <is>
          <t>D1新高=0,D2强势=0,D3突破=0,D4首板=0,D5潜突=0,D6连板=0,D7一字=0,D8活跃=3,bonus=0</t>
        </is>
      </c>
    </row>
    <row r="40">
      <c r="A40" t="n">
        <v>7</v>
      </c>
      <c r="B40" t="inlineStr">
        <is>
          <t>688322</t>
        </is>
      </c>
      <c r="C40" t="inlineStr">
        <is>
          <t>奥比中光-W</t>
        </is>
      </c>
      <c r="D40" t="n">
        <v>3</v>
      </c>
      <c r="E40" t="n">
        <v>-1.13</v>
      </c>
      <c r="F40" t="n">
        <v>0.21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3</v>
      </c>
      <c r="O40" t="n">
        <v>0</v>
      </c>
      <c r="P40" t="inlineStr">
        <is>
          <t>D1新高=0,D2强势=0,D3突破=0,D4首板=0,D5潜突=0,D6连板=0,D7一字=0,D8活跃=3,bonus=0</t>
        </is>
      </c>
    </row>
    <row r="41">
      <c r="A41" t="n">
        <v>8</v>
      </c>
      <c r="B41" t="inlineStr">
        <is>
          <t>688507</t>
        </is>
      </c>
      <c r="C41" t="inlineStr">
        <is>
          <t>索辰科技</t>
        </is>
      </c>
      <c r="D41" t="n">
        <v>3</v>
      </c>
      <c r="E41" t="n">
        <v>-1.74</v>
      </c>
      <c r="F41" t="n">
        <v>0.07000000000000001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3</v>
      </c>
      <c r="O41" t="n">
        <v>0</v>
      </c>
      <c r="P41" t="inlineStr">
        <is>
          <t>D1新高=0,D2强势=0,D3突破=0,D4首板=0,D5潜突=0,D6连板=0,D7一字=0,D8活跃=3,bonus=0</t>
        </is>
      </c>
    </row>
    <row r="42">
      <c r="A42" t="n">
        <v>9</v>
      </c>
      <c r="B42" t="inlineStr">
        <is>
          <t>688686</t>
        </is>
      </c>
      <c r="C42" t="inlineStr">
        <is>
          <t>奥普特</t>
        </is>
      </c>
      <c r="D42" t="n">
        <v>3</v>
      </c>
      <c r="E42" t="n">
        <v>5.15</v>
      </c>
      <c r="F42" t="n">
        <v>0.04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3</v>
      </c>
      <c r="O42" t="n">
        <v>0</v>
      </c>
      <c r="P42" t="inlineStr">
        <is>
          <t>D1新高=0,D2强势=0,D3突破=0,D4首板=0,D5潜突=0,D6连板=0,D7一字=0,D8活跃=3,bonus=0</t>
        </is>
      </c>
    </row>
    <row r="43">
      <c r="A43" t="n">
        <v>10</v>
      </c>
      <c r="B43" t="inlineStr">
        <is>
          <t>002829</t>
        </is>
      </c>
      <c r="C43" t="inlineStr">
        <is>
          <t>星网宇达</t>
        </is>
      </c>
      <c r="D43" t="n">
        <v>0</v>
      </c>
      <c r="E43" t="n">
        <v>-2.25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D1新高=0,D2强势=0,D3突破=0,D4首板=0,D5潜突=0,D6连板=0,D7一字=0,D8活跃=0,bonus=0</t>
        </is>
      </c>
    </row>
    <row r="44">
      <c r="A44" t="n">
        <v>11</v>
      </c>
      <c r="B44" t="inlineStr">
        <is>
          <t>688022</t>
        </is>
      </c>
      <c r="C44" t="inlineStr">
        <is>
          <t>瀚川智能</t>
        </is>
      </c>
      <c r="D44" t="n">
        <v>0</v>
      </c>
      <c r="E44" t="n">
        <v>-4.43</v>
      </c>
      <c r="F44" t="n">
        <v>0.05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inlineStr">
        <is>
          <t>D1新高=0,D2强势=0,D3突破=0,D4首板=0,D5潜突=0,D6连板=0,D7一字=0,D8活跃=0,bonus=0</t>
        </is>
      </c>
    </row>
    <row r="45">
      <c r="A45" t="n">
        <v>12</v>
      </c>
      <c r="B45" t="inlineStr">
        <is>
          <t>301413</t>
        </is>
      </c>
      <c r="C45" t="inlineStr">
        <is>
          <t>安培龙</t>
        </is>
      </c>
      <c r="D45" t="n">
        <v>0</v>
      </c>
      <c r="E45" t="n">
        <v>-2.64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D1新高=0,D2强势=0,D3突破=0,D4首板=0,D5潜突=0,D6连板=0,D7一字=0,D8活跃=0,bonus=0</t>
        </is>
      </c>
    </row>
    <row r="46">
      <c r="A46" t="n">
        <v>13</v>
      </c>
      <c r="B46" t="inlineStr">
        <is>
          <t>600480</t>
        </is>
      </c>
      <c r="C46" t="inlineStr">
        <is>
          <t>凌云股份</t>
        </is>
      </c>
      <c r="D46" t="n">
        <v>0</v>
      </c>
      <c r="E46" t="n">
        <v>-2.57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inlineStr">
        <is>
          <t>D1新高=0,D2强势=0,D3突破=0,D4首板=0,D5潜突=0,D6连板=0,D7一字=0,D8活跃=0,bonus=0</t>
        </is>
      </c>
    </row>
    <row r="47">
      <c r="A47" t="n">
        <v>14</v>
      </c>
      <c r="B47" t="inlineStr">
        <is>
          <t>603662</t>
        </is>
      </c>
      <c r="C47" t="inlineStr">
        <is>
          <t>柯力传感</t>
        </is>
      </c>
      <c r="D47" t="n">
        <v>0</v>
      </c>
      <c r="E47" t="n">
        <v>1.68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D1新高=0,D2强势=0,D3突破=0,D4首板=0,D5潜突=0,D6连板=0,D7一字=0,D8活跃=0,bonus=0</t>
        </is>
      </c>
    </row>
    <row r="48">
      <c r="A48" t="n">
        <v>15</v>
      </c>
      <c r="B48" t="inlineStr">
        <is>
          <t>605488</t>
        </is>
      </c>
      <c r="C48" t="inlineStr">
        <is>
          <t>福莱新材</t>
        </is>
      </c>
      <c r="D48" t="n">
        <v>0</v>
      </c>
      <c r="E48" t="n">
        <v>-2.3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inlineStr">
        <is>
          <t>D1新高=0,D2强势=0,D3突破=0,D4首板=0,D5潜突=0,D6连板=0,D7一字=0,D8活跃=0,bonus=0</t>
        </is>
      </c>
    </row>
    <row r="49">
      <c r="A49" t="n">
        <v>16</v>
      </c>
      <c r="B49" t="inlineStr">
        <is>
          <t>688071</t>
        </is>
      </c>
      <c r="C49" t="inlineStr">
        <is>
          <t>华依科技</t>
        </is>
      </c>
      <c r="D49" t="n">
        <v>0</v>
      </c>
      <c r="E49" t="n">
        <v>0.38</v>
      </c>
      <c r="F49" t="n">
        <v>0.02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inlineStr">
        <is>
          <t>D1新高=0,D2强势=0,D3突破=0,D4首板=0,D5潜突=0,D6连板=0,D7一字=0,D8活跃=0,bonus=0</t>
        </is>
      </c>
    </row>
    <row r="50">
      <c r="A50" t="n">
        <v>17</v>
      </c>
      <c r="B50" t="inlineStr">
        <is>
          <t>688255</t>
        </is>
      </c>
      <c r="C50" t="inlineStr">
        <is>
          <t>凯尔达</t>
        </is>
      </c>
      <c r="D50" t="n">
        <v>0</v>
      </c>
      <c r="E50" t="n">
        <v>-1.6</v>
      </c>
      <c r="F50" t="n">
        <v>0.03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D1新高=0,D2强势=0,D3突破=0,D4首板=0,D5潜突=0,D6连板=0,D7一字=0,D8活跃=0,bonus=0</t>
        </is>
      </c>
    </row>
    <row r="51">
      <c r="A51" t="n">
        <v>18</v>
      </c>
      <c r="B51" t="inlineStr">
        <is>
          <t>300007</t>
        </is>
      </c>
      <c r="C51" t="inlineStr">
        <is>
          <t>汉威科技</t>
        </is>
      </c>
      <c r="D51" t="n">
        <v>0</v>
      </c>
      <c r="E51" t="n">
        <v>-2.84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D1新高=0,D2强势=0,D3突破=0,D4首板=0,D5潜突=0,D6连板=0,D7一字=0,D8活跃=0,bonus=0</t>
        </is>
      </c>
    </row>
    <row r="52">
      <c r="A52" t="n">
        <v>19</v>
      </c>
      <c r="B52" t="inlineStr">
        <is>
          <t>688327</t>
        </is>
      </c>
      <c r="C52" t="inlineStr">
        <is>
          <t>云从科技-UW</t>
        </is>
      </c>
      <c r="D52" t="n">
        <v>0</v>
      </c>
      <c r="E52" t="n">
        <v>-1.92</v>
      </c>
      <c r="F52" t="n">
        <v>0.29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D1新高=0,D2强势=0,D3突破=0,D4首板=0,D5潜突=0,D6连板=0,D7一字=0,D8活跃=0,bonus=0</t>
        </is>
      </c>
    </row>
    <row r="53">
      <c r="A53" t="n">
        <v>20</v>
      </c>
      <c r="B53" t="inlineStr">
        <is>
          <t>688400</t>
        </is>
      </c>
      <c r="C53" t="inlineStr">
        <is>
          <t>凌云光</t>
        </is>
      </c>
      <c r="D53" t="n">
        <v>0</v>
      </c>
      <c r="E53" t="n">
        <v>0.88</v>
      </c>
      <c r="F53" t="n">
        <v>0.18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D1新高=0,D2强势=0,D3突破=0,D4首板=0,D5潜突=0,D6连板=0,D7一字=0,D8活跃=0,bonus=0</t>
        </is>
      </c>
    </row>
    <row r="54"/>
    <row r="55">
      <c r="A55" s="4" t="inlineStr">
        <is>
          <t>--- 细分: 谐波减速器 ---</t>
        </is>
      </c>
    </row>
    <row r="56">
      <c r="A56" s="5" t="inlineStr">
        <is>
          <t>排名</t>
        </is>
      </c>
      <c r="B56" s="5" t="inlineStr">
        <is>
          <t>代码</t>
        </is>
      </c>
      <c r="C56" s="5" t="inlineStr">
        <is>
          <t>名称</t>
        </is>
      </c>
      <c r="D56" s="5" t="inlineStr">
        <is>
          <t>得分</t>
        </is>
      </c>
      <c r="E56" s="5" t="inlineStr">
        <is>
          <t>涨跌幅%</t>
        </is>
      </c>
      <c r="F56" s="5" t="inlineStr">
        <is>
          <t>成交额(亿)</t>
        </is>
      </c>
      <c r="G56" s="5" t="inlineStr">
        <is>
          <t>D1新高</t>
        </is>
      </c>
      <c r="H56" s="5" t="inlineStr">
        <is>
          <t>D2强势</t>
        </is>
      </c>
      <c r="I56" s="5" t="inlineStr">
        <is>
          <t>D3突破</t>
        </is>
      </c>
      <c r="J56" s="5" t="inlineStr">
        <is>
          <t>D4首板</t>
        </is>
      </c>
      <c r="K56" s="5" t="inlineStr">
        <is>
          <t>D5潜突</t>
        </is>
      </c>
      <c r="L56" s="5" t="inlineStr">
        <is>
          <t>D6连板</t>
        </is>
      </c>
      <c r="M56" s="5" t="inlineStr">
        <is>
          <t>D7一字</t>
        </is>
      </c>
      <c r="N56" s="5" t="inlineStr">
        <is>
          <t>D8活跃</t>
        </is>
      </c>
      <c r="O56" s="5" t="inlineStr">
        <is>
          <t>大成交额加分</t>
        </is>
      </c>
      <c r="P56" s="5" t="inlineStr">
        <is>
          <t>得分明细</t>
        </is>
      </c>
    </row>
    <row r="57">
      <c r="A57" t="n">
        <v>1</v>
      </c>
      <c r="B57" t="inlineStr">
        <is>
          <t>301368</t>
        </is>
      </c>
      <c r="C57" t="inlineStr">
        <is>
          <t>丰立智能</t>
        </is>
      </c>
      <c r="D57" t="n">
        <v>3</v>
      </c>
      <c r="E57" t="n">
        <v>-3.08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3</v>
      </c>
      <c r="O57" t="n">
        <v>0</v>
      </c>
      <c r="P57" t="inlineStr">
        <is>
          <t>D1新高=0,D2强势=0,D3突破=0,D4首板=0,D5潜突=0,D6连板=0,D7一字=0,D8活跃=3,bonus=0</t>
        </is>
      </c>
    </row>
    <row r="58">
      <c r="A58" t="n">
        <v>2</v>
      </c>
      <c r="B58" t="inlineStr">
        <is>
          <t>688017</t>
        </is>
      </c>
      <c r="C58" t="inlineStr">
        <is>
          <t>绿的谐波</t>
        </is>
      </c>
      <c r="D58" t="n">
        <v>3</v>
      </c>
      <c r="E58" t="n">
        <v>1.43</v>
      </c>
      <c r="F58" t="n">
        <v>0.13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3</v>
      </c>
      <c r="O58" t="n">
        <v>0</v>
      </c>
      <c r="P58" t="inlineStr">
        <is>
          <t>D1新高=0,D2强势=0,D3突破=0,D4首板=0,D5潜突=0,D6连板=0,D7一字=0,D8活跃=3,bonus=0</t>
        </is>
      </c>
    </row>
    <row r="59">
      <c r="A59" t="n">
        <v>3</v>
      </c>
      <c r="B59" t="inlineStr">
        <is>
          <t>000887</t>
        </is>
      </c>
      <c r="C59" t="inlineStr">
        <is>
          <t>中鼎股份</t>
        </is>
      </c>
      <c r="D59" t="n">
        <v>3</v>
      </c>
      <c r="E59" t="n">
        <v>-1.12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3</v>
      </c>
      <c r="O59" t="n">
        <v>0</v>
      </c>
      <c r="P59" t="inlineStr">
        <is>
          <t>D1新高=0,D2强势=0,D3突破=0,D4首板=0,D5潜突=0,D6连板=0,D7一字=0,D8活跃=3,bonus=0</t>
        </is>
      </c>
    </row>
    <row r="60">
      <c r="A60" t="n">
        <v>4</v>
      </c>
      <c r="B60" t="inlineStr">
        <is>
          <t>301550</t>
        </is>
      </c>
      <c r="C60" t="inlineStr">
        <is>
          <t>斯菱智驱</t>
        </is>
      </c>
      <c r="D60" t="n">
        <v>3</v>
      </c>
      <c r="E60" t="n">
        <v>-2.91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inlineStr">
        <is>
          <t>D1新高=0,D2强势=0,D3突破=0,D4首板=0,D5潜突=0,D6连板=0,D7一字=0,D8活跃=3,bonus=0</t>
        </is>
      </c>
    </row>
    <row r="61">
      <c r="A61" t="n">
        <v>5</v>
      </c>
      <c r="B61" t="inlineStr">
        <is>
          <t>002472</t>
        </is>
      </c>
      <c r="C61" t="inlineStr">
        <is>
          <t>双环传动</t>
        </is>
      </c>
      <c r="D61" t="n">
        <v>0</v>
      </c>
      <c r="E61" t="n">
        <v>-1.3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inlineStr">
        <is>
          <t>D1新高=0,D2强势=0,D3突破=0,D4首板=0,D5潜突=0,D6连板=0,D7一字=0,D8活跃=0,bonus=0</t>
        </is>
      </c>
    </row>
    <row r="62">
      <c r="A62" t="n">
        <v>6</v>
      </c>
      <c r="B62" t="inlineStr">
        <is>
          <t>301596</t>
        </is>
      </c>
      <c r="C62" t="inlineStr">
        <is>
          <t>瑞迪智驱</t>
        </is>
      </c>
      <c r="D62" t="n">
        <v>0</v>
      </c>
      <c r="E62" t="n">
        <v>-4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D1新高=0,D2强势=0,D3突破=0,D4首板=0,D5潜突=0,D6连板=0,D7一字=0,D8活跃=0,bonus=0</t>
        </is>
      </c>
    </row>
    <row r="63">
      <c r="A63" t="n">
        <v>7</v>
      </c>
      <c r="B63" t="inlineStr">
        <is>
          <t>300432</t>
        </is>
      </c>
      <c r="C63" t="inlineStr">
        <is>
          <t>富临精工</t>
        </is>
      </c>
      <c r="D63" t="n">
        <v>0</v>
      </c>
      <c r="E63" t="n">
        <v>-1.1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D1新高=0,D2强势=0,D3突破=0,D4首板=0,D5潜突=0,D6连板=0,D7一字=0,D8活跃=0,bonus=0</t>
        </is>
      </c>
    </row>
    <row r="64">
      <c r="A64" t="n">
        <v>8</v>
      </c>
      <c r="B64" t="inlineStr">
        <is>
          <t>300403</t>
        </is>
      </c>
      <c r="C64" t="inlineStr">
        <is>
          <t>汉宇集团</t>
        </is>
      </c>
      <c r="D64" t="n">
        <v>0</v>
      </c>
      <c r="E64" t="n">
        <v>-3.52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D1新高=0,D2强势=0,D3突破=0,D4首板=0,D5潜突=0,D6连板=0,D7一字=0,D8活跃=0,bonus=0</t>
        </is>
      </c>
    </row>
    <row r="65"/>
    <row r="66">
      <c r="A66" s="4" t="inlineStr">
        <is>
          <t>--- 细分: 电机 ---</t>
        </is>
      </c>
    </row>
    <row r="67">
      <c r="A67" s="5" t="inlineStr">
        <is>
          <t>排名</t>
        </is>
      </c>
      <c r="B67" s="5" t="inlineStr">
        <is>
          <t>代码</t>
        </is>
      </c>
      <c r="C67" s="5" t="inlineStr">
        <is>
          <t>名称</t>
        </is>
      </c>
      <c r="D67" s="5" t="inlineStr">
        <is>
          <t>得分</t>
        </is>
      </c>
      <c r="E67" s="5" t="inlineStr">
        <is>
          <t>涨跌幅%</t>
        </is>
      </c>
      <c r="F67" s="5" t="inlineStr">
        <is>
          <t>成交额(亿)</t>
        </is>
      </c>
      <c r="G67" s="5" t="inlineStr">
        <is>
          <t>D1新高</t>
        </is>
      </c>
      <c r="H67" s="5" t="inlineStr">
        <is>
          <t>D2强势</t>
        </is>
      </c>
      <c r="I67" s="5" t="inlineStr">
        <is>
          <t>D3突破</t>
        </is>
      </c>
      <c r="J67" s="5" t="inlineStr">
        <is>
          <t>D4首板</t>
        </is>
      </c>
      <c r="K67" s="5" t="inlineStr">
        <is>
          <t>D5潜突</t>
        </is>
      </c>
      <c r="L67" s="5" t="inlineStr">
        <is>
          <t>D6连板</t>
        </is>
      </c>
      <c r="M67" s="5" t="inlineStr">
        <is>
          <t>D7一字</t>
        </is>
      </c>
      <c r="N67" s="5" t="inlineStr">
        <is>
          <t>D8活跃</t>
        </is>
      </c>
      <c r="O67" s="5" t="inlineStr">
        <is>
          <t>大成交额加分</t>
        </is>
      </c>
      <c r="P67" s="5" t="inlineStr">
        <is>
          <t>得分明细</t>
        </is>
      </c>
    </row>
    <row r="68">
      <c r="A68" t="n">
        <v>1</v>
      </c>
      <c r="B68" t="inlineStr">
        <is>
          <t>688160</t>
        </is>
      </c>
      <c r="C68" t="inlineStr">
        <is>
          <t>步科股份</t>
        </is>
      </c>
      <c r="D68" t="n">
        <v>3</v>
      </c>
      <c r="E68" t="n">
        <v>-2.65</v>
      </c>
      <c r="F68" t="n">
        <v>0.02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inlineStr">
        <is>
          <t>D1新高=0,D2强势=0,D3突破=0,D4首板=0,D5潜突=0,D6连板=0,D7一字=0,D8活跃=3,bonus=0</t>
        </is>
      </c>
    </row>
    <row r="69">
      <c r="A69" t="n">
        <v>2</v>
      </c>
      <c r="B69" t="inlineStr">
        <is>
          <t>002892</t>
        </is>
      </c>
      <c r="C69" t="inlineStr">
        <is>
          <t>科力尔</t>
        </is>
      </c>
      <c r="D69" t="n">
        <v>3</v>
      </c>
      <c r="E69" t="n">
        <v>-3.04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3</v>
      </c>
      <c r="O69" t="n">
        <v>0</v>
      </c>
      <c r="P69" t="inlineStr">
        <is>
          <t>D1新高=0,D2强势=0,D3突破=0,D4首板=0,D5潜突=0,D6连板=0,D7一字=0,D8活跃=3,bonus=0</t>
        </is>
      </c>
    </row>
    <row r="70">
      <c r="A70" t="n">
        <v>3</v>
      </c>
      <c r="B70" t="inlineStr">
        <is>
          <t>300503</t>
        </is>
      </c>
      <c r="C70" t="inlineStr">
        <is>
          <t>昊志机电</t>
        </is>
      </c>
      <c r="D70" t="n">
        <v>0</v>
      </c>
      <c r="E70" t="n">
        <v>-2.29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inlineStr">
        <is>
          <t>D1新高=0,D2强势=0,D3突破=0,D4首板=0,D5潜突=0,D6连板=0,D7一字=0,D8活跃=0,bonus=0</t>
        </is>
      </c>
    </row>
    <row r="71">
      <c r="A71" t="n">
        <v>4</v>
      </c>
      <c r="B71" t="inlineStr">
        <is>
          <t>300124</t>
        </is>
      </c>
      <c r="C71" t="inlineStr">
        <is>
          <t>汇川技术</t>
        </is>
      </c>
      <c r="D71" t="n">
        <v>0</v>
      </c>
      <c r="E71" t="n">
        <v>-0.7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inlineStr">
        <is>
          <t>D1新高=0,D2强势=0,D3突破=0,D4首板=0,D5潜突=0,D6连板=0,D7一字=0,D8活跃=0,bonus=0</t>
        </is>
      </c>
    </row>
    <row r="72"/>
    <row r="73">
      <c r="A73" s="4" t="inlineStr">
        <is>
          <t>--- 细分: 丝杠设备 ---</t>
        </is>
      </c>
    </row>
    <row r="74">
      <c r="A74" s="5" t="inlineStr">
        <is>
          <t>排名</t>
        </is>
      </c>
      <c r="B74" s="5" t="inlineStr">
        <is>
          <t>代码</t>
        </is>
      </c>
      <c r="C74" s="5" t="inlineStr">
        <is>
          <t>名称</t>
        </is>
      </c>
      <c r="D74" s="5" t="inlineStr">
        <is>
          <t>得分</t>
        </is>
      </c>
      <c r="E74" s="5" t="inlineStr">
        <is>
          <t>涨跌幅%</t>
        </is>
      </c>
      <c r="F74" s="5" t="inlineStr">
        <is>
          <t>成交额(亿)</t>
        </is>
      </c>
      <c r="G74" s="5" t="inlineStr">
        <is>
          <t>D1新高</t>
        </is>
      </c>
      <c r="H74" s="5" t="inlineStr">
        <is>
          <t>D2强势</t>
        </is>
      </c>
      <c r="I74" s="5" t="inlineStr">
        <is>
          <t>D3突破</t>
        </is>
      </c>
      <c r="J74" s="5" t="inlineStr">
        <is>
          <t>D4首板</t>
        </is>
      </c>
      <c r="K74" s="5" t="inlineStr">
        <is>
          <t>D5潜突</t>
        </is>
      </c>
      <c r="L74" s="5" t="inlineStr">
        <is>
          <t>D6连板</t>
        </is>
      </c>
      <c r="M74" s="5" t="inlineStr">
        <is>
          <t>D7一字</t>
        </is>
      </c>
      <c r="N74" s="5" t="inlineStr">
        <is>
          <t>D8活跃</t>
        </is>
      </c>
      <c r="O74" s="5" t="inlineStr">
        <is>
          <t>大成交额加分</t>
        </is>
      </c>
      <c r="P74" s="5" t="inlineStr">
        <is>
          <t>得分明细</t>
        </is>
      </c>
    </row>
    <row r="75">
      <c r="A75" t="n">
        <v>1</v>
      </c>
      <c r="B75" t="inlineStr">
        <is>
          <t>002046</t>
        </is>
      </c>
      <c r="C75" t="inlineStr">
        <is>
          <t>国机精工</t>
        </is>
      </c>
      <c r="D75" t="n">
        <v>3</v>
      </c>
      <c r="E75" t="n">
        <v>-0.93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3</v>
      </c>
      <c r="O75" t="n">
        <v>0</v>
      </c>
      <c r="P75" t="inlineStr">
        <is>
          <t>D1新高=0,D2强势=0,D3突破=0,D4首板=0,D5潜突=0,D6连板=0,D7一字=0,D8活跃=3,bonus=0</t>
        </is>
      </c>
    </row>
    <row r="76">
      <c r="A76" t="n">
        <v>2</v>
      </c>
      <c r="B76" t="inlineStr">
        <is>
          <t>002520</t>
        </is>
      </c>
      <c r="C76" t="inlineStr">
        <is>
          <t>日发精机</t>
        </is>
      </c>
      <c r="D76" t="n">
        <v>3</v>
      </c>
      <c r="E76" t="n">
        <v>-0.58</v>
      </c>
      <c r="F76" t="n">
        <v>0.01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3</v>
      </c>
      <c r="O76" t="n">
        <v>0</v>
      </c>
      <c r="P76" t="inlineStr">
        <is>
          <t>D1新高=0,D2强势=0,D3突破=0,D4首板=0,D5潜突=0,D6连板=0,D7一字=0,D8活跃=3,bonus=0</t>
        </is>
      </c>
    </row>
    <row r="77">
      <c r="A77" t="n">
        <v>3</v>
      </c>
      <c r="B77" t="inlineStr">
        <is>
          <t>688577</t>
        </is>
      </c>
      <c r="C77" t="inlineStr">
        <is>
          <t>浙海德曼</t>
        </is>
      </c>
      <c r="D77" t="n">
        <v>0</v>
      </c>
      <c r="E77" t="n">
        <v>-1.29</v>
      </c>
      <c r="F77" t="n">
        <v>0.02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D1新高=0,D2强势=0,D3突破=0,D4首板=0,D5潜突=0,D6连板=0,D7一字=0,D8活跃=0,bonus=0</t>
        </is>
      </c>
    </row>
    <row r="78">
      <c r="A78" t="n">
        <v>4</v>
      </c>
      <c r="B78" t="inlineStr">
        <is>
          <t>300809</t>
        </is>
      </c>
      <c r="C78" t="inlineStr">
        <is>
          <t>华辰装备</t>
        </is>
      </c>
      <c r="D78" t="n">
        <v>0</v>
      </c>
      <c r="E78" t="n">
        <v>-4.45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D1新高=0,D2强势=0,D3突破=0,D4首板=0,D5潜突=0,D6连板=0,D7一字=0,D8活跃=0,bonus=0</t>
        </is>
      </c>
    </row>
    <row r="79"/>
    <row r="80">
      <c r="A80" s="4" t="inlineStr">
        <is>
          <t>--- 细分: 灵巧手 ---</t>
        </is>
      </c>
    </row>
    <row r="81">
      <c r="A81" s="5" t="inlineStr">
        <is>
          <t>排名</t>
        </is>
      </c>
      <c r="B81" s="5" t="inlineStr">
        <is>
          <t>代码</t>
        </is>
      </c>
      <c r="C81" s="5" t="inlineStr">
        <is>
          <t>名称</t>
        </is>
      </c>
      <c r="D81" s="5" t="inlineStr">
        <is>
          <t>得分</t>
        </is>
      </c>
      <c r="E81" s="5" t="inlineStr">
        <is>
          <t>涨跌幅%</t>
        </is>
      </c>
      <c r="F81" s="5" t="inlineStr">
        <is>
          <t>成交额(亿)</t>
        </is>
      </c>
      <c r="G81" s="5" t="inlineStr">
        <is>
          <t>D1新高</t>
        </is>
      </c>
      <c r="H81" s="5" t="inlineStr">
        <is>
          <t>D2强势</t>
        </is>
      </c>
      <c r="I81" s="5" t="inlineStr">
        <is>
          <t>D3突破</t>
        </is>
      </c>
      <c r="J81" s="5" t="inlineStr">
        <is>
          <t>D4首板</t>
        </is>
      </c>
      <c r="K81" s="5" t="inlineStr">
        <is>
          <t>D5潜突</t>
        </is>
      </c>
      <c r="L81" s="5" t="inlineStr">
        <is>
          <t>D6连板</t>
        </is>
      </c>
      <c r="M81" s="5" t="inlineStr">
        <is>
          <t>D7一字</t>
        </is>
      </c>
      <c r="N81" s="5" t="inlineStr">
        <is>
          <t>D8活跃</t>
        </is>
      </c>
      <c r="O81" s="5" t="inlineStr">
        <is>
          <t>大成交额加分</t>
        </is>
      </c>
      <c r="P81" s="5" t="inlineStr">
        <is>
          <t>得分明细</t>
        </is>
      </c>
    </row>
    <row r="82">
      <c r="A82" t="n">
        <v>1</v>
      </c>
      <c r="B82" t="inlineStr">
        <is>
          <t>002979</t>
        </is>
      </c>
      <c r="C82" t="inlineStr">
        <is>
          <t>雷赛智能</t>
        </is>
      </c>
      <c r="D82" t="n">
        <v>5</v>
      </c>
      <c r="E82" t="n">
        <v>5.68</v>
      </c>
      <c r="F82" t="n">
        <v>0</v>
      </c>
      <c r="G82" t="n">
        <v>0</v>
      </c>
      <c r="H82" t="n">
        <v>0</v>
      </c>
      <c r="I82" t="n">
        <v>5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inlineStr">
        <is>
          <t>D1新高=0,D2强势=0,D3突破=5,D4首板=0,D5潜突=0,D6连板=0,D7一字=0,D8活跃=0,bonus=0</t>
        </is>
      </c>
    </row>
    <row r="83">
      <c r="A83" t="n">
        <v>2</v>
      </c>
      <c r="B83" t="inlineStr">
        <is>
          <t>603728</t>
        </is>
      </c>
      <c r="C83" t="inlineStr">
        <is>
          <t>鸣志电器</t>
        </is>
      </c>
      <c r="D83" t="n">
        <v>0</v>
      </c>
      <c r="E83" t="n">
        <v>-1.4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inlineStr">
        <is>
          <t>D1新高=0,D2强势=0,D3突破=0,D4首板=0,D5潜突=0,D6连板=0,D7一字=0,D8活跃=0,bonus=0</t>
        </is>
      </c>
    </row>
    <row r="84">
      <c r="A84" t="n">
        <v>3</v>
      </c>
      <c r="B84" t="inlineStr">
        <is>
          <t>003021</t>
        </is>
      </c>
      <c r="C84" t="inlineStr">
        <is>
          <t>兆威机电</t>
        </is>
      </c>
      <c r="D84" t="n">
        <v>0</v>
      </c>
      <c r="E84" t="n">
        <v>-1.2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inlineStr">
        <is>
          <t>D1新高=0,D2强势=0,D3突破=0,D4首板=0,D5潜突=0,D6连板=0,D7一字=0,D8活跃=0,bonus=0</t>
        </is>
      </c>
    </row>
    <row r="85">
      <c r="A85" t="n">
        <v>4</v>
      </c>
      <c r="B85" t="inlineStr">
        <is>
          <t>688698</t>
        </is>
      </c>
      <c r="C85" t="inlineStr">
        <is>
          <t>伟创电气</t>
        </is>
      </c>
      <c r="D85" t="n">
        <v>0</v>
      </c>
      <c r="E85" t="n">
        <v>-1.74</v>
      </c>
      <c r="F85" t="n">
        <v>0.04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D1新高=0,D2强势=0,D3突破=0,D4首板=0,D5潜突=0,D6连板=0,D7一字=0,D8活跃=0,bonus=0</t>
        </is>
      </c>
    </row>
    <row r="86"/>
    <row r="87">
      <c r="A87" s="4" t="inlineStr">
        <is>
          <t>--- 细分: 腱绳材料 ---</t>
        </is>
      </c>
    </row>
    <row r="88">
      <c r="A88" s="5" t="inlineStr">
        <is>
          <t>排名</t>
        </is>
      </c>
      <c r="B88" s="5" t="inlineStr">
        <is>
          <t>代码</t>
        </is>
      </c>
      <c r="C88" s="5" t="inlineStr">
        <is>
          <t>名称</t>
        </is>
      </c>
      <c r="D88" s="5" t="inlineStr">
        <is>
          <t>得分</t>
        </is>
      </c>
      <c r="E88" s="5" t="inlineStr">
        <is>
          <t>涨跌幅%</t>
        </is>
      </c>
      <c r="F88" s="5" t="inlineStr">
        <is>
          <t>成交额(亿)</t>
        </is>
      </c>
      <c r="G88" s="5" t="inlineStr">
        <is>
          <t>D1新高</t>
        </is>
      </c>
      <c r="H88" s="5" t="inlineStr">
        <is>
          <t>D2强势</t>
        </is>
      </c>
      <c r="I88" s="5" t="inlineStr">
        <is>
          <t>D3突破</t>
        </is>
      </c>
      <c r="J88" s="5" t="inlineStr">
        <is>
          <t>D4首板</t>
        </is>
      </c>
      <c r="K88" s="5" t="inlineStr">
        <is>
          <t>D5潜突</t>
        </is>
      </c>
      <c r="L88" s="5" t="inlineStr">
        <is>
          <t>D6连板</t>
        </is>
      </c>
      <c r="M88" s="5" t="inlineStr">
        <is>
          <t>D7一字</t>
        </is>
      </c>
      <c r="N88" s="5" t="inlineStr">
        <is>
          <t>D8活跃</t>
        </is>
      </c>
      <c r="O88" s="5" t="inlineStr">
        <is>
          <t>大成交额加分</t>
        </is>
      </c>
      <c r="P88" s="5" t="inlineStr">
        <is>
          <t>得分明细</t>
        </is>
      </c>
    </row>
    <row r="89">
      <c r="A89" t="n">
        <v>1</v>
      </c>
      <c r="B89" t="inlineStr">
        <is>
          <t>603278</t>
        </is>
      </c>
      <c r="C89" t="inlineStr">
        <is>
          <t>大业股份</t>
        </is>
      </c>
      <c r="D89" t="n">
        <v>3</v>
      </c>
      <c r="E89" t="n">
        <v>-2.33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3</v>
      </c>
      <c r="O89" t="n">
        <v>0</v>
      </c>
      <c r="P89" t="inlineStr">
        <is>
          <t>D1新高=0,D2强势=0,D3突破=0,D4首板=0,D5潜突=0,D6连板=0,D7一字=0,D8活跃=3,bonus=0</t>
        </is>
      </c>
    </row>
    <row r="90">
      <c r="A90" t="n">
        <v>2</v>
      </c>
      <c r="B90" t="inlineStr">
        <is>
          <t>300918</t>
        </is>
      </c>
      <c r="C90" t="inlineStr">
        <is>
          <t>南山智尚</t>
        </is>
      </c>
      <c r="D90" t="n">
        <v>0</v>
      </c>
      <c r="E90" t="n">
        <v>-1.82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inlineStr">
        <is>
          <t>D1新高=0,D2强势=0,D3突破=0,D4首板=0,D5潜突=0,D6连板=0,D7一字=0,D8活跃=0,bonus=0</t>
        </is>
      </c>
    </row>
    <row r="91">
      <c r="A91" t="n">
        <v>3</v>
      </c>
      <c r="B91" t="inlineStr">
        <is>
          <t>603028</t>
        </is>
      </c>
      <c r="C91" t="inlineStr">
        <is>
          <t>赛福天</t>
        </is>
      </c>
      <c r="D91" t="n">
        <v>0</v>
      </c>
      <c r="E91" t="n">
        <v>-2.28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inlineStr">
        <is>
          <t>D1新高=0,D2强势=0,D3突破=0,D4首板=0,D5潜突=0,D6连板=0,D7一字=0,D8活跃=0,bonus=0</t>
        </is>
      </c>
    </row>
    <row r="92"/>
    <row r="93">
      <c r="A93" s="4" t="inlineStr">
        <is>
          <t>--- 细分: 其他 ---</t>
        </is>
      </c>
    </row>
    <row r="94">
      <c r="A94" s="5" t="inlineStr">
        <is>
          <t>排名</t>
        </is>
      </c>
      <c r="B94" s="5" t="inlineStr">
        <is>
          <t>代码</t>
        </is>
      </c>
      <c r="C94" s="5" t="inlineStr">
        <is>
          <t>名称</t>
        </is>
      </c>
      <c r="D94" s="5" t="inlineStr">
        <is>
          <t>得分</t>
        </is>
      </c>
      <c r="E94" s="5" t="inlineStr">
        <is>
          <t>涨跌幅%</t>
        </is>
      </c>
      <c r="F94" s="5" t="inlineStr">
        <is>
          <t>成交额(亿)</t>
        </is>
      </c>
      <c r="G94" s="5" t="inlineStr">
        <is>
          <t>D1新高</t>
        </is>
      </c>
      <c r="H94" s="5" t="inlineStr">
        <is>
          <t>D2强势</t>
        </is>
      </c>
      <c r="I94" s="5" t="inlineStr">
        <is>
          <t>D3突破</t>
        </is>
      </c>
      <c r="J94" s="5" t="inlineStr">
        <is>
          <t>D4首板</t>
        </is>
      </c>
      <c r="K94" s="5" t="inlineStr">
        <is>
          <t>D5潜突</t>
        </is>
      </c>
      <c r="L94" s="5" t="inlineStr">
        <is>
          <t>D6连板</t>
        </is>
      </c>
      <c r="M94" s="5" t="inlineStr">
        <is>
          <t>D7一字</t>
        </is>
      </c>
      <c r="N94" s="5" t="inlineStr">
        <is>
          <t>D8活跃</t>
        </is>
      </c>
      <c r="O94" s="5" t="inlineStr">
        <is>
          <t>大成交额加分</t>
        </is>
      </c>
      <c r="P94" s="5" t="inlineStr">
        <is>
          <t>得分明细</t>
        </is>
      </c>
    </row>
    <row r="95">
      <c r="A95" t="n">
        <v>1</v>
      </c>
      <c r="B95" t="inlineStr">
        <is>
          <t>002126</t>
        </is>
      </c>
      <c r="C95" t="inlineStr">
        <is>
          <t>银轮股份</t>
        </is>
      </c>
      <c r="D95" t="n">
        <v>5</v>
      </c>
      <c r="E95" t="n">
        <v>5.8</v>
      </c>
      <c r="F95" t="n">
        <v>0</v>
      </c>
      <c r="G95" t="n">
        <v>0</v>
      </c>
      <c r="H95" t="n">
        <v>0</v>
      </c>
      <c r="I95" t="n">
        <v>5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D1新高=0,D2强势=0,D3突破=5,D4首板=0,D5潜突=0,D6连板=0,D7一字=0,D8活跃=0,bonus=0</t>
        </is>
      </c>
    </row>
    <row r="96">
      <c r="A96" t="n">
        <v>2</v>
      </c>
      <c r="B96" t="inlineStr">
        <is>
          <t>603859</t>
        </is>
      </c>
      <c r="C96" t="inlineStr">
        <is>
          <t>能科科技</t>
        </is>
      </c>
      <c r="D96" t="n">
        <v>3</v>
      </c>
      <c r="E96" t="n">
        <v>-0.84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3</v>
      </c>
      <c r="O96" t="n">
        <v>0</v>
      </c>
      <c r="P96" t="inlineStr">
        <is>
          <t>D1新高=0,D2强势=0,D3突破=0,D4首板=0,D5潜突=0,D6连板=0,D7一字=0,D8活跃=3,bonus=0</t>
        </is>
      </c>
    </row>
    <row r="97">
      <c r="A97" t="n">
        <v>3</v>
      </c>
      <c r="B97" t="inlineStr">
        <is>
          <t>301000</t>
        </is>
      </c>
      <c r="C97" t="inlineStr">
        <is>
          <t>肇民科技</t>
        </is>
      </c>
      <c r="D97" t="n">
        <v>3</v>
      </c>
      <c r="E97" t="n">
        <v>-2.73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3</v>
      </c>
      <c r="O97" t="n">
        <v>0</v>
      </c>
      <c r="P97" t="inlineStr">
        <is>
          <t>D1新高=0,D2强势=0,D3突破=0,D4首板=0,D5潜突=0,D6连板=0,D7一字=0,D8活跃=3,bonus=0</t>
        </is>
      </c>
    </row>
    <row r="98">
      <c r="A98" t="n">
        <v>4</v>
      </c>
      <c r="B98" t="inlineStr">
        <is>
          <t>301199</t>
        </is>
      </c>
      <c r="C98" t="inlineStr">
        <is>
          <t>迈赫股份</t>
        </is>
      </c>
      <c r="D98" t="n">
        <v>0</v>
      </c>
      <c r="E98" t="n">
        <v>-1.82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inlineStr">
        <is>
          <t>D1新高=0,D2强势=0,D3突破=0,D4首板=0,D5潜突=0,D6连板=0,D7一字=0,D8活跃=0,bonus=0</t>
        </is>
      </c>
    </row>
    <row r="99">
      <c r="A99" t="n">
        <v>5</v>
      </c>
      <c r="B99" t="inlineStr">
        <is>
          <t>301005</t>
        </is>
      </c>
      <c r="C99" t="inlineStr">
        <is>
          <t>超捷股份</t>
        </is>
      </c>
      <c r="D99" t="n">
        <v>0</v>
      </c>
      <c r="E99" t="n">
        <v>2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inlineStr">
        <is>
          <t>D1新高=0,D2强势=0,D3突破=0,D4首板=0,D5潜突=0,D6连板=0,D7一字=0,D8活跃=0,bonus=0</t>
        </is>
      </c>
    </row>
    <row r="100">
      <c r="A100" t="n">
        <v>6</v>
      </c>
      <c r="B100" t="inlineStr">
        <is>
          <t>300984</t>
        </is>
      </c>
      <c r="C100" t="inlineStr">
        <is>
          <t>金沃股份</t>
        </is>
      </c>
      <c r="D100" t="n">
        <v>0</v>
      </c>
      <c r="E100" t="n">
        <v>1.92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inlineStr">
        <is>
          <t>D1新高=0,D2强势=0,D3突破=0,D4首板=0,D5潜突=0,D6连板=0,D7一字=0,D8活跃=0,bonus=0</t>
        </is>
      </c>
    </row>
    <row r="101">
      <c r="A101" t="n">
        <v>7</v>
      </c>
      <c r="B101" t="inlineStr">
        <is>
          <t>300969</t>
        </is>
      </c>
      <c r="C101" t="inlineStr">
        <is>
          <t>恒帅股份</t>
        </is>
      </c>
      <c r="D101" t="n">
        <v>0</v>
      </c>
      <c r="E101" t="n">
        <v>0.48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D1新高=0,D2强势=0,D3突破=0,D4首板=0,D5潜突=0,D6连板=0,D7一字=0,D8活跃=0,bonus=0</t>
        </is>
      </c>
    </row>
    <row r="102">
      <c r="A102" t="n">
        <v>8</v>
      </c>
      <c r="B102" t="inlineStr">
        <is>
          <t>002338</t>
        </is>
      </c>
      <c r="C102" t="inlineStr">
        <is>
          <t>奥普光电</t>
        </is>
      </c>
      <c r="D102" t="n">
        <v>0</v>
      </c>
      <c r="E102" t="n">
        <v>-1.5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D1新高=0,D2强势=0,D3突破=0,D4首板=0,D5潜突=0,D6连板=0,D7一字=0,D8活跃=0,bonus=0</t>
        </is>
      </c>
    </row>
    <row r="103">
      <c r="A103" t="n">
        <v>9</v>
      </c>
      <c r="B103" t="inlineStr">
        <is>
          <t>600699</t>
        </is>
      </c>
      <c r="C103" t="inlineStr">
        <is>
          <t>均胜电子</t>
        </is>
      </c>
      <c r="D103" t="n">
        <v>0</v>
      </c>
      <c r="E103" t="n">
        <v>-0.16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D1新高=0,D2强势=0,D3突破=0,D4首板=0,D5潜突=0,D6连板=0,D7一字=0,D8活跃=0,bonus=0</t>
        </is>
      </c>
    </row>
    <row r="104">
      <c r="A104" t="n">
        <v>10</v>
      </c>
      <c r="B104" t="inlineStr">
        <is>
          <t>300853</t>
        </is>
      </c>
      <c r="C104" t="inlineStr">
        <is>
          <t>申昊科技</t>
        </is>
      </c>
      <c r="D104" t="n">
        <v>0</v>
      </c>
      <c r="E104" t="n">
        <v>-3.81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D1新高=0,D2强势=0,D3突破=0,D4首板=0,D5潜突=0,D6连板=0,D7一字=0,D8活跃=0,bonus=0</t>
        </is>
      </c>
    </row>
    <row r="105">
      <c r="A105" t="n">
        <v>11</v>
      </c>
      <c r="B105" t="inlineStr">
        <is>
          <t>600933</t>
        </is>
      </c>
      <c r="C105" t="inlineStr">
        <is>
          <t>爱柯迪</t>
        </is>
      </c>
      <c r="D105" t="n">
        <v>0</v>
      </c>
      <c r="E105" t="n">
        <v>4.39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inlineStr">
        <is>
          <t>D1新高=0,D2强势=0,D3突破=0,D4首板=0,D5潜突=0,D6连板=0,D7一字=0,D8活跃=0,bonus=0</t>
        </is>
      </c>
    </row>
    <row r="106">
      <c r="A106" t="n">
        <v>12</v>
      </c>
      <c r="B106" t="inlineStr">
        <is>
          <t>300680</t>
        </is>
      </c>
      <c r="C106" t="inlineStr">
        <is>
          <t>隆盛科技</t>
        </is>
      </c>
      <c r="D106" t="n">
        <v>0</v>
      </c>
      <c r="E106" t="n">
        <v>-24.46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inlineStr">
        <is>
          <t>D1新高=0,D2强势=0,D3突破=0,D4首板=0,D5潜突=0,D6连板=0,D7一字=0,D8活跃=0,bonus=0</t>
        </is>
      </c>
    </row>
    <row r="107">
      <c r="A107" t="n">
        <v>13</v>
      </c>
      <c r="B107" t="inlineStr">
        <is>
          <t>300611</t>
        </is>
      </c>
      <c r="C107" t="inlineStr">
        <is>
          <t>美力科技</t>
        </is>
      </c>
      <c r="D107" t="n">
        <v>0</v>
      </c>
      <c r="E107" t="n">
        <v>0.27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inlineStr">
        <is>
          <t>D1新高=0,D2强势=0,D3突破=0,D4首板=0,D5潜突=0,D6连板=0,D7一字=0,D8活跃=0,bonus=0</t>
        </is>
      </c>
    </row>
    <row r="108">
      <c r="A108" t="n">
        <v>14</v>
      </c>
      <c r="B108" t="inlineStr">
        <is>
          <t>002139</t>
        </is>
      </c>
      <c r="C108" t="inlineStr">
        <is>
          <t>拓邦股份</t>
        </is>
      </c>
      <c r="D108" t="n">
        <v>0</v>
      </c>
      <c r="E108" t="n">
        <v>-1.91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inlineStr">
        <is>
          <t>D1新高=0,D2强势=0,D3突破=0,D4首板=0,D5潜突=0,D6连板=0,D7一字=0,D8活跃=0,bonus=0</t>
        </is>
      </c>
    </row>
    <row r="109">
      <c r="A109" t="n">
        <v>15</v>
      </c>
      <c r="B109" t="inlineStr">
        <is>
          <t>603305</t>
        </is>
      </c>
      <c r="C109" t="inlineStr">
        <is>
          <t>旭升集团</t>
        </is>
      </c>
      <c r="D109" t="n">
        <v>0</v>
      </c>
      <c r="E109" t="n">
        <v>-0.7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D1新高=0,D2强势=0,D3突破=0,D4首板=0,D5潜突=0,D6连板=0,D7一字=0,D8活跃=0,bonus=0</t>
        </is>
      </c>
    </row>
    <row r="110">
      <c r="A110" t="n">
        <v>16</v>
      </c>
      <c r="B110" t="inlineStr">
        <is>
          <t>603489</t>
        </is>
      </c>
      <c r="C110" t="inlineStr">
        <is>
          <t>八方股份</t>
        </is>
      </c>
      <c r="D110" t="n">
        <v>0</v>
      </c>
      <c r="E110" t="n">
        <v>-0.95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D1新高=0,D2强势=0,D3突破=0,D4首板=0,D5潜突=0,D6连板=0,D7一字=0,D8活跃=0,bonus=0</t>
        </is>
      </c>
    </row>
    <row r="111">
      <c r="A111" t="n">
        <v>17</v>
      </c>
      <c r="B111" t="inlineStr">
        <is>
          <t>603416</t>
        </is>
      </c>
      <c r="C111" t="inlineStr">
        <is>
          <t>信捷电气</t>
        </is>
      </c>
      <c r="D111" t="n">
        <v>0</v>
      </c>
      <c r="E111" t="n">
        <v>-0.67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D1新高=0,D2强势=0,D3突破=0,D4首板=0,D5潜突=0,D6连板=0,D7一字=0,D8活跃=0,bonus=0</t>
        </is>
      </c>
    </row>
    <row r="112">
      <c r="A112" t="n">
        <v>18</v>
      </c>
      <c r="B112" t="inlineStr">
        <is>
          <t>002681</t>
        </is>
      </c>
      <c r="C112" t="inlineStr">
        <is>
          <t>奋达科技</t>
        </is>
      </c>
      <c r="D112" t="n">
        <v>0</v>
      </c>
      <c r="E112" t="n">
        <v>-2.01</v>
      </c>
      <c r="F112" t="n">
        <v>0.01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inlineStr">
        <is>
          <t>D1新高=0,D2强势=0,D3突破=0,D4首板=0,D5潜突=0,D6连板=0,D7一字=0,D8活跃=0,bonus=0</t>
        </is>
      </c>
    </row>
    <row r="113">
      <c r="A113" t="n">
        <v>19</v>
      </c>
      <c r="B113" t="inlineStr">
        <is>
          <t>300296</t>
        </is>
      </c>
      <c r="C113" t="inlineStr">
        <is>
          <t>利亚德</t>
        </is>
      </c>
      <c r="D113" t="n">
        <v>0</v>
      </c>
      <c r="E113" t="n">
        <v>1.47</v>
      </c>
      <c r="F113" t="n">
        <v>0.01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inlineStr">
        <is>
          <t>D1新高=0,D2强势=0,D3突破=0,D4首板=0,D5潜突=0,D6连板=0,D7一字=0,D8活跃=0,bonus=0</t>
        </is>
      </c>
    </row>
    <row r="114">
      <c r="A114" t="n">
        <v>20</v>
      </c>
      <c r="B114" t="inlineStr">
        <is>
          <t>003033</t>
        </is>
      </c>
      <c r="C114" t="inlineStr">
        <is>
          <t>征和工业</t>
        </is>
      </c>
      <c r="D114" t="n">
        <v>0</v>
      </c>
      <c r="E114" t="n">
        <v>-1.21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inlineStr">
        <is>
          <t>D1新高=0,D2强势=0,D3突破=0,D4首板=0,D5潜突=0,D6连板=0,D7一字=0,D8活跃=0,bonus=0</t>
        </is>
      </c>
    </row>
    <row r="115"/>
    <row r="116">
      <c r="A116" s="4" t="inlineStr">
        <is>
          <t>--- 细分: 本体及应用 ---</t>
        </is>
      </c>
    </row>
    <row r="117">
      <c r="A117" s="5" t="inlineStr">
        <is>
          <t>排名</t>
        </is>
      </c>
      <c r="B117" s="5" t="inlineStr">
        <is>
          <t>代码</t>
        </is>
      </c>
      <c r="C117" s="5" t="inlineStr">
        <is>
          <t>名称</t>
        </is>
      </c>
      <c r="D117" s="5" t="inlineStr">
        <is>
          <t>得分</t>
        </is>
      </c>
      <c r="E117" s="5" t="inlineStr">
        <is>
          <t>涨跌幅%</t>
        </is>
      </c>
      <c r="F117" s="5" t="inlineStr">
        <is>
          <t>成交额(亿)</t>
        </is>
      </c>
      <c r="G117" s="5" t="inlineStr">
        <is>
          <t>D1新高</t>
        </is>
      </c>
      <c r="H117" s="5" t="inlineStr">
        <is>
          <t>D2强势</t>
        </is>
      </c>
      <c r="I117" s="5" t="inlineStr">
        <is>
          <t>D3突破</t>
        </is>
      </c>
      <c r="J117" s="5" t="inlineStr">
        <is>
          <t>D4首板</t>
        </is>
      </c>
      <c r="K117" s="5" t="inlineStr">
        <is>
          <t>D5潜突</t>
        </is>
      </c>
      <c r="L117" s="5" t="inlineStr">
        <is>
          <t>D6连板</t>
        </is>
      </c>
      <c r="M117" s="5" t="inlineStr">
        <is>
          <t>D7一字</t>
        </is>
      </c>
      <c r="N117" s="5" t="inlineStr">
        <is>
          <t>D8活跃</t>
        </is>
      </c>
      <c r="O117" s="5" t="inlineStr">
        <is>
          <t>大成交额加分</t>
        </is>
      </c>
      <c r="P117" s="5" t="inlineStr">
        <is>
          <t>得分明细</t>
        </is>
      </c>
    </row>
    <row r="118">
      <c r="A118" t="n">
        <v>1</v>
      </c>
      <c r="B118" t="inlineStr">
        <is>
          <t>002747</t>
        </is>
      </c>
      <c r="C118" t="inlineStr">
        <is>
          <t>埃斯顿</t>
        </is>
      </c>
      <c r="D118" t="n">
        <v>3</v>
      </c>
      <c r="E118" t="n">
        <v>-2.12</v>
      </c>
      <c r="F118" t="n">
        <v>0.01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3</v>
      </c>
      <c r="O118" t="n">
        <v>0</v>
      </c>
      <c r="P118" t="inlineStr">
        <is>
          <t>D1新高=0,D2强势=0,D3突破=0,D4首板=0,D5潜突=0,D6连板=0,D7一字=0,D8活跃=3,bonus=0</t>
        </is>
      </c>
    </row>
    <row r="119">
      <c r="A119" t="n">
        <v>2</v>
      </c>
      <c r="B119" t="inlineStr">
        <is>
          <t>002527</t>
        </is>
      </c>
      <c r="C119" t="inlineStr">
        <is>
          <t>新时达</t>
        </is>
      </c>
      <c r="D119" t="n">
        <v>0</v>
      </c>
      <c r="E119" t="n">
        <v>-2.54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inlineStr">
        <is>
          <t>D1新高=0,D2强势=0,D3突破=0,D4首板=0,D5潜突=0,D6连板=0,D7一字=0,D8活跃=0,bonus=0</t>
        </is>
      </c>
    </row>
    <row r="120">
      <c r="A120" t="n">
        <v>3</v>
      </c>
      <c r="B120" t="inlineStr">
        <is>
          <t>300607</t>
        </is>
      </c>
      <c r="C120" t="inlineStr">
        <is>
          <t>拓斯达</t>
        </is>
      </c>
      <c r="D120" t="n">
        <v>0</v>
      </c>
      <c r="E120" t="n">
        <v>3.33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inlineStr">
        <is>
          <t>D1新高=0,D2强势=0,D3突破=0,D4首板=0,D5潜突=0,D6连板=0,D7一字=0,D8活跃=0,bonus=0</t>
        </is>
      </c>
    </row>
    <row r="121">
      <c r="A121" t="n">
        <v>4</v>
      </c>
      <c r="B121" t="inlineStr">
        <is>
          <t>603666</t>
        </is>
      </c>
      <c r="C121" t="inlineStr">
        <is>
          <t>亿嘉和</t>
        </is>
      </c>
      <c r="D121" t="n">
        <v>0</v>
      </c>
      <c r="E121" t="n">
        <v>-2.36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inlineStr">
        <is>
          <t>D1新高=0,D2强势=0,D3突破=0,D4首板=0,D5潜突=0,D6连板=0,D7一字=0,D8活跃=0,bonus=0</t>
        </is>
      </c>
    </row>
    <row r="122">
      <c r="A122" t="n">
        <v>5</v>
      </c>
      <c r="B122" t="inlineStr">
        <is>
          <t>002698</t>
        </is>
      </c>
      <c r="C122" t="inlineStr">
        <is>
          <t>博实股份</t>
        </is>
      </c>
      <c r="D122" t="n">
        <v>0</v>
      </c>
      <c r="E122" t="n">
        <v>-4.45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inlineStr">
        <is>
          <t>D1新高=0,D2强势=0,D3突破=0,D4首板=0,D5潜突=0,D6连板=0,D7一字=0,D8活跃=0,bonus=0</t>
        </is>
      </c>
    </row>
    <row r="123">
      <c r="A123" t="n">
        <v>6</v>
      </c>
      <c r="B123" t="inlineStr">
        <is>
          <t>002009</t>
        </is>
      </c>
      <c r="C123" t="inlineStr">
        <is>
          <t>天奇股份</t>
        </is>
      </c>
      <c r="D123" t="n">
        <v>0</v>
      </c>
      <c r="E123" t="n">
        <v>-1.72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D1新高=0,D2强势=0,D3突破=0,D4首板=0,D5潜突=0,D6连板=0,D7一字=0,D8活跃=0,bonus=0</t>
        </is>
      </c>
    </row>
    <row r="124">
      <c r="A124" t="n">
        <v>7</v>
      </c>
      <c r="B124" t="inlineStr">
        <is>
          <t>688218</t>
        </is>
      </c>
      <c r="C124" t="inlineStr">
        <is>
          <t>江苏北人</t>
        </is>
      </c>
      <c r="D124" t="n">
        <v>0</v>
      </c>
      <c r="E124" t="n">
        <v>0.18</v>
      </c>
      <c r="F124" t="n">
        <v>0.05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D1新高=0,D2强势=0,D3突破=0,D4首板=0,D5潜突=0,D6连板=0,D7一字=0,D8活跃=0,bonus=0</t>
        </is>
      </c>
    </row>
    <row r="125">
      <c r="A125" t="n">
        <v>8</v>
      </c>
      <c r="B125" t="inlineStr">
        <is>
          <t>688165</t>
        </is>
      </c>
      <c r="C125" t="inlineStr">
        <is>
          <t>埃夫特-U</t>
        </is>
      </c>
      <c r="D125" t="n">
        <v>0</v>
      </c>
      <c r="E125" t="n">
        <v>-3.16</v>
      </c>
      <c r="F125" t="n">
        <v>0.13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D1新高=0,D2强势=0,D3突破=0,D4首板=0,D5潜突=0,D6连板=0,D7一字=0,D8活跃=0,bonus=0</t>
        </is>
      </c>
    </row>
    <row r="126">
      <c r="A126" t="n">
        <v>9</v>
      </c>
      <c r="B126" t="inlineStr">
        <is>
          <t>688320</t>
        </is>
      </c>
      <c r="C126" t="inlineStr">
        <is>
          <t>禾川科技</t>
        </is>
      </c>
      <c r="D126" t="n">
        <v>0</v>
      </c>
      <c r="E126" t="n">
        <v>-1.9</v>
      </c>
      <c r="F126" t="n">
        <v>0.03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D1新高=0,D2强势=0,D3突破=0,D4首板=0,D5潜突=0,D6连板=0,D7一字=0,D8活跃=0,bonus=0</t>
        </is>
      </c>
    </row>
    <row r="127">
      <c r="A127" t="n">
        <v>10</v>
      </c>
      <c r="B127" t="inlineStr">
        <is>
          <t>002779</t>
        </is>
      </c>
      <c r="C127" t="inlineStr">
        <is>
          <t>中坚科技</t>
        </is>
      </c>
      <c r="D127" t="n">
        <v>0</v>
      </c>
      <c r="E127" t="n">
        <v>1.73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inlineStr">
        <is>
          <t>D1新高=0,D2强势=0,D3突破=0,D4首板=0,D5潜突=0,D6连板=0,D7一字=0,D8活跃=0,bonus=0</t>
        </is>
      </c>
    </row>
    <row r="128"/>
    <row r="129">
      <c r="A129" s="4" t="inlineStr">
        <is>
          <t>--- 细分: 总成 ---</t>
        </is>
      </c>
    </row>
    <row r="130">
      <c r="A130" s="5" t="inlineStr">
        <is>
          <t>排名</t>
        </is>
      </c>
      <c r="B130" s="5" t="inlineStr">
        <is>
          <t>代码</t>
        </is>
      </c>
      <c r="C130" s="5" t="inlineStr">
        <is>
          <t>名称</t>
        </is>
      </c>
      <c r="D130" s="5" t="inlineStr">
        <is>
          <t>得分</t>
        </is>
      </c>
      <c r="E130" s="5" t="inlineStr">
        <is>
          <t>涨跌幅%</t>
        </is>
      </c>
      <c r="F130" s="5" t="inlineStr">
        <is>
          <t>成交额(亿)</t>
        </is>
      </c>
      <c r="G130" s="5" t="inlineStr">
        <is>
          <t>D1新高</t>
        </is>
      </c>
      <c r="H130" s="5" t="inlineStr">
        <is>
          <t>D2强势</t>
        </is>
      </c>
      <c r="I130" s="5" t="inlineStr">
        <is>
          <t>D3突破</t>
        </is>
      </c>
      <c r="J130" s="5" t="inlineStr">
        <is>
          <t>D4首板</t>
        </is>
      </c>
      <c r="K130" s="5" t="inlineStr">
        <is>
          <t>D5潜突</t>
        </is>
      </c>
      <c r="L130" s="5" t="inlineStr">
        <is>
          <t>D6连板</t>
        </is>
      </c>
      <c r="M130" s="5" t="inlineStr">
        <is>
          <t>D7一字</t>
        </is>
      </c>
      <c r="N130" s="5" t="inlineStr">
        <is>
          <t>D8活跃</t>
        </is>
      </c>
      <c r="O130" s="5" t="inlineStr">
        <is>
          <t>大成交额加分</t>
        </is>
      </c>
      <c r="P130" s="5" t="inlineStr">
        <is>
          <t>得分明细</t>
        </is>
      </c>
    </row>
    <row r="131">
      <c r="A131" t="n">
        <v>1</v>
      </c>
      <c r="B131" t="inlineStr">
        <is>
          <t>601689</t>
        </is>
      </c>
      <c r="C131" t="inlineStr">
        <is>
          <t>拓普集团</t>
        </is>
      </c>
      <c r="D131" t="n">
        <v>0</v>
      </c>
      <c r="E131" t="n">
        <v>-1.02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inlineStr">
        <is>
          <t>D1新高=0,D2强势=0,D3突破=0,D4首板=0,D5潜突=0,D6连板=0,D7一字=0,D8活跃=0,bonus=0</t>
        </is>
      </c>
    </row>
    <row r="132">
      <c r="A132" t="n">
        <v>2</v>
      </c>
      <c r="B132" t="inlineStr">
        <is>
          <t>603319</t>
        </is>
      </c>
      <c r="C132" t="inlineStr">
        <is>
          <t>美湖股份</t>
        </is>
      </c>
      <c r="D132" t="n">
        <v>0</v>
      </c>
      <c r="E132" t="n">
        <v>-1.27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inlineStr">
        <is>
          <t>D1新高=0,D2强势=0,D3突破=0,D4首板=0,D5潜突=0,D6连板=0,D7一字=0,D8活跃=0,bonus=0</t>
        </is>
      </c>
    </row>
    <row r="133">
      <c r="A133" t="n">
        <v>3</v>
      </c>
      <c r="B133" t="inlineStr">
        <is>
          <t>002050</t>
        </is>
      </c>
      <c r="C133" t="inlineStr">
        <is>
          <t>三花智控</t>
        </is>
      </c>
      <c r="D133" t="n">
        <v>0</v>
      </c>
      <c r="E133" t="n">
        <v>-1.15</v>
      </c>
      <c r="F133" t="n">
        <v>0.01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inlineStr">
        <is>
          <t>D1新高=0,D2强势=0,D3突破=0,D4首板=0,D5潜突=0,D6连板=0,D7一字=0,D8活跃=0,bonus=0</t>
        </is>
      </c>
    </row>
    <row r="134">
      <c r="A134" t="n">
        <v>4</v>
      </c>
      <c r="B134" t="inlineStr">
        <is>
          <t>688306</t>
        </is>
      </c>
      <c r="C134" t="inlineStr">
        <is>
          <t>均普智能</t>
        </is>
      </c>
      <c r="D134" t="n">
        <v>0</v>
      </c>
      <c r="E134" t="n">
        <v>-1.16</v>
      </c>
      <c r="F134" t="n">
        <v>0.13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D1新高=0,D2强势=0,D3突破=0,D4首板=0,D5潜突=0,D6连板=0,D7一字=0,D8活跃=0,bonus=0</t>
        </is>
      </c>
    </row>
    <row r="135"/>
    <row r="136">
      <c r="A136" s="4" t="inlineStr">
        <is>
          <t>--- 细分: 丝杠 ---</t>
        </is>
      </c>
    </row>
    <row r="137">
      <c r="A137" s="5" t="inlineStr">
        <is>
          <t>排名</t>
        </is>
      </c>
      <c r="B137" s="5" t="inlineStr">
        <is>
          <t>代码</t>
        </is>
      </c>
      <c r="C137" s="5" t="inlineStr">
        <is>
          <t>名称</t>
        </is>
      </c>
      <c r="D137" s="5" t="inlineStr">
        <is>
          <t>得分</t>
        </is>
      </c>
      <c r="E137" s="5" t="inlineStr">
        <is>
          <t>涨跌幅%</t>
        </is>
      </c>
      <c r="F137" s="5" t="inlineStr">
        <is>
          <t>成交额(亿)</t>
        </is>
      </c>
      <c r="G137" s="5" t="inlineStr">
        <is>
          <t>D1新高</t>
        </is>
      </c>
      <c r="H137" s="5" t="inlineStr">
        <is>
          <t>D2强势</t>
        </is>
      </c>
      <c r="I137" s="5" t="inlineStr">
        <is>
          <t>D3突破</t>
        </is>
      </c>
      <c r="J137" s="5" t="inlineStr">
        <is>
          <t>D4首板</t>
        </is>
      </c>
      <c r="K137" s="5" t="inlineStr">
        <is>
          <t>D5潜突</t>
        </is>
      </c>
      <c r="L137" s="5" t="inlineStr">
        <is>
          <t>D6连板</t>
        </is>
      </c>
      <c r="M137" s="5" t="inlineStr">
        <is>
          <t>D7一字</t>
        </is>
      </c>
      <c r="N137" s="5" t="inlineStr">
        <is>
          <t>D8活跃</t>
        </is>
      </c>
      <c r="O137" s="5" t="inlineStr">
        <is>
          <t>大成交额加分</t>
        </is>
      </c>
      <c r="P137" s="5" t="inlineStr">
        <is>
          <t>得分明细</t>
        </is>
      </c>
    </row>
    <row r="138">
      <c r="A138" t="n">
        <v>1</v>
      </c>
      <c r="B138" t="inlineStr">
        <is>
          <t>600889</t>
        </is>
      </c>
      <c r="C138" t="inlineStr">
        <is>
          <t>南京化纤</t>
        </is>
      </c>
      <c r="D138" t="n">
        <v>0</v>
      </c>
      <c r="E138" t="n">
        <v>-1.25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inlineStr">
        <is>
          <t>D1新高=0,D2强势=0,D3突破=0,D4首板=0,D5潜突=0,D6连板=0,D7一字=0,D8活跃=0,bonus=0</t>
        </is>
      </c>
    </row>
    <row r="139">
      <c r="A139" t="n">
        <v>2</v>
      </c>
      <c r="B139" t="inlineStr">
        <is>
          <t>300953</t>
        </is>
      </c>
      <c r="C139" t="inlineStr">
        <is>
          <t>震裕科技</t>
        </is>
      </c>
      <c r="D139" t="n">
        <v>0</v>
      </c>
      <c r="E139" t="n">
        <v>0.92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D1新高=0,D2强势=0,D3突破=0,D4首板=0,D5潜突=0,D6连板=0,D7一字=0,D8活跃=0,bonus=0</t>
        </is>
      </c>
    </row>
    <row r="140">
      <c r="A140" t="n">
        <v>3</v>
      </c>
      <c r="B140" t="inlineStr">
        <is>
          <t>601100</t>
        </is>
      </c>
      <c r="C140" t="inlineStr">
        <is>
          <t>恒立液压</t>
        </is>
      </c>
      <c r="D140" t="n">
        <v>0</v>
      </c>
      <c r="E140" t="n">
        <v>1.29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D1新高=0,D2强势=0,D3突破=0,D4首板=0,D5潜突=0,D6连板=0,D7一字=0,D8活跃=0,bonus=0</t>
        </is>
      </c>
    </row>
    <row r="141">
      <c r="A141" t="n">
        <v>4</v>
      </c>
      <c r="B141" t="inlineStr">
        <is>
          <t>603009</t>
        </is>
      </c>
      <c r="C141" t="inlineStr">
        <is>
          <t>北特科技</t>
        </is>
      </c>
      <c r="D141" t="n">
        <v>0</v>
      </c>
      <c r="E141" t="n">
        <v>-1.38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D1新高=0,D2强势=0,D3突破=0,D4首板=0,D5潜突=0,D6连板=0,D7一字=0,D8活跃=0,bonus=0</t>
        </is>
      </c>
    </row>
    <row r="142">
      <c r="A142" t="n">
        <v>5</v>
      </c>
      <c r="B142" t="inlineStr">
        <is>
          <t>300580</t>
        </is>
      </c>
      <c r="C142" t="inlineStr">
        <is>
          <t>贝斯特</t>
        </is>
      </c>
      <c r="D142" t="n">
        <v>0</v>
      </c>
      <c r="E142" t="n">
        <v>-1.97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D1新高=0,D2强势=0,D3突破=0,D4首板=0,D5潜突=0,D6连板=0,D7一字=0,D8活跃=0,bonus=0</t>
        </is>
      </c>
    </row>
    <row r="143">
      <c r="A143" t="n">
        <v>6</v>
      </c>
      <c r="B143" t="inlineStr">
        <is>
          <t>603667</t>
        </is>
      </c>
      <c r="C143" t="inlineStr">
        <is>
          <t>五洲新春</t>
        </is>
      </c>
      <c r="D143" t="n">
        <v>0</v>
      </c>
      <c r="E143" t="n">
        <v>0.21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inlineStr">
        <is>
          <t>D1新高=0,D2强势=0,D3突破=0,D4首板=0,D5潜突=0,D6连板=0,D7一字=0,D8活跃=0,bonus=0</t>
        </is>
      </c>
    </row>
    <row r="144">
      <c r="A144" t="n">
        <v>7</v>
      </c>
      <c r="B144" t="inlineStr">
        <is>
          <t>300100</t>
        </is>
      </c>
      <c r="C144" t="inlineStr">
        <is>
          <t>双林股份</t>
        </is>
      </c>
      <c r="D144" t="n">
        <v>0</v>
      </c>
      <c r="E144" t="n">
        <v>-3.38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inlineStr">
        <is>
          <t>D1新高=0,D2强势=0,D3突破=0,D4首板=0,D5潜突=0,D6连板=0,D7一字=0,D8活跃=0,bonus=0</t>
        </is>
      </c>
    </row>
    <row r="145">
      <c r="A145" t="n">
        <v>8</v>
      </c>
      <c r="B145" t="inlineStr">
        <is>
          <t>000837</t>
        </is>
      </c>
      <c r="C145" t="inlineStr">
        <is>
          <t>秦川机床</t>
        </is>
      </c>
      <c r="D145" t="n">
        <v>0</v>
      </c>
      <c r="E145" t="n">
        <v>-3.61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inlineStr">
        <is>
          <t>D1新高=0,D2强势=0,D3突破=0,D4首板=0,D5潜突=0,D6连板=0,D7一字=0,D8活跃=0,bonus=0</t>
        </is>
      </c>
    </row>
    <row r="146"/>
    <row r="147">
      <c r="A147" s="4" t="inlineStr">
        <is>
          <t>--- 细分: 轴承 ---</t>
        </is>
      </c>
    </row>
    <row r="148">
      <c r="A148" s="5" t="inlineStr">
        <is>
          <t>排名</t>
        </is>
      </c>
      <c r="B148" s="5" t="inlineStr">
        <is>
          <t>代码</t>
        </is>
      </c>
      <c r="C148" s="5" t="inlineStr">
        <is>
          <t>名称</t>
        </is>
      </c>
      <c r="D148" s="5" t="inlineStr">
        <is>
          <t>得分</t>
        </is>
      </c>
      <c r="E148" s="5" t="inlineStr">
        <is>
          <t>涨跌幅%</t>
        </is>
      </c>
      <c r="F148" s="5" t="inlineStr">
        <is>
          <t>成交额(亿)</t>
        </is>
      </c>
      <c r="G148" s="5" t="inlineStr">
        <is>
          <t>D1新高</t>
        </is>
      </c>
      <c r="H148" s="5" t="inlineStr">
        <is>
          <t>D2强势</t>
        </is>
      </c>
      <c r="I148" s="5" t="inlineStr">
        <is>
          <t>D3突破</t>
        </is>
      </c>
      <c r="J148" s="5" t="inlineStr">
        <is>
          <t>D4首板</t>
        </is>
      </c>
      <c r="K148" s="5" t="inlineStr">
        <is>
          <t>D5潜突</t>
        </is>
      </c>
      <c r="L148" s="5" t="inlineStr">
        <is>
          <t>D6连板</t>
        </is>
      </c>
      <c r="M148" s="5" t="inlineStr">
        <is>
          <t>D7一字</t>
        </is>
      </c>
      <c r="N148" s="5" t="inlineStr">
        <is>
          <t>D8活跃</t>
        </is>
      </c>
      <c r="O148" s="5" t="inlineStr">
        <is>
          <t>大成交额加分</t>
        </is>
      </c>
      <c r="P148" s="5" t="inlineStr">
        <is>
          <t>得分明细</t>
        </is>
      </c>
    </row>
    <row r="149">
      <c r="A149" t="n">
        <v>1</v>
      </c>
      <c r="B149" t="inlineStr">
        <is>
          <t>002553</t>
        </is>
      </c>
      <c r="C149" t="inlineStr">
        <is>
          <t>南方精工</t>
        </is>
      </c>
      <c r="D149" t="n">
        <v>0</v>
      </c>
      <c r="E149" t="n">
        <v>-3.57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inlineStr">
        <is>
          <t>D1新高=0,D2强势=0,D3突破=0,D4首板=0,D5潜突=0,D6连板=0,D7一字=0,D8活跃=0,bonus=0</t>
        </is>
      </c>
    </row>
    <row r="150">
      <c r="A150" t="n">
        <v>2</v>
      </c>
      <c r="B150" t="inlineStr">
        <is>
          <t>300718</t>
        </is>
      </c>
      <c r="C150" t="inlineStr">
        <is>
          <t>长盛轴承</t>
        </is>
      </c>
      <c r="D150" t="n">
        <v>0</v>
      </c>
      <c r="E150" t="n">
        <v>-1.88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inlineStr">
        <is>
          <t>D1新高=0,D2强势=0,D3突破=0,D4首板=0,D5潜突=0,D6连板=0,D7一字=0,D8活跃=0,bonus=0</t>
        </is>
      </c>
    </row>
    <row r="151">
      <c r="A151" t="n">
        <v>3</v>
      </c>
      <c r="B151" t="inlineStr">
        <is>
          <t>300421</t>
        </is>
      </c>
      <c r="C151" t="inlineStr">
        <is>
          <t>力星股份</t>
        </is>
      </c>
      <c r="D151" t="n">
        <v>0</v>
      </c>
      <c r="E151" t="n">
        <v>-1.56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D1新高=0,D2强势=0,D3突破=0,D4首板=0,D5潜突=0,D6连板=0,D7一字=0,D8活跃=0,bonus=0</t>
        </is>
      </c>
    </row>
    <row r="152">
      <c r="A152" t="n">
        <v>4</v>
      </c>
      <c r="B152" t="inlineStr">
        <is>
          <t>000678</t>
        </is>
      </c>
      <c r="C152" t="inlineStr">
        <is>
          <t>襄阳轴承</t>
        </is>
      </c>
      <c r="D152" t="n">
        <v>0</v>
      </c>
      <c r="E152" t="n">
        <v>-4.08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73"/>
  <sheetViews>
    <sheetView workbookViewId="0">
      <selection activeCell="A1" sqref="A1"/>
    </sheetView>
  </sheetViews>
  <sheetFormatPr baseColWidth="8" defaultRowHeight="15"/>
  <sheetData>
    <row r="1">
      <c r="A1" s="2">
        <f>== AI电力出海 产业链全局看板 ===</f>
        <v/>
      </c>
    </row>
    <row r="2">
      <c r="A2" t="inlineStr">
        <is>
          <t>板块整体均分</t>
        </is>
      </c>
      <c r="B2" t="n">
        <v>1.39</v>
      </c>
      <c r="C2" t="inlineStr">
        <is>
          <t>最强细分</t>
        </is>
      </c>
      <c r="D2" t="inlineStr">
        <is>
          <t>AIDC (6.67分)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103</v>
      </c>
      <c r="B6" t="inlineStr">
        <is>
          <t>AIDC</t>
        </is>
      </c>
      <c r="C6" t="n">
        <v>6.67</v>
      </c>
      <c r="D6" t="n">
        <v>20</v>
      </c>
      <c r="E6" t="n">
        <v>3</v>
      </c>
      <c r="F6" t="n">
        <v>1</v>
      </c>
      <c r="G6" t="n">
        <v>0</v>
      </c>
      <c r="H6" t="n">
        <v>0</v>
      </c>
      <c r="I6" t="n">
        <v>2</v>
      </c>
      <c r="J6" t="inlineStr">
        <is>
          <t>冰轮环境</t>
        </is>
      </c>
      <c r="K6" t="n">
        <v>20</v>
      </c>
    </row>
    <row r="7">
      <c r="A7" t="n">
        <v>198</v>
      </c>
      <c r="B7" t="inlineStr">
        <is>
          <t>SOFC</t>
        </is>
      </c>
      <c r="C7" t="n">
        <v>2</v>
      </c>
      <c r="D7" t="n">
        <v>3</v>
      </c>
      <c r="E7" t="n">
        <v>3</v>
      </c>
      <c r="F7" t="n">
        <v>1</v>
      </c>
      <c r="G7" t="n">
        <v>0</v>
      </c>
      <c r="H7" t="n">
        <v>1</v>
      </c>
      <c r="I7" t="n">
        <v>1</v>
      </c>
      <c r="J7" t="inlineStr">
        <is>
          <t>振华股份</t>
        </is>
      </c>
      <c r="K7" t="n">
        <v>3</v>
      </c>
    </row>
    <row r="8">
      <c r="A8" t="n">
        <v>216</v>
      </c>
      <c r="B8" t="inlineStr">
        <is>
          <t>燃气轮机</t>
        </is>
      </c>
      <c r="C8" t="n">
        <v>1.21</v>
      </c>
      <c r="D8" t="n">
        <v>5</v>
      </c>
      <c r="E8" t="n">
        <v>14</v>
      </c>
      <c r="F8" t="n">
        <v>2</v>
      </c>
      <c r="G8" t="n">
        <v>0</v>
      </c>
      <c r="H8" t="n">
        <v>3</v>
      </c>
      <c r="I8" t="n">
        <v>9</v>
      </c>
      <c r="J8" t="inlineStr">
        <is>
          <t>飞沃科技</t>
        </is>
      </c>
      <c r="K8" t="n">
        <v>5</v>
      </c>
    </row>
    <row r="9">
      <c r="A9" t="n">
        <v>217</v>
      </c>
      <c r="B9" t="inlineStr">
        <is>
          <t>变压器</t>
        </is>
      </c>
      <c r="C9" t="n">
        <v>1.2</v>
      </c>
      <c r="D9" t="n">
        <v>3</v>
      </c>
      <c r="E9" t="n">
        <v>15</v>
      </c>
      <c r="F9" t="n">
        <v>1</v>
      </c>
      <c r="G9" t="n">
        <v>0</v>
      </c>
      <c r="H9" t="n">
        <v>5</v>
      </c>
      <c r="I9" t="n">
        <v>9</v>
      </c>
      <c r="J9" t="inlineStr">
        <is>
          <t>京泉华</t>
        </is>
      </c>
      <c r="K9" t="n">
        <v>3</v>
      </c>
    </row>
    <row r="10">
      <c r="A10" t="n">
        <v>297</v>
      </c>
      <c r="B10" t="inlineStr">
        <is>
          <t>储能</t>
        </is>
      </c>
      <c r="C10" t="n">
        <v>0</v>
      </c>
      <c r="D10" t="n">
        <v>0</v>
      </c>
      <c r="E10" t="n">
        <v>8</v>
      </c>
      <c r="F10" t="n">
        <v>2</v>
      </c>
      <c r="G10" t="n">
        <v>0</v>
      </c>
      <c r="H10" t="n">
        <v>6</v>
      </c>
      <c r="I10" t="n">
        <v>0</v>
      </c>
      <c r="J10" t="inlineStr">
        <is>
          <t>正泰电源</t>
        </is>
      </c>
      <c r="K10" t="n">
        <v>0</v>
      </c>
    </row>
    <row r="11">
      <c r="A11" t="n">
        <v>300</v>
      </c>
      <c r="B11" t="inlineStr">
        <is>
          <t>其他</t>
        </is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神马电力</t>
        </is>
      </c>
      <c r="K11" t="n">
        <v>0</v>
      </c>
    </row>
    <row r="12"/>
    <row r="13">
      <c r="A13" s="4" t="inlineStr">
        <is>
          <t>--- 细分: AIDC ---</t>
        </is>
      </c>
    </row>
    <row r="14">
      <c r="A14" s="5" t="inlineStr">
        <is>
          <t>排名</t>
        </is>
      </c>
      <c r="B14" s="5" t="inlineStr">
        <is>
          <t>代码</t>
        </is>
      </c>
      <c r="C14" s="5" t="inlineStr">
        <is>
          <t>名称</t>
        </is>
      </c>
      <c r="D14" s="5" t="inlineStr">
        <is>
          <t>得分</t>
        </is>
      </c>
      <c r="E14" s="5" t="inlineStr">
        <is>
          <t>涨跌幅%</t>
        </is>
      </c>
      <c r="F14" s="5" t="inlineStr">
        <is>
          <t>成交额(亿)</t>
        </is>
      </c>
      <c r="G14" s="5" t="inlineStr">
        <is>
          <t>D1新高</t>
        </is>
      </c>
      <c r="H14" s="5" t="inlineStr">
        <is>
          <t>D2强势</t>
        </is>
      </c>
      <c r="I14" s="5" t="inlineStr">
        <is>
          <t>D3突破</t>
        </is>
      </c>
      <c r="J14" s="5" t="inlineStr">
        <is>
          <t>D4首板</t>
        </is>
      </c>
      <c r="K14" s="5" t="inlineStr">
        <is>
          <t>D5潜突</t>
        </is>
      </c>
      <c r="L14" s="5" t="inlineStr">
        <is>
          <t>D6连板</t>
        </is>
      </c>
      <c r="M14" s="5" t="inlineStr">
        <is>
          <t>D7一字</t>
        </is>
      </c>
      <c r="N14" s="5" t="inlineStr">
        <is>
          <t>D8活跃</t>
        </is>
      </c>
      <c r="O14" s="5" t="inlineStr">
        <is>
          <t>大成交额加分</t>
        </is>
      </c>
      <c r="P14" s="5" t="inlineStr">
        <is>
          <t>得分明细</t>
        </is>
      </c>
    </row>
    <row r="15">
      <c r="A15" t="n">
        <v>1</v>
      </c>
      <c r="B15" t="inlineStr">
        <is>
          <t>000811</t>
        </is>
      </c>
      <c r="C15" t="inlineStr">
        <is>
          <t>冰轮环境</t>
        </is>
      </c>
      <c r="D15" t="n">
        <v>20</v>
      </c>
      <c r="E15" t="n">
        <v>10</v>
      </c>
      <c r="F15" t="n">
        <v>0</v>
      </c>
      <c r="G15" t="n">
        <v>8</v>
      </c>
      <c r="H15" t="n">
        <v>0</v>
      </c>
      <c r="I15" t="n">
        <v>0</v>
      </c>
      <c r="J15" t="n">
        <v>3</v>
      </c>
      <c r="K15" t="n">
        <v>0</v>
      </c>
      <c r="L15" t="n">
        <v>0</v>
      </c>
      <c r="M15" t="n">
        <v>6</v>
      </c>
      <c r="N15" t="n">
        <v>3</v>
      </c>
      <c r="O15" t="n">
        <v>0</v>
      </c>
      <c r="P15" t="inlineStr">
        <is>
          <t>D1新高=8,D2强势=0,D3突破=0,D4首板=3,D5潜突=0,D6连板=0,D7一字=6,D8活跃=3,bonus=0</t>
        </is>
      </c>
    </row>
    <row r="16">
      <c r="A16" t="n">
        <v>2</v>
      </c>
      <c r="B16" t="inlineStr">
        <is>
          <t>600885</t>
        </is>
      </c>
      <c r="C16" t="inlineStr">
        <is>
          <t>宏发股份</t>
        </is>
      </c>
      <c r="D16" t="n">
        <v>0</v>
      </c>
      <c r="E16" t="n">
        <v>-0.47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inlineStr">
        <is>
          <t>D1新高=0,D2强势=0,D3突破=0,D4首板=0,D5潜突=0,D6连板=0,D7一字=0,D8活跃=0,bonus=0</t>
        </is>
      </c>
    </row>
    <row r="17">
      <c r="A17" t="n">
        <v>3</v>
      </c>
      <c r="B17" t="inlineStr">
        <is>
          <t>300693</t>
        </is>
      </c>
      <c r="C17" t="inlineStr">
        <is>
          <t>盛弘股份</t>
        </is>
      </c>
      <c r="D17" t="n">
        <v>0</v>
      </c>
      <c r="E17" t="n">
        <v>-0.76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>
        <is>
          <t>D1新高=0,D2强势=0,D3突破=0,D4首板=0,D5潜突=0,D6连板=0,D7一字=0,D8活跃=0,bonus=0</t>
        </is>
      </c>
    </row>
    <row r="18"/>
    <row r="19">
      <c r="A19" s="4" t="inlineStr">
        <is>
          <t>--- 细分: SOFC ---</t>
        </is>
      </c>
    </row>
    <row r="20">
      <c r="A20" s="5" t="inlineStr">
        <is>
          <t>排名</t>
        </is>
      </c>
      <c r="B20" s="5" t="inlineStr">
        <is>
          <t>代码</t>
        </is>
      </c>
      <c r="C20" s="5" t="inlineStr">
        <is>
          <t>名称</t>
        </is>
      </c>
      <c r="D20" s="5" t="inlineStr">
        <is>
          <t>得分</t>
        </is>
      </c>
      <c r="E20" s="5" t="inlineStr">
        <is>
          <t>涨跌幅%</t>
        </is>
      </c>
      <c r="F20" s="5" t="inlineStr">
        <is>
          <t>成交额(亿)</t>
        </is>
      </c>
      <c r="G20" s="5" t="inlineStr">
        <is>
          <t>D1新高</t>
        </is>
      </c>
      <c r="H20" s="5" t="inlineStr">
        <is>
          <t>D2强势</t>
        </is>
      </c>
      <c r="I20" s="5" t="inlineStr">
        <is>
          <t>D3突破</t>
        </is>
      </c>
      <c r="J20" s="5" t="inlineStr">
        <is>
          <t>D4首板</t>
        </is>
      </c>
      <c r="K20" s="5" t="inlineStr">
        <is>
          <t>D5潜突</t>
        </is>
      </c>
      <c r="L20" s="5" t="inlineStr">
        <is>
          <t>D6连板</t>
        </is>
      </c>
      <c r="M20" s="5" t="inlineStr">
        <is>
          <t>D7一字</t>
        </is>
      </c>
      <c r="N20" s="5" t="inlineStr">
        <is>
          <t>D8活跃</t>
        </is>
      </c>
      <c r="O20" s="5" t="inlineStr">
        <is>
          <t>大成交额加分</t>
        </is>
      </c>
      <c r="P20" s="5" t="inlineStr">
        <is>
          <t>得分明细</t>
        </is>
      </c>
    </row>
    <row r="21">
      <c r="A21" t="n">
        <v>1</v>
      </c>
      <c r="B21" t="inlineStr">
        <is>
          <t>603067</t>
        </is>
      </c>
      <c r="C21" t="inlineStr">
        <is>
          <t>振华股份</t>
        </is>
      </c>
      <c r="D21" t="n">
        <v>3</v>
      </c>
      <c r="E21" t="n">
        <v>1.2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3</v>
      </c>
      <c r="O21" t="n">
        <v>0</v>
      </c>
      <c r="P21" t="inlineStr">
        <is>
          <t>D1新高=0,D2强势=0,D3突破=0,D4首板=0,D5潜突=0,D6连板=0,D7一字=0,D8活跃=3,bonus=0</t>
        </is>
      </c>
    </row>
    <row r="22">
      <c r="A22" t="n">
        <v>2</v>
      </c>
      <c r="B22" t="inlineStr">
        <is>
          <t>002733</t>
        </is>
      </c>
      <c r="C22" t="inlineStr">
        <is>
          <t>雄韬股份</t>
        </is>
      </c>
      <c r="D22" t="n">
        <v>3</v>
      </c>
      <c r="E22" t="n">
        <v>-1.7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inlineStr">
        <is>
          <t>D1新高=0,D2强势=0,D3突破=0,D4首板=0,D5潜突=0,D6连板=0,D7一字=0,D8活跃=3,bonus=0</t>
        </is>
      </c>
    </row>
    <row r="23">
      <c r="A23" t="n">
        <v>3</v>
      </c>
      <c r="B23" t="inlineStr">
        <is>
          <t>000338</t>
        </is>
      </c>
      <c r="C23" t="inlineStr">
        <is>
          <t>潍柴动力</t>
        </is>
      </c>
      <c r="D23" t="n">
        <v>0</v>
      </c>
      <c r="E23" t="n">
        <v>4.16</v>
      </c>
      <c r="F23" t="n">
        <v>0.01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inlineStr">
        <is>
          <t>D1新高=0,D2强势=0,D3突破=0,D4首板=0,D5潜突=0,D6连板=0,D7一字=0,D8活跃=0,bonus=0</t>
        </is>
      </c>
    </row>
    <row r="24"/>
    <row r="25">
      <c r="A25" s="4" t="inlineStr">
        <is>
          <t>--- 细分: 燃气轮机 ---</t>
        </is>
      </c>
    </row>
    <row r="26">
      <c r="A26" s="5" t="inlineStr">
        <is>
          <t>排名</t>
        </is>
      </c>
      <c r="B26" s="5" t="inlineStr">
        <is>
          <t>代码</t>
        </is>
      </c>
      <c r="C26" s="5" t="inlineStr">
        <is>
          <t>名称</t>
        </is>
      </c>
      <c r="D26" s="5" t="inlineStr">
        <is>
          <t>得分</t>
        </is>
      </c>
      <c r="E26" s="5" t="inlineStr">
        <is>
          <t>涨跌幅%</t>
        </is>
      </c>
      <c r="F26" s="5" t="inlineStr">
        <is>
          <t>成交额(亿)</t>
        </is>
      </c>
      <c r="G26" s="5" t="inlineStr">
        <is>
          <t>D1新高</t>
        </is>
      </c>
      <c r="H26" s="5" t="inlineStr">
        <is>
          <t>D2强势</t>
        </is>
      </c>
      <c r="I26" s="5" t="inlineStr">
        <is>
          <t>D3突破</t>
        </is>
      </c>
      <c r="J26" s="5" t="inlineStr">
        <is>
          <t>D4首板</t>
        </is>
      </c>
      <c r="K26" s="5" t="inlineStr">
        <is>
          <t>D5潜突</t>
        </is>
      </c>
      <c r="L26" s="5" t="inlineStr">
        <is>
          <t>D6连板</t>
        </is>
      </c>
      <c r="M26" s="5" t="inlineStr">
        <is>
          <t>D7一字</t>
        </is>
      </c>
      <c r="N26" s="5" t="inlineStr">
        <is>
          <t>D8活跃</t>
        </is>
      </c>
      <c r="O26" s="5" t="inlineStr">
        <is>
          <t>大成交额加分</t>
        </is>
      </c>
      <c r="P26" s="5" t="inlineStr">
        <is>
          <t>得分明细</t>
        </is>
      </c>
    </row>
    <row r="27">
      <c r="A27" t="n">
        <v>1</v>
      </c>
      <c r="B27" t="inlineStr">
        <is>
          <t>301232</t>
        </is>
      </c>
      <c r="C27" t="inlineStr">
        <is>
          <t>飞沃科技</t>
        </is>
      </c>
      <c r="D27" t="n">
        <v>5</v>
      </c>
      <c r="E27" t="n">
        <v>6.83</v>
      </c>
      <c r="F27" t="n">
        <v>0</v>
      </c>
      <c r="G27" t="n">
        <v>0</v>
      </c>
      <c r="H27" t="n">
        <v>0</v>
      </c>
      <c r="I27" t="n">
        <v>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D1新高=0,D2强势=0,D3突破=5,D4首板=0,D5潜突=0,D6连板=0,D7一字=0,D8活跃=0,bonus=0</t>
        </is>
      </c>
    </row>
    <row r="28">
      <c r="A28" t="n">
        <v>2</v>
      </c>
      <c r="B28" t="inlineStr">
        <is>
          <t>603315</t>
        </is>
      </c>
      <c r="C28" t="inlineStr">
        <is>
          <t>福鞍股份</t>
        </is>
      </c>
      <c r="D28" t="n">
        <v>3</v>
      </c>
      <c r="E28" t="n">
        <v>-1.64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</v>
      </c>
      <c r="O28" t="n">
        <v>0</v>
      </c>
      <c r="P28" t="inlineStr">
        <is>
          <t>D1新高=0,D2强势=0,D3突破=0,D4首板=0,D5潜突=0,D6连板=0,D7一字=0,D8活跃=3,bonus=0</t>
        </is>
      </c>
    </row>
    <row r="29">
      <c r="A29" t="n">
        <v>3</v>
      </c>
      <c r="B29" t="inlineStr">
        <is>
          <t>605060</t>
        </is>
      </c>
      <c r="C29" t="inlineStr">
        <is>
          <t>联德股份</t>
        </is>
      </c>
      <c r="D29" t="n">
        <v>3</v>
      </c>
      <c r="E29" t="n">
        <v>-2.07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</v>
      </c>
      <c r="O29" t="n">
        <v>0</v>
      </c>
      <c r="P29" t="inlineStr">
        <is>
          <t>D1新高=0,D2强势=0,D3突破=0,D4首板=0,D5潜突=0,D6连板=0,D7一字=0,D8活跃=3,bonus=0</t>
        </is>
      </c>
    </row>
    <row r="30">
      <c r="A30" t="n">
        <v>4</v>
      </c>
      <c r="B30" t="inlineStr">
        <is>
          <t>002353</t>
        </is>
      </c>
      <c r="C30" t="inlineStr">
        <is>
          <t>杰瑞股份</t>
        </is>
      </c>
      <c r="D30" t="n">
        <v>3</v>
      </c>
      <c r="E30" t="n">
        <v>3.37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0</v>
      </c>
      <c r="P30" t="inlineStr">
        <is>
          <t>D1新高=0,D2强势=0,D3突破=0,D4首板=0,D5潜突=0,D6连板=0,D7一字=0,D8活跃=3,bonus=0</t>
        </is>
      </c>
    </row>
    <row r="31">
      <c r="A31" t="n">
        <v>5</v>
      </c>
      <c r="B31" t="inlineStr">
        <is>
          <t>301468</t>
        </is>
      </c>
      <c r="C31" t="inlineStr">
        <is>
          <t>博盈特焊</t>
        </is>
      </c>
      <c r="D31" t="n">
        <v>3</v>
      </c>
      <c r="E31" t="n">
        <v>-2.45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3</v>
      </c>
      <c r="O31" t="n">
        <v>0</v>
      </c>
      <c r="P31" t="inlineStr">
        <is>
          <t>D1新高=0,D2强势=0,D3突破=0,D4首板=0,D5潜突=0,D6连板=0,D7一字=0,D8活跃=3,bonus=0</t>
        </is>
      </c>
    </row>
    <row r="32">
      <c r="A32" t="n">
        <v>6</v>
      </c>
      <c r="B32" t="inlineStr">
        <is>
          <t>002478</t>
        </is>
      </c>
      <c r="C32" t="inlineStr">
        <is>
          <t>常宝股份</t>
        </is>
      </c>
      <c r="D32" t="n">
        <v>0</v>
      </c>
      <c r="E32" t="n">
        <v>-0.71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inlineStr">
        <is>
          <t>D1新高=0,D2强势=0,D3突破=0,D4首板=0,D5潜突=0,D6连板=0,D7一字=0,D8活跃=0,bonus=0</t>
        </is>
      </c>
    </row>
    <row r="33">
      <c r="A33" t="n">
        <v>7</v>
      </c>
      <c r="B33" t="inlineStr">
        <is>
          <t>002595</t>
        </is>
      </c>
      <c r="C33" t="inlineStr">
        <is>
          <t>豪迈科技</t>
        </is>
      </c>
      <c r="D33" t="n">
        <v>0</v>
      </c>
      <c r="E33" t="n">
        <v>2.93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inlineStr">
        <is>
          <t>D1新高=0,D2强势=0,D3突破=0,D4首板=0,D5潜突=0,D6连板=0,D7一字=0,D8活跃=0,bonus=0</t>
        </is>
      </c>
    </row>
    <row r="34">
      <c r="A34" t="n">
        <v>8</v>
      </c>
      <c r="B34" t="inlineStr">
        <is>
          <t>300775</t>
        </is>
      </c>
      <c r="C34" t="inlineStr">
        <is>
          <t>三角防务</t>
        </is>
      </c>
      <c r="D34" t="n">
        <v>0</v>
      </c>
      <c r="E34" t="n">
        <v>-0.09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D1新高=0,D2强势=0,D3突破=0,D4首板=0,D5潜突=0,D6连板=0,D7一字=0,D8活跃=0,bonus=0</t>
        </is>
      </c>
    </row>
    <row r="35">
      <c r="A35" t="n">
        <v>9</v>
      </c>
      <c r="B35" t="inlineStr">
        <is>
          <t>603308</t>
        </is>
      </c>
      <c r="C35" t="inlineStr">
        <is>
          <t>应流股份</t>
        </is>
      </c>
      <c r="D35" t="n">
        <v>0</v>
      </c>
      <c r="E35" t="n">
        <v>4.3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inlineStr">
        <is>
          <t>D1新高=0,D2强势=0,D3突破=0,D4首板=0,D5潜突=0,D6连板=0,D7一字=0,D8活跃=0,bonus=0</t>
        </is>
      </c>
    </row>
    <row r="36">
      <c r="A36" t="n">
        <v>10</v>
      </c>
      <c r="B36" t="inlineStr">
        <is>
          <t>002006</t>
        </is>
      </c>
      <c r="C36" t="inlineStr">
        <is>
          <t>精工科技</t>
        </is>
      </c>
      <c r="D36" t="n">
        <v>0</v>
      </c>
      <c r="E36" t="n">
        <v>-3.39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inlineStr">
        <is>
          <t>D1新高=0,D2强势=0,D3突破=0,D4首板=0,D5潜突=0,D6连板=0,D7一字=0,D8活跃=0,bonus=0</t>
        </is>
      </c>
    </row>
    <row r="37">
      <c r="A37" t="n">
        <v>11</v>
      </c>
      <c r="B37" t="inlineStr">
        <is>
          <t>688239</t>
        </is>
      </c>
      <c r="C37" t="inlineStr">
        <is>
          <t>航宇科技</t>
        </is>
      </c>
      <c r="D37" t="n">
        <v>0</v>
      </c>
      <c r="E37" t="n">
        <v>4.86</v>
      </c>
      <c r="F37" t="n">
        <v>0.08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inlineStr">
        <is>
          <t>D1新高=0,D2强势=0,D3突破=0,D4首板=0,D5潜突=0,D6连板=0,D7一字=0,D8活跃=0,bonus=0</t>
        </is>
      </c>
    </row>
    <row r="38">
      <c r="A38" t="n">
        <v>12</v>
      </c>
      <c r="B38" t="inlineStr">
        <is>
          <t>688231</t>
        </is>
      </c>
      <c r="C38" t="inlineStr">
        <is>
          <t>隆达股份</t>
        </is>
      </c>
      <c r="D38" t="n">
        <v>0</v>
      </c>
      <c r="E38" t="n">
        <v>1.3</v>
      </c>
      <c r="F38" t="n">
        <v>0.03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inlineStr">
        <is>
          <t>D1新高=0,D2强势=0,D3突破=0,D4首板=0,D5潜突=0,D6连板=0,D7一字=0,D8活跃=0,bonus=0</t>
        </is>
      </c>
    </row>
    <row r="39">
      <c r="A39" t="n">
        <v>13</v>
      </c>
      <c r="B39" t="inlineStr">
        <is>
          <t>688510</t>
        </is>
      </c>
      <c r="C39" t="inlineStr">
        <is>
          <t>航亚科技</t>
        </is>
      </c>
      <c r="D39" t="n">
        <v>0</v>
      </c>
      <c r="E39" t="n">
        <v>1.39</v>
      </c>
      <c r="F39" t="n">
        <v>0.07000000000000001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inlineStr">
        <is>
          <t>D1新高=0,D2强势=0,D3突破=0,D4首板=0,D5潜突=0,D6连板=0,D7一字=0,D8活跃=0,bonus=0</t>
        </is>
      </c>
    </row>
    <row r="40">
      <c r="A40" t="n">
        <v>14</v>
      </c>
      <c r="B40" t="inlineStr">
        <is>
          <t>000534</t>
        </is>
      </c>
      <c r="C40" t="inlineStr">
        <is>
          <t>万泽股份</t>
        </is>
      </c>
      <c r="D40" t="n">
        <v>0</v>
      </c>
      <c r="E40" t="n">
        <v>-1.11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inlineStr">
        <is>
          <t>D1新高=0,D2强势=0,D3突破=0,D4首板=0,D5潜突=0,D6连板=0,D7一字=0,D8活跃=0,bonus=0</t>
        </is>
      </c>
    </row>
    <row r="41"/>
    <row r="42">
      <c r="A42" s="4" t="inlineStr">
        <is>
          <t>--- 细分: 变压器 ---</t>
        </is>
      </c>
    </row>
    <row r="43">
      <c r="A43" s="5" t="inlineStr">
        <is>
          <t>排名</t>
        </is>
      </c>
      <c r="B43" s="5" t="inlineStr">
        <is>
          <t>代码</t>
        </is>
      </c>
      <c r="C43" s="5" t="inlineStr">
        <is>
          <t>名称</t>
        </is>
      </c>
      <c r="D43" s="5" t="inlineStr">
        <is>
          <t>得分</t>
        </is>
      </c>
      <c r="E43" s="5" t="inlineStr">
        <is>
          <t>涨跌幅%</t>
        </is>
      </c>
      <c r="F43" s="5" t="inlineStr">
        <is>
          <t>成交额(亿)</t>
        </is>
      </c>
      <c r="G43" s="5" t="inlineStr">
        <is>
          <t>D1新高</t>
        </is>
      </c>
      <c r="H43" s="5" t="inlineStr">
        <is>
          <t>D2强势</t>
        </is>
      </c>
      <c r="I43" s="5" t="inlineStr">
        <is>
          <t>D3突破</t>
        </is>
      </c>
      <c r="J43" s="5" t="inlineStr">
        <is>
          <t>D4首板</t>
        </is>
      </c>
      <c r="K43" s="5" t="inlineStr">
        <is>
          <t>D5潜突</t>
        </is>
      </c>
      <c r="L43" s="5" t="inlineStr">
        <is>
          <t>D6连板</t>
        </is>
      </c>
      <c r="M43" s="5" t="inlineStr">
        <is>
          <t>D7一字</t>
        </is>
      </c>
      <c r="N43" s="5" t="inlineStr">
        <is>
          <t>D8活跃</t>
        </is>
      </c>
      <c r="O43" s="5" t="inlineStr">
        <is>
          <t>大成交额加分</t>
        </is>
      </c>
      <c r="P43" s="5" t="inlineStr">
        <is>
          <t>得分明细</t>
        </is>
      </c>
    </row>
    <row r="44">
      <c r="A44" t="n">
        <v>1</v>
      </c>
      <c r="B44" t="inlineStr">
        <is>
          <t>002885</t>
        </is>
      </c>
      <c r="C44" t="inlineStr">
        <is>
          <t>京泉华</t>
        </is>
      </c>
      <c r="D44" t="n">
        <v>3</v>
      </c>
      <c r="E44" t="n">
        <v>-2.24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3</v>
      </c>
      <c r="O44" t="n">
        <v>0</v>
      </c>
      <c r="P44" t="inlineStr">
        <is>
          <t>D1新高=0,D2强势=0,D3突破=0,D4首板=0,D5潜突=0,D6连板=0,D7一字=0,D8活跃=3,bonus=0</t>
        </is>
      </c>
    </row>
    <row r="45">
      <c r="A45" t="n">
        <v>2</v>
      </c>
      <c r="B45" t="inlineStr">
        <is>
          <t>603191</t>
        </is>
      </c>
      <c r="C45" t="inlineStr">
        <is>
          <t>望变电气</t>
        </is>
      </c>
      <c r="D45" t="n">
        <v>3</v>
      </c>
      <c r="E45" t="n">
        <v>-1.54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3</v>
      </c>
      <c r="O45" t="n">
        <v>0</v>
      </c>
      <c r="P45" t="inlineStr">
        <is>
          <t>D1新高=0,D2强势=0,D3突破=0,D4首板=0,D5潜突=0,D6连板=0,D7一字=0,D8活跃=3,bonus=0</t>
        </is>
      </c>
    </row>
    <row r="46">
      <c r="A46" t="n">
        <v>3</v>
      </c>
      <c r="B46" t="inlineStr">
        <is>
          <t>002270</t>
        </is>
      </c>
      <c r="C46" t="inlineStr">
        <is>
          <t>华明装备</t>
        </is>
      </c>
      <c r="D46" t="n">
        <v>3</v>
      </c>
      <c r="E46" t="n">
        <v>4.13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</v>
      </c>
      <c r="O46" t="n">
        <v>0</v>
      </c>
      <c r="P46" t="inlineStr">
        <is>
          <t>D1新高=0,D2强势=0,D3突破=0,D4首板=0,D5潜突=0,D6连板=0,D7一字=0,D8活跃=3,bonus=0</t>
        </is>
      </c>
    </row>
    <row r="47">
      <c r="A47" t="n">
        <v>4</v>
      </c>
      <c r="B47" t="inlineStr">
        <is>
          <t>601179</t>
        </is>
      </c>
      <c r="C47" t="inlineStr">
        <is>
          <t>中国西电</t>
        </is>
      </c>
      <c r="D47" t="n">
        <v>3</v>
      </c>
      <c r="E47" t="n">
        <v>-3.13</v>
      </c>
      <c r="F47" t="n">
        <v>0.03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inlineStr">
        <is>
          <t>D1新高=0,D2强势=0,D3突破=0,D4首板=0,D5潜突=0,D6连板=0,D7一字=0,D8活跃=3,bonus=0</t>
        </is>
      </c>
    </row>
    <row r="48">
      <c r="A48" t="n">
        <v>5</v>
      </c>
      <c r="B48" t="inlineStr">
        <is>
          <t>002782</t>
        </is>
      </c>
      <c r="C48" t="inlineStr">
        <is>
          <t>可立克</t>
        </is>
      </c>
      <c r="D48" t="n">
        <v>3</v>
      </c>
      <c r="E48" t="n">
        <v>-3.93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</v>
      </c>
      <c r="O48" t="n">
        <v>0</v>
      </c>
      <c r="P48" t="inlineStr">
        <is>
          <t>D1新高=0,D2强势=0,D3突破=0,D4首板=0,D5潜突=0,D6连板=0,D7一字=0,D8活跃=3,bonus=0</t>
        </is>
      </c>
    </row>
    <row r="49">
      <c r="A49" t="n">
        <v>6</v>
      </c>
      <c r="B49" t="inlineStr">
        <is>
          <t>688676</t>
        </is>
      </c>
      <c r="C49" t="inlineStr">
        <is>
          <t>金盘科技</t>
        </is>
      </c>
      <c r="D49" t="n">
        <v>3</v>
      </c>
      <c r="E49" t="n">
        <v>-4.29</v>
      </c>
      <c r="F49" t="n">
        <v>0.22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3</v>
      </c>
      <c r="O49" t="n">
        <v>0</v>
      </c>
      <c r="P49" t="inlineStr">
        <is>
          <t>D1新高=0,D2强势=0,D3突破=0,D4首板=0,D5潜突=0,D6连板=0,D7一字=0,D8活跃=3,bonus=0</t>
        </is>
      </c>
    </row>
    <row r="50">
      <c r="A50" t="n">
        <v>7</v>
      </c>
      <c r="B50" t="inlineStr">
        <is>
          <t>301120</t>
        </is>
      </c>
      <c r="C50" t="inlineStr">
        <is>
          <t>新特电气</t>
        </is>
      </c>
      <c r="D50" t="n">
        <v>0</v>
      </c>
      <c r="E50" t="n">
        <v>-2.17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inlineStr">
        <is>
          <t>D1新高=0,D2强势=0,D3突破=0,D4首板=0,D5潜突=0,D6连板=0,D7一字=0,D8活跃=0,bonus=0</t>
        </is>
      </c>
    </row>
    <row r="51">
      <c r="A51" t="n">
        <v>8</v>
      </c>
      <c r="B51" t="inlineStr">
        <is>
          <t>600089</t>
        </is>
      </c>
      <c r="C51" t="inlineStr">
        <is>
          <t>特变电工</t>
        </is>
      </c>
      <c r="D51" t="n">
        <v>0</v>
      </c>
      <c r="E51" t="n">
        <v>-2.78</v>
      </c>
      <c r="F51" t="n">
        <v>0.01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D1新高=0,D2强势=0,D3突破=0,D4首板=0,D5潜突=0,D6连板=0,D7一字=0,D8活跃=0,bonus=0</t>
        </is>
      </c>
    </row>
    <row r="52">
      <c r="A52" t="n">
        <v>9</v>
      </c>
      <c r="B52" t="inlineStr">
        <is>
          <t>600550</t>
        </is>
      </c>
      <c r="C52" t="inlineStr">
        <is>
          <t>保变电气</t>
        </is>
      </c>
      <c r="D52" t="n">
        <v>0</v>
      </c>
      <c r="E52" t="n">
        <v>-4.9</v>
      </c>
      <c r="F52" t="n">
        <v>0.01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D1新高=0,D2强势=0,D3突破=0,D4首板=0,D5潜突=0,D6连板=0,D7一字=0,D8活跃=0,bonus=0</t>
        </is>
      </c>
    </row>
    <row r="53">
      <c r="A53" t="n">
        <v>10</v>
      </c>
      <c r="B53" t="inlineStr">
        <is>
          <t>601126</t>
        </is>
      </c>
      <c r="C53" t="inlineStr">
        <is>
          <t>四方股份</t>
        </is>
      </c>
      <c r="D53" t="n">
        <v>0</v>
      </c>
      <c r="E53" t="n">
        <v>-1.67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inlineStr">
        <is>
          <t>D1新高=0,D2强势=0,D3突破=0,D4首板=0,D5潜突=0,D6连板=0,D7一字=0,D8活跃=0,bonus=0</t>
        </is>
      </c>
    </row>
    <row r="54">
      <c r="A54" t="n">
        <v>11</v>
      </c>
      <c r="B54" t="inlineStr">
        <is>
          <t>601877</t>
        </is>
      </c>
      <c r="C54" t="inlineStr">
        <is>
          <t>正泰电器</t>
        </is>
      </c>
      <c r="D54" t="n">
        <v>0</v>
      </c>
      <c r="E54" t="n">
        <v>-1.53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inlineStr">
        <is>
          <t>D1新高=0,D2强势=0,D3突破=0,D4首板=0,D5潜突=0,D6连板=0,D7一字=0,D8活跃=0,bonus=0</t>
        </is>
      </c>
    </row>
    <row r="55">
      <c r="A55" t="n">
        <v>12</v>
      </c>
      <c r="B55" t="inlineStr">
        <is>
          <t>002112</t>
        </is>
      </c>
      <c r="C55" t="inlineStr">
        <is>
          <t>三变科技</t>
        </is>
      </c>
      <c r="D55" t="n">
        <v>0</v>
      </c>
      <c r="E55" t="n">
        <v>-4.87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inlineStr">
        <is>
          <t>D1新高=0,D2强势=0,D3突破=0,D4首板=0,D5潜突=0,D6连板=0,D7一字=0,D8活跃=0,bonus=0</t>
        </is>
      </c>
    </row>
    <row r="56">
      <c r="A56" t="n">
        <v>13</v>
      </c>
      <c r="B56" t="inlineStr">
        <is>
          <t>002028</t>
        </is>
      </c>
      <c r="C56" t="inlineStr">
        <is>
          <t>思源电气</t>
        </is>
      </c>
      <c r="D56" t="n">
        <v>0</v>
      </c>
      <c r="E56" t="n">
        <v>7.14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inlineStr">
        <is>
          <t>D1新高=0,D2强势=0,D3突破=0,D4首板=0,D5潜突=0,D6连板=0,D7一字=0,D8活跃=0,bonus=0</t>
        </is>
      </c>
    </row>
    <row r="57">
      <c r="A57" t="n">
        <v>14</v>
      </c>
      <c r="B57" t="inlineStr">
        <is>
          <t>002922</t>
        </is>
      </c>
      <c r="C57" t="inlineStr">
        <is>
          <t>伊戈尔</t>
        </is>
      </c>
      <c r="D57" t="n">
        <v>0</v>
      </c>
      <c r="E57" t="n">
        <v>-1.76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inlineStr">
        <is>
          <t>D1新高=0,D2强势=0,D3突破=0,D4首板=0,D5潜突=0,D6连板=0,D7一字=0,D8活跃=0,bonus=0</t>
        </is>
      </c>
    </row>
    <row r="58">
      <c r="A58" t="n">
        <v>15</v>
      </c>
      <c r="B58" t="inlineStr">
        <is>
          <t>000533</t>
        </is>
      </c>
      <c r="C58" t="inlineStr">
        <is>
          <t>顺钠股份</t>
        </is>
      </c>
      <c r="D58" t="n">
        <v>0</v>
      </c>
      <c r="E58" t="n">
        <v>-4.36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inlineStr">
        <is>
          <t>D1新高=0,D2强势=0,D3突破=0,D4首板=0,D5潜突=0,D6连板=0,D7一字=0,D8活跃=0,bonus=0</t>
        </is>
      </c>
    </row>
    <row r="59"/>
    <row r="60">
      <c r="A60" s="4" t="inlineStr">
        <is>
          <t>--- 细分: 储能 ---</t>
        </is>
      </c>
    </row>
    <row r="61">
      <c r="A61" s="5" t="inlineStr">
        <is>
          <t>排名</t>
        </is>
      </c>
      <c r="B61" s="5" t="inlineStr">
        <is>
          <t>代码</t>
        </is>
      </c>
      <c r="C61" s="5" t="inlineStr">
        <is>
          <t>名称</t>
        </is>
      </c>
      <c r="D61" s="5" t="inlineStr">
        <is>
          <t>得分</t>
        </is>
      </c>
      <c r="E61" s="5" t="inlineStr">
        <is>
          <t>涨跌幅%</t>
        </is>
      </c>
      <c r="F61" s="5" t="inlineStr">
        <is>
          <t>成交额(亿)</t>
        </is>
      </c>
      <c r="G61" s="5" t="inlineStr">
        <is>
          <t>D1新高</t>
        </is>
      </c>
      <c r="H61" s="5" t="inlineStr">
        <is>
          <t>D2强势</t>
        </is>
      </c>
      <c r="I61" s="5" t="inlineStr">
        <is>
          <t>D3突破</t>
        </is>
      </c>
      <c r="J61" s="5" t="inlineStr">
        <is>
          <t>D4首板</t>
        </is>
      </c>
      <c r="K61" s="5" t="inlineStr">
        <is>
          <t>D5潜突</t>
        </is>
      </c>
      <c r="L61" s="5" t="inlineStr">
        <is>
          <t>D6连板</t>
        </is>
      </c>
      <c r="M61" s="5" t="inlineStr">
        <is>
          <t>D7一字</t>
        </is>
      </c>
      <c r="N61" s="5" t="inlineStr">
        <is>
          <t>D8活跃</t>
        </is>
      </c>
      <c r="O61" s="5" t="inlineStr">
        <is>
          <t>大成交额加分</t>
        </is>
      </c>
      <c r="P61" s="5" t="inlineStr">
        <is>
          <t>得分明细</t>
        </is>
      </c>
    </row>
    <row r="62">
      <c r="A62" t="n">
        <v>1</v>
      </c>
      <c r="B62" t="inlineStr">
        <is>
          <t>002150</t>
        </is>
      </c>
      <c r="C62" t="inlineStr">
        <is>
          <t>正泰电源</t>
        </is>
      </c>
      <c r="D62" t="n">
        <v>0</v>
      </c>
      <c r="E62" t="n">
        <v>-1.84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inlineStr">
        <is>
          <t>D1新高=0,D2强势=0,D3突破=0,D4首板=0,D5潜突=0,D6连板=0,D7一字=0,D8活跃=0,bonus=0</t>
        </is>
      </c>
    </row>
    <row r="63">
      <c r="A63" t="n">
        <v>2</v>
      </c>
      <c r="B63" t="inlineStr">
        <is>
          <t>002121</t>
        </is>
      </c>
      <c r="C63" t="inlineStr">
        <is>
          <t>科陆电子</t>
        </is>
      </c>
      <c r="D63" t="n">
        <v>0</v>
      </c>
      <c r="E63" t="n">
        <v>-2.77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inlineStr">
        <is>
          <t>D1新高=0,D2强势=0,D3突破=0,D4首板=0,D5潜突=0,D6连板=0,D7一字=0,D8活跃=0,bonus=0</t>
        </is>
      </c>
    </row>
    <row r="64">
      <c r="A64" t="n">
        <v>3</v>
      </c>
      <c r="B64" t="inlineStr">
        <is>
          <t>603312</t>
        </is>
      </c>
      <c r="C64" t="inlineStr">
        <is>
          <t>西典新能</t>
        </is>
      </c>
      <c r="D64" t="n">
        <v>0</v>
      </c>
      <c r="E64" t="n">
        <v>0.5600000000000001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inlineStr">
        <is>
          <t>D1新高=0,D2强势=0,D3突破=0,D4首板=0,D5潜突=0,D6连板=0,D7一字=0,D8活跃=0,bonus=0</t>
        </is>
      </c>
    </row>
    <row r="65">
      <c r="A65" t="n">
        <v>4</v>
      </c>
      <c r="B65" t="inlineStr">
        <is>
          <t>300274</t>
        </is>
      </c>
      <c r="C65" t="inlineStr">
        <is>
          <t>阳光电源</t>
        </is>
      </c>
      <c r="D65" t="n">
        <v>0</v>
      </c>
      <c r="E65" t="n">
        <v>-2.19</v>
      </c>
      <c r="F65" t="n">
        <v>0.01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inlineStr">
        <is>
          <t>D1新高=0,D2强势=0,D3突破=0,D4首板=0,D5潜突=0,D6连板=0,D7一字=0,D8活跃=0,bonus=0</t>
        </is>
      </c>
    </row>
    <row r="66">
      <c r="A66" t="n">
        <v>5</v>
      </c>
      <c r="B66" t="inlineStr">
        <is>
          <t>300118</t>
        </is>
      </c>
      <c r="C66" t="inlineStr">
        <is>
          <t>东方日升</t>
        </is>
      </c>
      <c r="D66" t="n">
        <v>0</v>
      </c>
      <c r="E66" t="n">
        <v>-3.1</v>
      </c>
      <c r="F66" t="n">
        <v>0.01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inlineStr">
        <is>
          <t>D1新高=0,D2强势=0,D3突破=0,D4首板=0,D5潜突=0,D6连板=0,D7一字=0,D8活跃=0,bonus=0</t>
        </is>
      </c>
    </row>
    <row r="67">
      <c r="A67" t="n">
        <v>6</v>
      </c>
      <c r="B67" t="inlineStr">
        <is>
          <t>688472</t>
        </is>
      </c>
      <c r="C67" t="inlineStr">
        <is>
          <t>阿特斯</t>
        </is>
      </c>
      <c r="D67" t="n">
        <v>0</v>
      </c>
      <c r="E67" t="n">
        <v>-0.87</v>
      </c>
      <c r="F67" t="n">
        <v>0.44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inlineStr">
        <is>
          <t>D1新高=0,D2强势=0,D3突破=0,D4首板=0,D5潜突=0,D6连板=0,D7一字=0,D8活跃=0,bonus=0</t>
        </is>
      </c>
    </row>
    <row r="68">
      <c r="A68" t="n">
        <v>7</v>
      </c>
      <c r="B68" t="inlineStr">
        <is>
          <t>688411</t>
        </is>
      </c>
      <c r="C68" t="inlineStr">
        <is>
          <t>海博思创</t>
        </is>
      </c>
      <c r="D68" t="n">
        <v>0</v>
      </c>
      <c r="E68" t="n">
        <v>4.84</v>
      </c>
      <c r="F68" t="n">
        <v>0.06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inlineStr">
        <is>
          <t>D1新高=0,D2强势=0,D3突破=0,D4首板=0,D5潜突=0,D6连板=0,D7一字=0,D8活跃=0,bonus=0</t>
        </is>
      </c>
    </row>
    <row r="69">
      <c r="A69" t="n">
        <v>8</v>
      </c>
      <c r="B69" t="inlineStr">
        <is>
          <t>688599</t>
        </is>
      </c>
      <c r="C69" t="inlineStr">
        <is>
          <t>天合光能</t>
        </is>
      </c>
      <c r="D69" t="n">
        <v>0</v>
      </c>
      <c r="E69" t="n">
        <v>-0.41</v>
      </c>
      <c r="F69" t="n">
        <v>0.53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inlineStr">
        <is>
          <t>D1新高=0,D2强势=0,D3突破=0,D4首板=0,D5潜突=0,D6连板=0,D7一字=0,D8活跃=0,bonus=0</t>
        </is>
      </c>
    </row>
    <row r="70"/>
    <row r="71">
      <c r="A71" s="4" t="inlineStr">
        <is>
          <t>--- 细分: 其他 ---</t>
        </is>
      </c>
    </row>
    <row r="72">
      <c r="A72" s="5" t="inlineStr">
        <is>
          <t>排名</t>
        </is>
      </c>
      <c r="B72" s="5" t="inlineStr">
        <is>
          <t>代码</t>
        </is>
      </c>
      <c r="C72" s="5" t="inlineStr">
        <is>
          <t>名称</t>
        </is>
      </c>
      <c r="D72" s="5" t="inlineStr">
        <is>
          <t>得分</t>
        </is>
      </c>
      <c r="E72" s="5" t="inlineStr">
        <is>
          <t>涨跌幅%</t>
        </is>
      </c>
      <c r="F72" s="5" t="inlineStr">
        <is>
          <t>成交额(亿)</t>
        </is>
      </c>
      <c r="G72" s="5" t="inlineStr">
        <is>
          <t>D1新高</t>
        </is>
      </c>
      <c r="H72" s="5" t="inlineStr">
        <is>
          <t>D2强势</t>
        </is>
      </c>
      <c r="I72" s="5" t="inlineStr">
        <is>
          <t>D3突破</t>
        </is>
      </c>
      <c r="J72" s="5" t="inlineStr">
        <is>
          <t>D4首板</t>
        </is>
      </c>
      <c r="K72" s="5" t="inlineStr">
        <is>
          <t>D5潜突</t>
        </is>
      </c>
      <c r="L72" s="5" t="inlineStr">
        <is>
          <t>D6连板</t>
        </is>
      </c>
      <c r="M72" s="5" t="inlineStr">
        <is>
          <t>D7一字</t>
        </is>
      </c>
      <c r="N72" s="5" t="inlineStr">
        <is>
          <t>D8活跃</t>
        </is>
      </c>
      <c r="O72" s="5" t="inlineStr">
        <is>
          <t>大成交额加分</t>
        </is>
      </c>
      <c r="P72" s="5" t="inlineStr">
        <is>
          <t>得分明细</t>
        </is>
      </c>
    </row>
    <row r="73">
      <c r="A73" t="n">
        <v>1</v>
      </c>
      <c r="B73" t="inlineStr">
        <is>
          <t>603530</t>
        </is>
      </c>
      <c r="C73" t="inlineStr">
        <is>
          <t>神马电力</t>
        </is>
      </c>
      <c r="D73" t="n">
        <v>0</v>
      </c>
      <c r="E73" t="n">
        <v>-0.9399999999999999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04"/>
  <sheetViews>
    <sheetView workbookViewId="0">
      <selection activeCell="A1" sqref="A1"/>
    </sheetView>
  </sheetViews>
  <sheetFormatPr baseColWidth="8" defaultRowHeight="15"/>
  <sheetData>
    <row r="1">
      <c r="A1" s="2">
        <f>== 商业航天 产业链全局看板 ===</f>
        <v/>
      </c>
    </row>
    <row r="2">
      <c r="A2" t="inlineStr">
        <is>
          <t>板块整体均分</t>
        </is>
      </c>
      <c r="B2" t="n">
        <v>1.38</v>
      </c>
      <c r="C2" t="inlineStr">
        <is>
          <t>最强细分</t>
        </is>
      </c>
      <c r="D2" t="inlineStr">
        <is>
          <t>测试 (11.0分)</t>
        </is>
      </c>
    </row>
    <row r="3"/>
    <row r="4">
      <c r="A4" s="2">
        <f>== 细分概念排名汇总 ===</f>
        <v/>
      </c>
    </row>
    <row r="5">
      <c r="A5" s="5" t="inlineStr">
        <is>
          <t>排名</t>
        </is>
      </c>
      <c r="B5" s="5" t="inlineStr">
        <is>
          <t>概念</t>
        </is>
      </c>
      <c r="C5" s="5" t="inlineStr">
        <is>
          <t>平均分</t>
        </is>
      </c>
      <c r="D5" s="5" t="inlineStr">
        <is>
          <t>最高分</t>
        </is>
      </c>
      <c r="E5" s="5" t="inlineStr">
        <is>
          <t>成分股数</t>
        </is>
      </c>
      <c r="F5" s="5" t="inlineStr">
        <is>
          <t>一梯队</t>
        </is>
      </c>
      <c r="G5" s="5" t="inlineStr">
        <is>
          <t>二梯队</t>
        </is>
      </c>
      <c r="H5" s="5" t="inlineStr">
        <is>
          <t>三梯队</t>
        </is>
      </c>
      <c r="I5" s="5" t="inlineStr">
        <is>
          <t>四梯队</t>
        </is>
      </c>
      <c r="J5" s="5" t="inlineStr">
        <is>
          <t>最强股</t>
        </is>
      </c>
      <c r="K5" s="5" t="inlineStr">
        <is>
          <t>最强股得分</t>
        </is>
      </c>
      <c r="L5" s="3" t="inlineStr"/>
      <c r="M5" s="3" t="inlineStr"/>
      <c r="N5" s="3" t="inlineStr"/>
      <c r="O5" s="3" t="inlineStr"/>
      <c r="P5" s="3" t="inlineStr"/>
    </row>
    <row r="6">
      <c r="A6" t="n">
        <v>59</v>
      </c>
      <c r="B6" t="inlineStr">
        <is>
          <t>测试</t>
        </is>
      </c>
      <c r="C6" t="n">
        <v>11</v>
      </c>
      <c r="D6" t="n">
        <v>22</v>
      </c>
      <c r="E6" t="n">
        <v>2</v>
      </c>
      <c r="F6" t="n">
        <v>1</v>
      </c>
      <c r="G6" t="n">
        <v>0</v>
      </c>
      <c r="H6" t="n">
        <v>0</v>
      </c>
      <c r="I6" t="n">
        <v>1</v>
      </c>
      <c r="J6" t="inlineStr">
        <is>
          <t>西测测试</t>
        </is>
      </c>
      <c r="K6" t="n">
        <v>22</v>
      </c>
    </row>
    <row r="7">
      <c r="A7" t="n">
        <v>80</v>
      </c>
      <c r="B7" t="inlineStr">
        <is>
          <t>垣信卫星</t>
        </is>
      </c>
      <c r="C7" t="n">
        <v>8</v>
      </c>
      <c r="D7" t="n">
        <v>8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inlineStr">
        <is>
          <t>上海瀚讯</t>
        </is>
      </c>
      <c r="K7" t="n">
        <v>8</v>
      </c>
    </row>
    <row r="8">
      <c r="A8" t="n">
        <v>140</v>
      </c>
      <c r="B8" t="inlineStr">
        <is>
          <t>通信载荷</t>
        </is>
      </c>
      <c r="C8" t="n">
        <v>4</v>
      </c>
      <c r="D8" t="n">
        <v>8</v>
      </c>
      <c r="E8" t="n">
        <v>2</v>
      </c>
      <c r="F8" t="n">
        <v>1</v>
      </c>
      <c r="G8" t="n">
        <v>0</v>
      </c>
      <c r="H8" t="n">
        <v>0</v>
      </c>
      <c r="I8" t="n">
        <v>1</v>
      </c>
      <c r="J8" t="inlineStr">
        <is>
          <t>信科移动-U</t>
        </is>
      </c>
      <c r="K8" t="n">
        <v>8</v>
      </c>
    </row>
    <row r="9">
      <c r="A9" t="n">
        <v>169</v>
      </c>
      <c r="B9" t="inlineStr">
        <is>
          <t>固体火箭</t>
        </is>
      </c>
      <c r="C9" t="n">
        <v>3</v>
      </c>
      <c r="D9" t="n">
        <v>3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inlineStr">
        <is>
          <t>中天火箭</t>
        </is>
      </c>
      <c r="K9" t="n">
        <v>3</v>
      </c>
    </row>
    <row r="10">
      <c r="A10" t="n">
        <v>173</v>
      </c>
      <c r="B10" t="inlineStr">
        <is>
          <t>时频载荷</t>
        </is>
      </c>
      <c r="C10" t="n">
        <v>3</v>
      </c>
      <c r="D10" t="n">
        <v>3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inlineStr">
        <is>
          <t>天奥电子</t>
        </is>
      </c>
      <c r="K10" t="n">
        <v>3</v>
      </c>
    </row>
    <row r="11">
      <c r="A11" t="n">
        <v>174</v>
      </c>
      <c r="B11" t="inlineStr">
        <is>
          <t>垣信卫星</t>
        </is>
      </c>
      <c r="C11" t="n">
        <v>3</v>
      </c>
      <c r="D11" t="n">
        <v>3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  <c r="J11" t="inlineStr">
        <is>
          <t>长江通信</t>
        </is>
      </c>
      <c r="K11" t="n">
        <v>3</v>
      </c>
    </row>
    <row r="12">
      <c r="A12" t="n">
        <v>175</v>
      </c>
      <c r="B12" t="inlineStr">
        <is>
          <t>蓝箭火箭</t>
        </is>
      </c>
      <c r="C12" t="n">
        <v>3</v>
      </c>
      <c r="D12" t="n">
        <v>3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inlineStr">
        <is>
          <t>斯瑞新材</t>
        </is>
      </c>
      <c r="K12" t="n">
        <v>3</v>
      </c>
    </row>
    <row r="13">
      <c r="A13" t="n">
        <v>176</v>
      </c>
      <c r="B13" t="inlineStr">
        <is>
          <t>千帆星座</t>
        </is>
      </c>
      <c r="C13" t="n">
        <v>3</v>
      </c>
      <c r="D13" t="n">
        <v>3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inlineStr">
        <is>
          <t>北摩高科</t>
        </is>
      </c>
      <c r="K13" t="n">
        <v>3</v>
      </c>
    </row>
    <row r="14">
      <c r="A14" t="n">
        <v>195</v>
      </c>
      <c r="B14" t="inlineStr">
        <is>
          <t>回收</t>
        </is>
      </c>
      <c r="C14" t="n">
        <v>2.17</v>
      </c>
      <c r="D14" t="n">
        <v>8</v>
      </c>
      <c r="E14" t="n">
        <v>6</v>
      </c>
      <c r="F14" t="n">
        <v>2</v>
      </c>
      <c r="G14" t="n">
        <v>0</v>
      </c>
      <c r="H14" t="n">
        <v>0</v>
      </c>
      <c r="I14" t="n">
        <v>4</v>
      </c>
      <c r="J14" t="inlineStr">
        <is>
          <t>铂力特</t>
        </is>
      </c>
      <c r="K14" t="n">
        <v>8</v>
      </c>
    </row>
    <row r="15">
      <c r="A15" t="n">
        <v>197</v>
      </c>
      <c r="B15" t="inlineStr">
        <is>
          <t>零部件</t>
        </is>
      </c>
      <c r="C15" t="n">
        <v>2</v>
      </c>
      <c r="D15" t="n">
        <v>5</v>
      </c>
      <c r="E15" t="n">
        <v>4</v>
      </c>
      <c r="F15" t="n">
        <v>1</v>
      </c>
      <c r="G15" t="n">
        <v>0</v>
      </c>
      <c r="H15" t="n">
        <v>1</v>
      </c>
      <c r="I15" t="n">
        <v>2</v>
      </c>
      <c r="J15" t="inlineStr">
        <is>
          <t>派克新材</t>
        </is>
      </c>
      <c r="K15" t="n">
        <v>5</v>
      </c>
    </row>
    <row r="16">
      <c r="A16" t="n">
        <v>213</v>
      </c>
      <c r="B16" t="inlineStr">
        <is>
          <t>射频载荷</t>
        </is>
      </c>
      <c r="C16" t="n">
        <v>1.25</v>
      </c>
      <c r="D16" t="n">
        <v>5</v>
      </c>
      <c r="E16" t="n">
        <v>4</v>
      </c>
      <c r="F16" t="n">
        <v>1</v>
      </c>
      <c r="G16" t="n">
        <v>0</v>
      </c>
      <c r="H16" t="n">
        <v>0</v>
      </c>
      <c r="I16" t="n">
        <v>3</v>
      </c>
      <c r="J16" t="inlineStr">
        <is>
          <t>铖昌科技</t>
        </is>
      </c>
      <c r="K16" t="n">
        <v>5</v>
      </c>
    </row>
    <row r="17">
      <c r="A17" t="n">
        <v>220</v>
      </c>
      <c r="B17" t="inlineStr">
        <is>
          <t>天线</t>
        </is>
      </c>
      <c r="C17" t="n">
        <v>1</v>
      </c>
      <c r="D17" t="n">
        <v>3</v>
      </c>
      <c r="E17" t="n">
        <v>6</v>
      </c>
      <c r="F17" t="n">
        <v>0</v>
      </c>
      <c r="G17" t="n">
        <v>0</v>
      </c>
      <c r="H17" t="n">
        <v>2</v>
      </c>
      <c r="I17" t="n">
        <v>4</v>
      </c>
      <c r="J17" t="inlineStr">
        <is>
          <t>硕贝德</t>
        </is>
      </c>
      <c r="K17" t="n">
        <v>3</v>
      </c>
    </row>
    <row r="18">
      <c r="A18" t="n">
        <v>224</v>
      </c>
      <c r="B18" t="inlineStr">
        <is>
          <t>发动机</t>
        </is>
      </c>
      <c r="C18" t="n">
        <v>0.75</v>
      </c>
      <c r="D18" t="n">
        <v>3</v>
      </c>
      <c r="E18" t="n">
        <v>4</v>
      </c>
      <c r="F18" t="n">
        <v>0</v>
      </c>
      <c r="G18" t="n">
        <v>0</v>
      </c>
      <c r="H18" t="n">
        <v>1</v>
      </c>
      <c r="I18" t="n">
        <v>3</v>
      </c>
      <c r="J18" t="inlineStr">
        <is>
          <t>中超控股</t>
        </is>
      </c>
      <c r="K18" t="n">
        <v>3</v>
      </c>
    </row>
    <row r="19">
      <c r="A19" t="n">
        <v>225</v>
      </c>
      <c r="B19" t="inlineStr">
        <is>
          <t>航天科工</t>
        </is>
      </c>
      <c r="C19" t="n">
        <v>0.75</v>
      </c>
      <c r="D19" t="n">
        <v>3</v>
      </c>
      <c r="E19" t="n">
        <v>4</v>
      </c>
      <c r="F19" t="n">
        <v>1</v>
      </c>
      <c r="G19" t="n">
        <v>0</v>
      </c>
      <c r="H19" t="n">
        <v>0</v>
      </c>
      <c r="I19" t="n">
        <v>3</v>
      </c>
      <c r="J19" t="inlineStr">
        <is>
          <t>航天发展</t>
        </is>
      </c>
      <c r="K19" t="n">
        <v>3</v>
      </c>
    </row>
    <row r="20">
      <c r="A20" t="n">
        <v>228</v>
      </c>
      <c r="B20" t="inlineStr">
        <is>
          <t>通信终端</t>
        </is>
      </c>
      <c r="C20" t="n">
        <v>0.6</v>
      </c>
      <c r="D20" t="n">
        <v>3</v>
      </c>
      <c r="E20" t="n">
        <v>5</v>
      </c>
      <c r="F20" t="n">
        <v>0</v>
      </c>
      <c r="G20" t="n">
        <v>0</v>
      </c>
      <c r="H20" t="n">
        <v>1</v>
      </c>
      <c r="I20" t="n">
        <v>4</v>
      </c>
      <c r="J20" t="inlineStr">
        <is>
          <t>海能达</t>
        </is>
      </c>
      <c r="K20" t="n">
        <v>3</v>
      </c>
    </row>
    <row r="21">
      <c r="A21" t="n">
        <v>246</v>
      </c>
      <c r="B21" t="inlineStr">
        <is>
          <t>航天科技</t>
        </is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0</v>
      </c>
      <c r="J21" t="inlineStr">
        <is>
          <t>中国卫通</t>
        </is>
      </c>
      <c r="K21" t="n">
        <v>0</v>
      </c>
    </row>
    <row r="22">
      <c r="A22" t="n">
        <v>247</v>
      </c>
      <c r="B22" t="inlineStr">
        <is>
          <t>运营</t>
        </is>
      </c>
      <c r="C22" t="n">
        <v>0</v>
      </c>
      <c r="D22" t="n">
        <v>0</v>
      </c>
      <c r="E22" t="n">
        <v>2</v>
      </c>
      <c r="F22" t="n">
        <v>1</v>
      </c>
      <c r="G22" t="n">
        <v>0</v>
      </c>
      <c r="H22" t="n">
        <v>1</v>
      </c>
      <c r="I22" t="n">
        <v>0</v>
      </c>
      <c r="J22" t="inlineStr">
        <is>
          <t>三维通信</t>
        </is>
      </c>
      <c r="K22" t="n">
        <v>0</v>
      </c>
    </row>
    <row r="23">
      <c r="A23" t="n">
        <v>248</v>
      </c>
      <c r="B23" t="inlineStr">
        <is>
          <t>蓝箭火箭</t>
        </is>
      </c>
      <c r="C23" t="n">
        <v>0</v>
      </c>
      <c r="D23" t="n">
        <v>0</v>
      </c>
      <c r="E23" t="n">
        <v>4</v>
      </c>
      <c r="F23" t="n">
        <v>2</v>
      </c>
      <c r="G23" t="n">
        <v>0</v>
      </c>
      <c r="H23" t="n">
        <v>2</v>
      </c>
      <c r="I23" t="n">
        <v>0</v>
      </c>
      <c r="J23" t="inlineStr">
        <is>
          <t>诺瓦星云</t>
        </is>
      </c>
      <c r="K23" t="n">
        <v>0</v>
      </c>
    </row>
    <row r="24">
      <c r="A24" t="n">
        <v>249</v>
      </c>
      <c r="B24" t="inlineStr">
        <is>
          <t>燃料加注</t>
        </is>
      </c>
      <c r="C24" t="n">
        <v>0</v>
      </c>
      <c r="D24" t="n">
        <v>0</v>
      </c>
      <c r="E24" t="n">
        <v>2</v>
      </c>
      <c r="F24" t="n">
        <v>0</v>
      </c>
      <c r="G24" t="n">
        <v>0</v>
      </c>
      <c r="H24" t="n">
        <v>2</v>
      </c>
      <c r="I24" t="n">
        <v>0</v>
      </c>
      <c r="J24" t="inlineStr">
        <is>
          <t>航天晨光</t>
        </is>
      </c>
      <c r="K24" t="n">
        <v>0</v>
      </c>
    </row>
    <row r="25">
      <c r="A25" t="n">
        <v>250</v>
      </c>
      <c r="B25" t="inlineStr">
        <is>
          <t>测控系统</t>
        </is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</v>
      </c>
      <c r="J25" t="inlineStr">
        <is>
          <t>中科星图</t>
        </is>
      </c>
      <c r="K25" t="n">
        <v>0</v>
      </c>
    </row>
    <row r="26">
      <c r="A26" t="n">
        <v>251</v>
      </c>
      <c r="B26" t="inlineStr">
        <is>
          <t>通信终端</t>
        </is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1</v>
      </c>
      <c r="I26" t="n">
        <v>0</v>
      </c>
      <c r="J26" t="inlineStr">
        <is>
          <t>海格通信</t>
        </is>
      </c>
      <c r="K26" t="n">
        <v>0</v>
      </c>
    </row>
    <row r="27">
      <c r="A27" t="n">
        <v>252</v>
      </c>
      <c r="B27" t="inlineStr">
        <is>
          <t>数管系统</t>
        </is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inlineStr">
        <is>
          <t>佳缘科技</t>
        </is>
      </c>
      <c r="K27" t="n">
        <v>0</v>
      </c>
    </row>
    <row r="28">
      <c r="A28" t="n">
        <v>253</v>
      </c>
      <c r="B28" t="inlineStr">
        <is>
          <t>推进剂</t>
        </is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inlineStr">
        <is>
          <t>九丰能源</t>
        </is>
      </c>
      <c r="K28" t="n">
        <v>0</v>
      </c>
    </row>
    <row r="29">
      <c r="A29" t="n">
        <v>255</v>
      </c>
      <c r="B29" t="inlineStr">
        <is>
          <t>测试</t>
        </is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  <c r="J29" t="inlineStr">
        <is>
          <t>航天智装</t>
        </is>
      </c>
      <c r="K29" t="n">
        <v>0</v>
      </c>
    </row>
    <row r="30">
      <c r="A30" t="n">
        <v>265</v>
      </c>
      <c r="B30" t="inlineStr">
        <is>
          <t>千帆星座</t>
        </is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</v>
      </c>
      <c r="J30" t="inlineStr">
        <is>
          <t>陕西华达</t>
        </is>
      </c>
      <c r="K30" t="n">
        <v>0</v>
      </c>
    </row>
    <row r="31">
      <c r="A31" t="n">
        <v>266</v>
      </c>
      <c r="B31" t="inlineStr">
        <is>
          <t>数管系统</t>
        </is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  <c r="J31" t="inlineStr">
        <is>
          <t>航天电子</t>
        </is>
      </c>
      <c r="K31" t="n">
        <v>0</v>
      </c>
    </row>
    <row r="32">
      <c r="A32" t="n">
        <v>267</v>
      </c>
      <c r="B32" t="inlineStr">
        <is>
          <t>运营</t>
        </is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</v>
      </c>
      <c r="J32" t="inlineStr">
        <is>
          <t>航天宏图</t>
        </is>
      </c>
      <c r="K32" t="n">
        <v>0</v>
      </c>
    </row>
    <row r="33">
      <c r="A33" t="n">
        <v>269</v>
      </c>
      <c r="B33" t="inlineStr">
        <is>
          <t>遥感载荷</t>
        </is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1</v>
      </c>
      <c r="I33" t="n">
        <v>0</v>
      </c>
      <c r="J33" t="inlineStr">
        <is>
          <t>雷科防务</t>
        </is>
      </c>
      <c r="K33" t="n">
        <v>0</v>
      </c>
    </row>
    <row r="34">
      <c r="A34" t="n">
        <v>283</v>
      </c>
      <c r="B34" t="inlineStr">
        <is>
          <t>千帆星座</t>
        </is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inlineStr">
        <is>
          <t>天银机电</t>
        </is>
      </c>
      <c r="K34" t="n">
        <v>0</v>
      </c>
    </row>
    <row r="35">
      <c r="A35" t="n">
        <v>284</v>
      </c>
      <c r="B35" t="inlineStr">
        <is>
          <t>控制系统</t>
        </is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</v>
      </c>
      <c r="J35" t="inlineStr">
        <is>
          <t>航宇微</t>
        </is>
      </c>
      <c r="K35" t="n">
        <v>0</v>
      </c>
    </row>
    <row r="36">
      <c r="A36" t="n">
        <v>290</v>
      </c>
      <c r="B36" t="inlineStr">
        <is>
          <t>垣信卫星</t>
        </is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inlineStr">
        <is>
          <t>银河电子</t>
        </is>
      </c>
      <c r="K36" t="n">
        <v>0</v>
      </c>
    </row>
    <row r="37">
      <c r="A37" t="n">
        <v>292</v>
      </c>
      <c r="B37" t="inlineStr">
        <is>
          <t>卫星组装制造</t>
        </is>
      </c>
      <c r="C37" t="n">
        <v>0</v>
      </c>
      <c r="D37" t="n">
        <v>0</v>
      </c>
      <c r="E37" t="n">
        <v>2</v>
      </c>
      <c r="F37" t="n">
        <v>1</v>
      </c>
      <c r="G37" t="n">
        <v>0</v>
      </c>
      <c r="H37" t="n">
        <v>1</v>
      </c>
      <c r="I37" t="n">
        <v>0</v>
      </c>
      <c r="J37" t="inlineStr">
        <is>
          <t>中国卫星</t>
        </is>
      </c>
      <c r="K37" t="n">
        <v>0</v>
      </c>
    </row>
    <row r="38">
      <c r="A38" t="n">
        <v>294</v>
      </c>
      <c r="B38" t="inlineStr">
        <is>
          <t>信关站</t>
        </is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</v>
      </c>
      <c r="J38" t="inlineStr">
        <is>
          <t>航天环宇</t>
        </is>
      </c>
      <c r="K38" t="n">
        <v>0</v>
      </c>
    </row>
    <row r="39"/>
    <row r="40">
      <c r="A40" s="4" t="inlineStr">
        <is>
          <t>--- 细分: 测试 ---</t>
        </is>
      </c>
    </row>
    <row r="41">
      <c r="A41" s="5" t="inlineStr">
        <is>
          <t>排名</t>
        </is>
      </c>
      <c r="B41" s="5" t="inlineStr">
        <is>
          <t>代码</t>
        </is>
      </c>
      <c r="C41" s="5" t="inlineStr">
        <is>
          <t>名称</t>
        </is>
      </c>
      <c r="D41" s="5" t="inlineStr">
        <is>
          <t>得分</t>
        </is>
      </c>
      <c r="E41" s="5" t="inlineStr">
        <is>
          <t>涨跌幅%</t>
        </is>
      </c>
      <c r="F41" s="5" t="inlineStr">
        <is>
          <t>成交额(亿)</t>
        </is>
      </c>
      <c r="G41" s="5" t="inlineStr">
        <is>
          <t>D1新高</t>
        </is>
      </c>
      <c r="H41" s="5" t="inlineStr">
        <is>
          <t>D2强势</t>
        </is>
      </c>
      <c r="I41" s="5" t="inlineStr">
        <is>
          <t>D3突破</t>
        </is>
      </c>
      <c r="J41" s="5" t="inlineStr">
        <is>
          <t>D4首板</t>
        </is>
      </c>
      <c r="K41" s="5" t="inlineStr">
        <is>
          <t>D5潜突</t>
        </is>
      </c>
      <c r="L41" s="5" t="inlineStr">
        <is>
          <t>D6连板</t>
        </is>
      </c>
      <c r="M41" s="5" t="inlineStr">
        <is>
          <t>D7一字</t>
        </is>
      </c>
      <c r="N41" s="5" t="inlineStr">
        <is>
          <t>D8活跃</t>
        </is>
      </c>
      <c r="O41" s="5" t="inlineStr">
        <is>
          <t>大成交额加分</t>
        </is>
      </c>
      <c r="P41" s="5" t="inlineStr">
        <is>
          <t>得分明细</t>
        </is>
      </c>
    </row>
    <row r="42">
      <c r="A42" t="n">
        <v>1</v>
      </c>
      <c r="B42" t="inlineStr">
        <is>
          <t>301306</t>
        </is>
      </c>
      <c r="C42" t="inlineStr">
        <is>
          <t>西测测试</t>
        </is>
      </c>
      <c r="D42" t="n">
        <v>22</v>
      </c>
      <c r="E42" t="n">
        <v>17.19</v>
      </c>
      <c r="F42" t="n">
        <v>0</v>
      </c>
      <c r="G42" t="n">
        <v>8</v>
      </c>
      <c r="H42" t="n">
        <v>6</v>
      </c>
      <c r="I42" t="n">
        <v>5</v>
      </c>
      <c r="J42" t="n">
        <v>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inlineStr">
        <is>
          <t>D1新高=8,D2强势=6,D3突破=5,D4首板=3,D5潜突=0,D6连板=0,D7一字=0,D8活跃=0,bonus=0</t>
        </is>
      </c>
    </row>
    <row r="43">
      <c r="A43" t="n">
        <v>2</v>
      </c>
      <c r="B43" t="inlineStr">
        <is>
          <t>300416</t>
        </is>
      </c>
      <c r="C43" t="inlineStr">
        <is>
          <t>苏试试验</t>
        </is>
      </c>
      <c r="D43" t="n">
        <v>0</v>
      </c>
      <c r="E43" t="n">
        <v>2.59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inlineStr">
        <is>
          <t>D1新高=0,D2强势=0,D3突破=0,D4首板=0,D5潜突=0,D6连板=0,D7一字=0,D8活跃=0,bonus=0</t>
        </is>
      </c>
    </row>
    <row r="44"/>
    <row r="45">
      <c r="A45" s="4" t="inlineStr">
        <is>
          <t>--- 细分: 垣信卫星 ---</t>
        </is>
      </c>
    </row>
    <row r="46">
      <c r="A46" s="5" t="inlineStr">
        <is>
          <t>排名</t>
        </is>
      </c>
      <c r="B46" s="5" t="inlineStr">
        <is>
          <t>代码</t>
        </is>
      </c>
      <c r="C46" s="5" t="inlineStr">
        <is>
          <t>名称</t>
        </is>
      </c>
      <c r="D46" s="5" t="inlineStr">
        <is>
          <t>得分</t>
        </is>
      </c>
      <c r="E46" s="5" t="inlineStr">
        <is>
          <t>涨跌幅%</t>
        </is>
      </c>
      <c r="F46" s="5" t="inlineStr">
        <is>
          <t>成交额(亿)</t>
        </is>
      </c>
      <c r="G46" s="5" t="inlineStr">
        <is>
          <t>D1新高</t>
        </is>
      </c>
      <c r="H46" s="5" t="inlineStr">
        <is>
          <t>D2强势</t>
        </is>
      </c>
      <c r="I46" s="5" t="inlineStr">
        <is>
          <t>D3突破</t>
        </is>
      </c>
      <c r="J46" s="5" t="inlineStr">
        <is>
          <t>D4首板</t>
        </is>
      </c>
      <c r="K46" s="5" t="inlineStr">
        <is>
          <t>D5潜突</t>
        </is>
      </c>
      <c r="L46" s="5" t="inlineStr">
        <is>
          <t>D6连板</t>
        </is>
      </c>
      <c r="M46" s="5" t="inlineStr">
        <is>
          <t>D7一字</t>
        </is>
      </c>
      <c r="N46" s="5" t="inlineStr">
        <is>
          <t>D8活跃</t>
        </is>
      </c>
      <c r="O46" s="5" t="inlineStr">
        <is>
          <t>大成交额加分</t>
        </is>
      </c>
      <c r="P46" s="5" t="inlineStr">
        <is>
          <t>得分明细</t>
        </is>
      </c>
    </row>
    <row r="47">
      <c r="A47" t="n">
        <v>1</v>
      </c>
      <c r="B47" t="inlineStr">
        <is>
          <t>300762</t>
        </is>
      </c>
      <c r="C47" t="inlineStr">
        <is>
          <t>上海瀚讯</t>
        </is>
      </c>
      <c r="D47" t="n">
        <v>8</v>
      </c>
      <c r="E47" t="n">
        <v>10.4</v>
      </c>
      <c r="F47" t="n">
        <v>0.01</v>
      </c>
      <c r="G47" t="n">
        <v>0</v>
      </c>
      <c r="H47" t="n">
        <v>0</v>
      </c>
      <c r="I47" t="n">
        <v>5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inlineStr">
        <is>
          <t>D1新高=0,D2强势=0,D3突破=5,D4首板=3,D5潜突=0,D6连板=0,D7一字=0,D8活跃=0,bonus=0</t>
        </is>
      </c>
    </row>
    <row r="48"/>
    <row r="49">
      <c r="A49" s="4" t="inlineStr">
        <is>
          <t>--- 细分: 通信载荷 ---</t>
        </is>
      </c>
    </row>
    <row r="50">
      <c r="A50" s="5" t="inlineStr">
        <is>
          <t>排名</t>
        </is>
      </c>
      <c r="B50" s="5" t="inlineStr">
        <is>
          <t>代码</t>
        </is>
      </c>
      <c r="C50" s="5" t="inlineStr">
        <is>
          <t>名称</t>
        </is>
      </c>
      <c r="D50" s="5" t="inlineStr">
        <is>
          <t>得分</t>
        </is>
      </c>
      <c r="E50" s="5" t="inlineStr">
        <is>
          <t>涨跌幅%</t>
        </is>
      </c>
      <c r="F50" s="5" t="inlineStr">
        <is>
          <t>成交额(亿)</t>
        </is>
      </c>
      <c r="G50" s="5" t="inlineStr">
        <is>
          <t>D1新高</t>
        </is>
      </c>
      <c r="H50" s="5" t="inlineStr">
        <is>
          <t>D2强势</t>
        </is>
      </c>
      <c r="I50" s="5" t="inlineStr">
        <is>
          <t>D3突破</t>
        </is>
      </c>
      <c r="J50" s="5" t="inlineStr">
        <is>
          <t>D4首板</t>
        </is>
      </c>
      <c r="K50" s="5" t="inlineStr">
        <is>
          <t>D5潜突</t>
        </is>
      </c>
      <c r="L50" s="5" t="inlineStr">
        <is>
          <t>D6连板</t>
        </is>
      </c>
      <c r="M50" s="5" t="inlineStr">
        <is>
          <t>D7一字</t>
        </is>
      </c>
      <c r="N50" s="5" t="inlineStr">
        <is>
          <t>D8活跃</t>
        </is>
      </c>
      <c r="O50" s="5" t="inlineStr">
        <is>
          <t>大成交额加分</t>
        </is>
      </c>
      <c r="P50" s="5" t="inlineStr">
        <is>
          <t>得分明细</t>
        </is>
      </c>
    </row>
    <row r="51">
      <c r="A51" t="n">
        <v>1</v>
      </c>
      <c r="B51" t="inlineStr">
        <is>
          <t>688387</t>
        </is>
      </c>
      <c r="C51" t="inlineStr">
        <is>
          <t>信科移动-U</t>
        </is>
      </c>
      <c r="D51" t="n">
        <v>8</v>
      </c>
      <c r="E51" t="n">
        <v>13.31</v>
      </c>
      <c r="F51" t="n">
        <v>1.25</v>
      </c>
      <c r="G51" t="n">
        <v>0</v>
      </c>
      <c r="H51" t="n">
        <v>0</v>
      </c>
      <c r="I51" t="n">
        <v>5</v>
      </c>
      <c r="J51" t="n">
        <v>3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inlineStr">
        <is>
          <t>D1新高=0,D2强势=0,D3突破=5,D4首板=3,D5潜突=0,D6连板=0,D7一字=0,D8活跃=0,bonus=0</t>
        </is>
      </c>
    </row>
    <row r="52">
      <c r="A52" t="n">
        <v>2</v>
      </c>
      <c r="B52" t="inlineStr">
        <is>
          <t>300366</t>
        </is>
      </c>
      <c r="C52" t="inlineStr">
        <is>
          <t>创意信息</t>
        </is>
      </c>
      <c r="D52" t="n">
        <v>0</v>
      </c>
      <c r="E52" t="n">
        <v>-1.69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inlineStr">
        <is>
          <t>D1新高=0,D2强势=0,D3突破=0,D4首板=0,D5潜突=0,D6连板=0,D7一字=0,D8活跃=0,bonus=0</t>
        </is>
      </c>
    </row>
    <row r="53"/>
    <row r="54">
      <c r="A54" s="4" t="inlineStr">
        <is>
          <t>--- 细分: 固体火箭 ---</t>
        </is>
      </c>
    </row>
    <row r="55">
      <c r="A55" s="5" t="inlineStr">
        <is>
          <t>排名</t>
        </is>
      </c>
      <c r="B55" s="5" t="inlineStr">
        <is>
          <t>代码</t>
        </is>
      </c>
      <c r="C55" s="5" t="inlineStr">
        <is>
          <t>名称</t>
        </is>
      </c>
      <c r="D55" s="5" t="inlineStr">
        <is>
          <t>得分</t>
        </is>
      </c>
      <c r="E55" s="5" t="inlineStr">
        <is>
          <t>涨跌幅%</t>
        </is>
      </c>
      <c r="F55" s="5" t="inlineStr">
        <is>
          <t>成交额(亿)</t>
        </is>
      </c>
      <c r="G55" s="5" t="inlineStr">
        <is>
          <t>D1新高</t>
        </is>
      </c>
      <c r="H55" s="5" t="inlineStr">
        <is>
          <t>D2强势</t>
        </is>
      </c>
      <c r="I55" s="5" t="inlineStr">
        <is>
          <t>D3突破</t>
        </is>
      </c>
      <c r="J55" s="5" t="inlineStr">
        <is>
          <t>D4首板</t>
        </is>
      </c>
      <c r="K55" s="5" t="inlineStr">
        <is>
          <t>D5潜突</t>
        </is>
      </c>
      <c r="L55" s="5" t="inlineStr">
        <is>
          <t>D6连板</t>
        </is>
      </c>
      <c r="M55" s="5" t="inlineStr">
        <is>
          <t>D7一字</t>
        </is>
      </c>
      <c r="N55" s="5" t="inlineStr">
        <is>
          <t>D8活跃</t>
        </is>
      </c>
      <c r="O55" s="5" t="inlineStr">
        <is>
          <t>大成交额加分</t>
        </is>
      </c>
      <c r="P55" s="5" t="inlineStr">
        <is>
          <t>得分明细</t>
        </is>
      </c>
    </row>
    <row r="56">
      <c r="A56" t="n">
        <v>1</v>
      </c>
      <c r="B56" t="inlineStr">
        <is>
          <t>003009</t>
        </is>
      </c>
      <c r="C56" t="inlineStr">
        <is>
          <t>中天火箭</t>
        </is>
      </c>
      <c r="D56" t="n">
        <v>3</v>
      </c>
      <c r="E56" t="n">
        <v>2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3</v>
      </c>
      <c r="O56" t="n">
        <v>0</v>
      </c>
      <c r="P56" t="inlineStr">
        <is>
          <t>D1新高=0,D2强势=0,D3突破=0,D4首板=0,D5潜突=0,D6连板=0,D7一字=0,D8活跃=3,bonus=0</t>
        </is>
      </c>
    </row>
    <row r="57"/>
    <row r="58">
      <c r="A58" s="4" t="inlineStr">
        <is>
          <t>--- 细分: 时频载荷 ---</t>
        </is>
      </c>
    </row>
    <row r="59">
      <c r="A59" s="5" t="inlineStr">
        <is>
          <t>排名</t>
        </is>
      </c>
      <c r="B59" s="5" t="inlineStr">
        <is>
          <t>代码</t>
        </is>
      </c>
      <c r="C59" s="5" t="inlineStr">
        <is>
          <t>名称</t>
        </is>
      </c>
      <c r="D59" s="5" t="inlineStr">
        <is>
          <t>得分</t>
        </is>
      </c>
      <c r="E59" s="5" t="inlineStr">
        <is>
          <t>涨跌幅%</t>
        </is>
      </c>
      <c r="F59" s="5" t="inlineStr">
        <is>
          <t>成交额(亿)</t>
        </is>
      </c>
      <c r="G59" s="5" t="inlineStr">
        <is>
          <t>D1新高</t>
        </is>
      </c>
      <c r="H59" s="5" t="inlineStr">
        <is>
          <t>D2强势</t>
        </is>
      </c>
      <c r="I59" s="5" t="inlineStr">
        <is>
          <t>D3突破</t>
        </is>
      </c>
      <c r="J59" s="5" t="inlineStr">
        <is>
          <t>D4首板</t>
        </is>
      </c>
      <c r="K59" s="5" t="inlineStr">
        <is>
          <t>D5潜突</t>
        </is>
      </c>
      <c r="L59" s="5" t="inlineStr">
        <is>
          <t>D6连板</t>
        </is>
      </c>
      <c r="M59" s="5" t="inlineStr">
        <is>
          <t>D7一字</t>
        </is>
      </c>
      <c r="N59" s="5" t="inlineStr">
        <is>
          <t>D8活跃</t>
        </is>
      </c>
      <c r="O59" s="5" t="inlineStr">
        <is>
          <t>大成交额加分</t>
        </is>
      </c>
      <c r="P59" s="5" t="inlineStr">
        <is>
          <t>得分明细</t>
        </is>
      </c>
    </row>
    <row r="60">
      <c r="A60" t="n">
        <v>1</v>
      </c>
      <c r="B60" t="inlineStr">
        <is>
          <t>002935</t>
        </is>
      </c>
      <c r="C60" t="inlineStr">
        <is>
          <t>天奥电子</t>
        </is>
      </c>
      <c r="D60" t="n">
        <v>3</v>
      </c>
      <c r="E60" t="n">
        <v>1.23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3</v>
      </c>
      <c r="O60" t="n">
        <v>0</v>
      </c>
      <c r="P60" t="inlineStr">
        <is>
          <t>D1新高=0,D2强势=0,D3突破=0,D4首板=0,D5潜突=0,D6连板=0,D7一字=0,D8活跃=3,bonus=0</t>
        </is>
      </c>
    </row>
    <row r="61"/>
    <row r="62">
      <c r="A62" s="4" t="inlineStr">
        <is>
          <t>--- 细分: 垣信卫星 ---</t>
        </is>
      </c>
    </row>
    <row r="63">
      <c r="A63" s="5" t="inlineStr">
        <is>
          <t>排名</t>
        </is>
      </c>
      <c r="B63" s="5" t="inlineStr">
        <is>
          <t>代码</t>
        </is>
      </c>
      <c r="C63" s="5" t="inlineStr">
        <is>
          <t>名称</t>
        </is>
      </c>
      <c r="D63" s="5" t="inlineStr">
        <is>
          <t>得分</t>
        </is>
      </c>
      <c r="E63" s="5" t="inlineStr">
        <is>
          <t>涨跌幅%</t>
        </is>
      </c>
      <c r="F63" s="5" t="inlineStr">
        <is>
          <t>成交额(亿)</t>
        </is>
      </c>
      <c r="G63" s="5" t="inlineStr">
        <is>
          <t>D1新高</t>
        </is>
      </c>
      <c r="H63" s="5" t="inlineStr">
        <is>
          <t>D2强势</t>
        </is>
      </c>
      <c r="I63" s="5" t="inlineStr">
        <is>
          <t>D3突破</t>
        </is>
      </c>
      <c r="J63" s="5" t="inlineStr">
        <is>
          <t>D4首板</t>
        </is>
      </c>
      <c r="K63" s="5" t="inlineStr">
        <is>
          <t>D5潜突</t>
        </is>
      </c>
      <c r="L63" s="5" t="inlineStr">
        <is>
          <t>D6连板</t>
        </is>
      </c>
      <c r="M63" s="5" t="inlineStr">
        <is>
          <t>D7一字</t>
        </is>
      </c>
      <c r="N63" s="5" t="inlineStr">
        <is>
          <t>D8活跃</t>
        </is>
      </c>
      <c r="O63" s="5" t="inlineStr">
        <is>
          <t>大成交额加分</t>
        </is>
      </c>
      <c r="P63" s="5" t="inlineStr">
        <is>
          <t>得分明细</t>
        </is>
      </c>
    </row>
    <row r="64">
      <c r="A64" t="n">
        <v>1</v>
      </c>
      <c r="B64" t="inlineStr">
        <is>
          <t>600345</t>
        </is>
      </c>
      <c r="C64" t="inlineStr">
        <is>
          <t>长江通信</t>
        </is>
      </c>
      <c r="D64" t="n">
        <v>3</v>
      </c>
      <c r="E64" t="n">
        <v>-4.98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3</v>
      </c>
      <c r="O64" t="n">
        <v>0</v>
      </c>
      <c r="P64" t="inlineStr">
        <is>
          <t>D1新高=0,D2强势=0,D3突破=0,D4首板=0,D5潜突=0,D6连板=0,D7一字=0,D8活跃=3,bonus=0</t>
        </is>
      </c>
    </row>
    <row r="65"/>
    <row r="66">
      <c r="A66" s="4" t="inlineStr">
        <is>
          <t>--- 细分: 蓝箭火箭 ---</t>
        </is>
      </c>
    </row>
    <row r="67">
      <c r="A67" s="5" t="inlineStr">
        <is>
          <t>排名</t>
        </is>
      </c>
      <c r="B67" s="5" t="inlineStr">
        <is>
          <t>代码</t>
        </is>
      </c>
      <c r="C67" s="5" t="inlineStr">
        <is>
          <t>名称</t>
        </is>
      </c>
      <c r="D67" s="5" t="inlineStr">
        <is>
          <t>得分</t>
        </is>
      </c>
      <c r="E67" s="5" t="inlineStr">
        <is>
          <t>涨跌幅%</t>
        </is>
      </c>
      <c r="F67" s="5" t="inlineStr">
        <is>
          <t>成交额(亿)</t>
        </is>
      </c>
      <c r="G67" s="5" t="inlineStr">
        <is>
          <t>D1新高</t>
        </is>
      </c>
      <c r="H67" s="5" t="inlineStr">
        <is>
          <t>D2强势</t>
        </is>
      </c>
      <c r="I67" s="5" t="inlineStr">
        <is>
          <t>D3突破</t>
        </is>
      </c>
      <c r="J67" s="5" t="inlineStr">
        <is>
          <t>D4首板</t>
        </is>
      </c>
      <c r="K67" s="5" t="inlineStr">
        <is>
          <t>D5潜突</t>
        </is>
      </c>
      <c r="L67" s="5" t="inlineStr">
        <is>
          <t>D6连板</t>
        </is>
      </c>
      <c r="M67" s="5" t="inlineStr">
        <is>
          <t>D7一字</t>
        </is>
      </c>
      <c r="N67" s="5" t="inlineStr">
        <is>
          <t>D8活跃</t>
        </is>
      </c>
      <c r="O67" s="5" t="inlineStr">
        <is>
          <t>大成交额加分</t>
        </is>
      </c>
      <c r="P67" s="5" t="inlineStr">
        <is>
          <t>得分明细</t>
        </is>
      </c>
    </row>
    <row r="68">
      <c r="A68" t="n">
        <v>1</v>
      </c>
      <c r="B68" t="inlineStr">
        <is>
          <t>688102</t>
        </is>
      </c>
      <c r="C68" t="inlineStr">
        <is>
          <t>斯瑞新材</t>
        </is>
      </c>
      <c r="D68" t="n">
        <v>3</v>
      </c>
      <c r="E68" t="n">
        <v>5.21</v>
      </c>
      <c r="F68" t="n">
        <v>0.34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</v>
      </c>
      <c r="O68" t="n">
        <v>0</v>
      </c>
      <c r="P68" t="inlineStr">
        <is>
          <t>D1新高=0,D2强势=0,D3突破=0,D4首板=0,D5潜突=0,D6连板=0,D7一字=0,D8活跃=3,bonus=0</t>
        </is>
      </c>
    </row>
    <row r="69"/>
    <row r="70">
      <c r="A70" s="4" t="inlineStr">
        <is>
          <t>--- 细分: 千帆星座 ---</t>
        </is>
      </c>
    </row>
    <row r="71">
      <c r="A71" s="5" t="inlineStr">
        <is>
          <t>排名</t>
        </is>
      </c>
      <c r="B71" s="5" t="inlineStr">
        <is>
          <t>代码</t>
        </is>
      </c>
      <c r="C71" s="5" t="inlineStr">
        <is>
          <t>名称</t>
        </is>
      </c>
      <c r="D71" s="5" t="inlineStr">
        <is>
          <t>得分</t>
        </is>
      </c>
      <c r="E71" s="5" t="inlineStr">
        <is>
          <t>涨跌幅%</t>
        </is>
      </c>
      <c r="F71" s="5" t="inlineStr">
        <is>
          <t>成交额(亿)</t>
        </is>
      </c>
      <c r="G71" s="5" t="inlineStr">
        <is>
          <t>D1新高</t>
        </is>
      </c>
      <c r="H71" s="5" t="inlineStr">
        <is>
          <t>D2强势</t>
        </is>
      </c>
      <c r="I71" s="5" t="inlineStr">
        <is>
          <t>D3突破</t>
        </is>
      </c>
      <c r="J71" s="5" t="inlineStr">
        <is>
          <t>D4首板</t>
        </is>
      </c>
      <c r="K71" s="5" t="inlineStr">
        <is>
          <t>D5潜突</t>
        </is>
      </c>
      <c r="L71" s="5" t="inlineStr">
        <is>
          <t>D6连板</t>
        </is>
      </c>
      <c r="M71" s="5" t="inlineStr">
        <is>
          <t>D7一字</t>
        </is>
      </c>
      <c r="N71" s="5" t="inlineStr">
        <is>
          <t>D8活跃</t>
        </is>
      </c>
      <c r="O71" s="5" t="inlineStr">
        <is>
          <t>大成交额加分</t>
        </is>
      </c>
      <c r="P71" s="5" t="inlineStr">
        <is>
          <t>得分明细</t>
        </is>
      </c>
    </row>
    <row r="72">
      <c r="A72" t="n">
        <v>1</v>
      </c>
      <c r="B72" t="inlineStr">
        <is>
          <t>002985</t>
        </is>
      </c>
      <c r="C72" t="inlineStr">
        <is>
          <t>北摩高科</t>
        </is>
      </c>
      <c r="D72" t="n">
        <v>3</v>
      </c>
      <c r="E72" t="n">
        <v>-0.91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</v>
      </c>
      <c r="O72" t="n">
        <v>0</v>
      </c>
      <c r="P72" t="inlineStr">
        <is>
          <t>D1新高=0,D2强势=0,D3突破=0,D4首板=0,D5潜突=0,D6连板=0,D7一字=0,D8活跃=3,bonus=0</t>
        </is>
      </c>
    </row>
    <row r="73"/>
    <row r="74">
      <c r="A74" s="4" t="inlineStr">
        <is>
          <t>--- 细分: 回收 ---</t>
        </is>
      </c>
    </row>
    <row r="75">
      <c r="A75" s="5" t="inlineStr">
        <is>
          <t>排名</t>
        </is>
      </c>
      <c r="B75" s="5" t="inlineStr">
        <is>
          <t>代码</t>
        </is>
      </c>
      <c r="C75" s="5" t="inlineStr">
        <is>
          <t>名称</t>
        </is>
      </c>
      <c r="D75" s="5" t="inlineStr">
        <is>
          <t>得分</t>
        </is>
      </c>
      <c r="E75" s="5" t="inlineStr">
        <is>
          <t>涨跌幅%</t>
        </is>
      </c>
      <c r="F75" s="5" t="inlineStr">
        <is>
          <t>成交额(亿)</t>
        </is>
      </c>
      <c r="G75" s="5" t="inlineStr">
        <is>
          <t>D1新高</t>
        </is>
      </c>
      <c r="H75" s="5" t="inlineStr">
        <is>
          <t>D2强势</t>
        </is>
      </c>
      <c r="I75" s="5" t="inlineStr">
        <is>
          <t>D3突破</t>
        </is>
      </c>
      <c r="J75" s="5" t="inlineStr">
        <is>
          <t>D4首板</t>
        </is>
      </c>
      <c r="K75" s="5" t="inlineStr">
        <is>
          <t>D5潜突</t>
        </is>
      </c>
      <c r="L75" s="5" t="inlineStr">
        <is>
          <t>D6连板</t>
        </is>
      </c>
      <c r="M75" s="5" t="inlineStr">
        <is>
          <t>D7一字</t>
        </is>
      </c>
      <c r="N75" s="5" t="inlineStr">
        <is>
          <t>D8活跃</t>
        </is>
      </c>
      <c r="O75" s="5" t="inlineStr">
        <is>
          <t>大成交额加分</t>
        </is>
      </c>
      <c r="P75" s="5" t="inlineStr">
        <is>
          <t>得分明细</t>
        </is>
      </c>
    </row>
    <row r="76">
      <c r="A76" t="n">
        <v>1</v>
      </c>
      <c r="B76" t="inlineStr">
        <is>
          <t>688333</t>
        </is>
      </c>
      <c r="C76" t="inlineStr">
        <is>
          <t>铂力特</t>
        </is>
      </c>
      <c r="D76" t="n">
        <v>8</v>
      </c>
      <c r="E76" t="n">
        <v>20</v>
      </c>
      <c r="F76" t="n">
        <v>0.17</v>
      </c>
      <c r="G76" t="n">
        <v>0</v>
      </c>
      <c r="H76" t="n">
        <v>0</v>
      </c>
      <c r="I76" t="n">
        <v>5</v>
      </c>
      <c r="J76" t="n">
        <v>3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inlineStr">
        <is>
          <t>D1新高=0,D2强势=0,D3突破=5,D4首板=3,D5潜突=0,D6连板=0,D7一字=0,D8活跃=0,bonus=0</t>
        </is>
      </c>
    </row>
    <row r="77">
      <c r="A77" t="n">
        <v>2</v>
      </c>
      <c r="B77" t="inlineStr">
        <is>
          <t>301522</t>
        </is>
      </c>
      <c r="C77" t="inlineStr">
        <is>
          <t>上大股份</t>
        </is>
      </c>
      <c r="D77" t="n">
        <v>5</v>
      </c>
      <c r="E77" t="n">
        <v>6.3</v>
      </c>
      <c r="F77" t="n">
        <v>0</v>
      </c>
      <c r="G77" t="n">
        <v>0</v>
      </c>
      <c r="H77" t="n">
        <v>0</v>
      </c>
      <c r="I77" t="n">
        <v>5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inlineStr">
        <is>
          <t>D1新高=0,D2强势=0,D3突破=5,D4首板=0,D5潜突=0,D6连板=0,D7一字=0,D8活跃=0,bonus=0</t>
        </is>
      </c>
    </row>
    <row r="78">
      <c r="A78" t="n">
        <v>3</v>
      </c>
      <c r="B78" t="inlineStr">
        <is>
          <t>301005</t>
        </is>
      </c>
      <c r="C78" t="inlineStr">
        <is>
          <t>超捷股份</t>
        </is>
      </c>
      <c r="D78" t="n">
        <v>0</v>
      </c>
      <c r="E78" t="n">
        <v>2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inlineStr">
        <is>
          <t>D1新高=0,D2强势=0,D3突破=0,D4首板=0,D5潜突=0,D6连板=0,D7一字=0,D8活跃=0,bonus=0</t>
        </is>
      </c>
    </row>
    <row r="79">
      <c r="A79" t="n">
        <v>4</v>
      </c>
      <c r="B79" t="inlineStr">
        <is>
          <t>603017</t>
        </is>
      </c>
      <c r="C79" t="inlineStr">
        <is>
          <t>中衡设计</t>
        </is>
      </c>
      <c r="D79" t="n">
        <v>0</v>
      </c>
      <c r="E79" t="n">
        <v>1.75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inlineStr">
        <is>
          <t>D1新高=0,D2强势=0,D3突破=0,D4首板=0,D5潜突=0,D6连板=0,D7一字=0,D8活跃=0,bonus=0</t>
        </is>
      </c>
    </row>
    <row r="80">
      <c r="A80" t="n">
        <v>5</v>
      </c>
      <c r="B80" t="inlineStr">
        <is>
          <t>300129</t>
        </is>
      </c>
      <c r="C80" t="inlineStr">
        <is>
          <t>泰胜风能</t>
        </is>
      </c>
      <c r="D80" t="n">
        <v>0</v>
      </c>
      <c r="E80" t="n">
        <v>-1.99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inlineStr">
        <is>
          <t>D1新高=0,D2强势=0,D3突破=0,D4首板=0,D5潜突=0,D6连板=0,D7一字=0,D8活跃=0,bonus=0</t>
        </is>
      </c>
    </row>
    <row r="81">
      <c r="A81" t="n">
        <v>6</v>
      </c>
      <c r="B81" t="inlineStr">
        <is>
          <t>300065</t>
        </is>
      </c>
      <c r="C81" t="inlineStr">
        <is>
          <t>海兰信</t>
        </is>
      </c>
      <c r="D81" t="n">
        <v>0</v>
      </c>
      <c r="E81" t="n">
        <v>0.74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inlineStr">
        <is>
          <t>D1新高=0,D2强势=0,D3突破=0,D4首板=0,D5潜突=0,D6连板=0,D7一字=0,D8活跃=0,bonus=0</t>
        </is>
      </c>
    </row>
    <row r="82"/>
    <row r="83">
      <c r="A83" s="4" t="inlineStr">
        <is>
          <t>--- 细分: 零部件 ---</t>
        </is>
      </c>
    </row>
    <row r="84">
      <c r="A84" s="5" t="inlineStr">
        <is>
          <t>排名</t>
        </is>
      </c>
      <c r="B84" s="5" t="inlineStr">
        <is>
          <t>代码</t>
        </is>
      </c>
      <c r="C84" s="5" t="inlineStr">
        <is>
          <t>名称</t>
        </is>
      </c>
      <c r="D84" s="5" t="inlineStr">
        <is>
          <t>得分</t>
        </is>
      </c>
      <c r="E84" s="5" t="inlineStr">
        <is>
          <t>涨跌幅%</t>
        </is>
      </c>
      <c r="F84" s="5" t="inlineStr">
        <is>
          <t>成交额(亿)</t>
        </is>
      </c>
      <c r="G84" s="5" t="inlineStr">
        <is>
          <t>D1新高</t>
        </is>
      </c>
      <c r="H84" s="5" t="inlineStr">
        <is>
          <t>D2强势</t>
        </is>
      </c>
      <c r="I84" s="5" t="inlineStr">
        <is>
          <t>D3突破</t>
        </is>
      </c>
      <c r="J84" s="5" t="inlineStr">
        <is>
          <t>D4首板</t>
        </is>
      </c>
      <c r="K84" s="5" t="inlineStr">
        <is>
          <t>D5潜突</t>
        </is>
      </c>
      <c r="L84" s="5" t="inlineStr">
        <is>
          <t>D6连板</t>
        </is>
      </c>
      <c r="M84" s="5" t="inlineStr">
        <is>
          <t>D7一字</t>
        </is>
      </c>
      <c r="N84" s="5" t="inlineStr">
        <is>
          <t>D8活跃</t>
        </is>
      </c>
      <c r="O84" s="5" t="inlineStr">
        <is>
          <t>大成交额加分</t>
        </is>
      </c>
      <c r="P84" s="5" t="inlineStr">
        <is>
          <t>得分明细</t>
        </is>
      </c>
    </row>
    <row r="85">
      <c r="A85" t="n">
        <v>1</v>
      </c>
      <c r="B85" t="inlineStr">
        <is>
          <t>605123</t>
        </is>
      </c>
      <c r="C85" t="inlineStr">
        <is>
          <t>派克新材</t>
        </is>
      </c>
      <c r="D85" t="n">
        <v>5</v>
      </c>
      <c r="E85" t="n">
        <v>5.35</v>
      </c>
      <c r="F85" t="n">
        <v>0</v>
      </c>
      <c r="G85" t="n">
        <v>0</v>
      </c>
      <c r="H85" t="n">
        <v>0</v>
      </c>
      <c r="I85" t="n">
        <v>5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inlineStr">
        <is>
          <t>D1新高=0,D2强势=0,D3突破=5,D4首板=0,D5潜突=0,D6连板=0,D7一字=0,D8活跃=0,bonus=0</t>
        </is>
      </c>
    </row>
    <row r="86">
      <c r="A86" t="n">
        <v>2</v>
      </c>
      <c r="B86" t="inlineStr">
        <is>
          <t>002046</t>
        </is>
      </c>
      <c r="C86" t="inlineStr">
        <is>
          <t>国机精工</t>
        </is>
      </c>
      <c r="D86" t="n">
        <v>3</v>
      </c>
      <c r="E86" t="n">
        <v>-0.93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</v>
      </c>
      <c r="O86" t="n">
        <v>0</v>
      </c>
      <c r="P86" t="inlineStr">
        <is>
          <t>D1新高=0,D2强势=0,D3突破=0,D4首板=0,D5潜突=0,D6连板=0,D7一字=0,D8活跃=3,bonus=0</t>
        </is>
      </c>
    </row>
    <row r="87">
      <c r="A87" t="n">
        <v>3</v>
      </c>
      <c r="B87" t="inlineStr">
        <is>
          <t>600592</t>
        </is>
      </c>
      <c r="C87" t="inlineStr">
        <is>
          <t>龙溪股份</t>
        </is>
      </c>
      <c r="D87" t="n">
        <v>0</v>
      </c>
      <c r="E87" t="n">
        <v>-4.17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inlineStr">
        <is>
          <t>D1新高=0,D2强势=0,D3突破=0,D4首板=0,D5潜突=0,D6连板=0,D7一字=0,D8活跃=0,bonus=0</t>
        </is>
      </c>
    </row>
    <row r="88">
      <c r="A88" t="n">
        <v>4</v>
      </c>
      <c r="B88" t="inlineStr">
        <is>
          <t>001379</t>
        </is>
      </c>
      <c r="C88" t="inlineStr">
        <is>
          <t>腾达科技</t>
        </is>
      </c>
      <c r="D88" t="n">
        <v>0</v>
      </c>
      <c r="E88" t="n">
        <v>-2.37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inlineStr">
        <is>
          <t>D1新高=0,D2强势=0,D3突破=0,D4首板=0,D5潜突=0,D6连板=0,D7一字=0,D8活跃=0,bonus=0</t>
        </is>
      </c>
    </row>
    <row r="89"/>
    <row r="90">
      <c r="A90" s="4" t="inlineStr">
        <is>
          <t>--- 细分: 射频载荷 ---</t>
        </is>
      </c>
    </row>
    <row r="91">
      <c r="A91" s="5" t="inlineStr">
        <is>
          <t>排名</t>
        </is>
      </c>
      <c r="B91" s="5" t="inlineStr">
        <is>
          <t>代码</t>
        </is>
      </c>
      <c r="C91" s="5" t="inlineStr">
        <is>
          <t>名称</t>
        </is>
      </c>
      <c r="D91" s="5" t="inlineStr">
        <is>
          <t>得分</t>
        </is>
      </c>
      <c r="E91" s="5" t="inlineStr">
        <is>
          <t>涨跌幅%</t>
        </is>
      </c>
      <c r="F91" s="5" t="inlineStr">
        <is>
          <t>成交额(亿)</t>
        </is>
      </c>
      <c r="G91" s="5" t="inlineStr">
        <is>
          <t>D1新高</t>
        </is>
      </c>
      <c r="H91" s="5" t="inlineStr">
        <is>
          <t>D2强势</t>
        </is>
      </c>
      <c r="I91" s="5" t="inlineStr">
        <is>
          <t>D3突破</t>
        </is>
      </c>
      <c r="J91" s="5" t="inlineStr">
        <is>
          <t>D4首板</t>
        </is>
      </c>
      <c r="K91" s="5" t="inlineStr">
        <is>
          <t>D5潜突</t>
        </is>
      </c>
      <c r="L91" s="5" t="inlineStr">
        <is>
          <t>D6连板</t>
        </is>
      </c>
      <c r="M91" s="5" t="inlineStr">
        <is>
          <t>D7一字</t>
        </is>
      </c>
      <c r="N91" s="5" t="inlineStr">
        <is>
          <t>D8活跃</t>
        </is>
      </c>
      <c r="O91" s="5" t="inlineStr">
        <is>
          <t>大成交额加分</t>
        </is>
      </c>
      <c r="P91" s="5" t="inlineStr">
        <is>
          <t>得分明细</t>
        </is>
      </c>
    </row>
    <row r="92">
      <c r="A92" t="n">
        <v>1</v>
      </c>
      <c r="B92" t="inlineStr">
        <is>
          <t>001270</t>
        </is>
      </c>
      <c r="C92" t="inlineStr">
        <is>
          <t>铖昌科技</t>
        </is>
      </c>
      <c r="D92" t="n">
        <v>5</v>
      </c>
      <c r="E92" t="n">
        <v>4.88</v>
      </c>
      <c r="F92" t="n">
        <v>0</v>
      </c>
      <c r="G92" t="n">
        <v>0</v>
      </c>
      <c r="H92" t="n">
        <v>0</v>
      </c>
      <c r="I92" t="n">
        <v>5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inlineStr">
        <is>
          <t>D1新高=0,D2强势=0,D3突破=5,D4首板=0,D5潜突=0,D6连板=0,D7一字=0,D8活跃=0,bonus=0</t>
        </is>
      </c>
    </row>
    <row r="93">
      <c r="A93" t="n">
        <v>2</v>
      </c>
      <c r="B93" t="inlineStr">
        <is>
          <t>688682</t>
        </is>
      </c>
      <c r="C93" t="inlineStr">
        <is>
          <t>霍莱沃</t>
        </is>
      </c>
      <c r="D93" t="n">
        <v>0</v>
      </c>
      <c r="E93" t="n">
        <v>-0.25</v>
      </c>
      <c r="F93" t="n">
        <v>0.03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inlineStr">
        <is>
          <t>D1新高=0,D2强势=0,D3突破=0,D4首板=0,D5潜突=0,D6连板=0,D7一字=0,D8活跃=0,bonus=0</t>
        </is>
      </c>
    </row>
    <row r="94">
      <c r="A94" t="n">
        <v>3</v>
      </c>
      <c r="B94" t="inlineStr">
        <is>
          <t>688375</t>
        </is>
      </c>
      <c r="C94" t="inlineStr">
        <is>
          <t>国博电子</t>
        </is>
      </c>
      <c r="D94" t="n">
        <v>0</v>
      </c>
      <c r="E94" t="n">
        <v>1.83</v>
      </c>
      <c r="F94" t="n">
        <v>0.08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inlineStr">
        <is>
          <t>D1新高=0,D2强势=0,D3突破=0,D4首板=0,D5潜突=0,D6连板=0,D7一字=0,D8活跃=0,bonus=0</t>
        </is>
      </c>
    </row>
    <row r="95">
      <c r="A95" t="n">
        <v>4</v>
      </c>
      <c r="B95" t="inlineStr">
        <is>
          <t>688776</t>
        </is>
      </c>
      <c r="C95" t="inlineStr">
        <is>
          <t>国光电气</t>
        </is>
      </c>
      <c r="D95" t="n">
        <v>0</v>
      </c>
      <c r="E95" t="n">
        <v>-0.96</v>
      </c>
      <c r="F95" t="n">
        <v>0.01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inlineStr">
        <is>
          <t>D1新高=0,D2强势=0,D3突破=0,D4首板=0,D5潜突=0,D6连板=0,D7一字=0,D8活跃=0,bonus=0</t>
        </is>
      </c>
    </row>
    <row r="96"/>
    <row r="97">
      <c r="A97" s="4" t="inlineStr">
        <is>
          <t>--- 细分: 天线 ---</t>
        </is>
      </c>
    </row>
    <row r="98">
      <c r="A98" s="5" t="inlineStr">
        <is>
          <t>排名</t>
        </is>
      </c>
      <c r="B98" s="5" t="inlineStr">
        <is>
          <t>代码</t>
        </is>
      </c>
      <c r="C98" s="5" t="inlineStr">
        <is>
          <t>名称</t>
        </is>
      </c>
      <c r="D98" s="5" t="inlineStr">
        <is>
          <t>得分</t>
        </is>
      </c>
      <c r="E98" s="5" t="inlineStr">
        <is>
          <t>涨跌幅%</t>
        </is>
      </c>
      <c r="F98" s="5" t="inlineStr">
        <is>
          <t>成交额(亿)</t>
        </is>
      </c>
      <c r="G98" s="5" t="inlineStr">
        <is>
          <t>D1新高</t>
        </is>
      </c>
      <c r="H98" s="5" t="inlineStr">
        <is>
          <t>D2强势</t>
        </is>
      </c>
      <c r="I98" s="5" t="inlineStr">
        <is>
          <t>D3突破</t>
        </is>
      </c>
      <c r="J98" s="5" t="inlineStr">
        <is>
          <t>D4首板</t>
        </is>
      </c>
      <c r="K98" s="5" t="inlineStr">
        <is>
          <t>D5潜突</t>
        </is>
      </c>
      <c r="L98" s="5" t="inlineStr">
        <is>
          <t>D6连板</t>
        </is>
      </c>
      <c r="M98" s="5" t="inlineStr">
        <is>
          <t>D7一字</t>
        </is>
      </c>
      <c r="N98" s="5" t="inlineStr">
        <is>
          <t>D8活跃</t>
        </is>
      </c>
      <c r="O98" s="5" t="inlineStr">
        <is>
          <t>大成交额加分</t>
        </is>
      </c>
      <c r="P98" s="5" t="inlineStr">
        <is>
          <t>得分明细</t>
        </is>
      </c>
    </row>
    <row r="99">
      <c r="A99" t="n">
        <v>1</v>
      </c>
      <c r="B99" t="inlineStr">
        <is>
          <t>300322</t>
        </is>
      </c>
      <c r="C99" t="inlineStr">
        <is>
          <t>硕贝德</t>
        </is>
      </c>
      <c r="D99" t="n">
        <v>3</v>
      </c>
      <c r="E99" t="n">
        <v>-3.24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3</v>
      </c>
      <c r="O99" t="n">
        <v>0</v>
      </c>
      <c r="P99" t="inlineStr">
        <is>
          <t>D1新高=0,D2强势=0,D3突破=0,D4首板=0,D5潜突=0,D6连板=0,D7一字=0,D8活跃=3,bonus=0</t>
        </is>
      </c>
    </row>
    <row r="100">
      <c r="A100" t="n">
        <v>2</v>
      </c>
      <c r="B100" t="inlineStr">
        <is>
          <t>002446</t>
        </is>
      </c>
      <c r="C100" t="inlineStr">
        <is>
          <t>盛路通信</t>
        </is>
      </c>
      <c r="D100" t="n">
        <v>3</v>
      </c>
      <c r="E100" t="n">
        <v>-0.59</v>
      </c>
      <c r="F100" t="n">
        <v>0.01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3</v>
      </c>
      <c r="O100" t="n">
        <v>0</v>
      </c>
      <c r="P100" t="inlineStr">
        <is>
          <t>D1新高=0,D2强势=0,D3突破=0,D4首板=0,D5潜突=0,D6连板=0,D7一字=0,D8活跃=3,bonus=0</t>
        </is>
      </c>
    </row>
    <row r="101">
      <c r="A101" t="n">
        <v>3</v>
      </c>
      <c r="B101" t="inlineStr">
        <is>
          <t>300136</t>
        </is>
      </c>
      <c r="C101" t="inlineStr">
        <is>
          <t>信维通信</t>
        </is>
      </c>
      <c r="D101" t="n">
        <v>0</v>
      </c>
      <c r="E101" t="n">
        <v>5.39</v>
      </c>
      <c r="F101" t="n">
        <v>0.01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inlineStr">
        <is>
          <t>D1新高=0,D2强势=0,D3突破=0,D4首板=0,D5潜突=0,D6连板=0,D7一字=0,D8活跃=0,bonus=0</t>
        </is>
      </c>
    </row>
    <row r="102">
      <c r="A102" t="n">
        <v>4</v>
      </c>
      <c r="B102" t="inlineStr">
        <is>
          <t>688418</t>
        </is>
      </c>
      <c r="C102" t="inlineStr">
        <is>
          <t>震有科技</t>
        </is>
      </c>
      <c r="D102" t="n">
        <v>0</v>
      </c>
      <c r="E102" t="n">
        <v>-0.61</v>
      </c>
      <c r="F102" t="n">
        <v>0.04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inlineStr">
        <is>
          <t>D1新高=0,D2强势=0,D3突破=0,D4首板=0,D5潜突=0,D6连板=0,D7一字=0,D8活跃=0,bonus=0</t>
        </is>
      </c>
    </row>
    <row r="103">
      <c r="A103" t="n">
        <v>5</v>
      </c>
      <c r="B103" t="inlineStr">
        <is>
          <t>002796</t>
        </is>
      </c>
      <c r="C103" t="inlineStr">
        <is>
          <t>世嘉科技</t>
        </is>
      </c>
      <c r="D103" t="n">
        <v>0</v>
      </c>
      <c r="E103" t="n">
        <v>0.92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inlineStr">
        <is>
          <t>D1新高=0,D2强势=0,D3突破=0,D4首板=0,D5潜突=0,D6连板=0,D7一字=0,D8活跃=0,bonus=0</t>
        </is>
      </c>
    </row>
    <row r="104">
      <c r="A104" t="n">
        <v>6</v>
      </c>
      <c r="B104" t="inlineStr">
        <is>
          <t>002792</t>
        </is>
      </c>
      <c r="C104" t="inlineStr">
        <is>
          <t>通宇通讯</t>
        </is>
      </c>
      <c r="D104" t="n">
        <v>0</v>
      </c>
      <c r="E104" t="n">
        <v>0.95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inlineStr">
        <is>
          <t>D1新高=0,D2强势=0,D3突破=0,D4首板=0,D5潜突=0,D6连板=0,D7一字=0,D8活跃=0,bonus=0</t>
        </is>
      </c>
    </row>
    <row r="105"/>
    <row r="106">
      <c r="A106" s="4" t="inlineStr">
        <is>
          <t>--- 细分: 发动机 ---</t>
        </is>
      </c>
    </row>
    <row r="107">
      <c r="A107" s="5" t="inlineStr">
        <is>
          <t>排名</t>
        </is>
      </c>
      <c r="B107" s="5" t="inlineStr">
        <is>
          <t>代码</t>
        </is>
      </c>
      <c r="C107" s="5" t="inlineStr">
        <is>
          <t>名称</t>
        </is>
      </c>
      <c r="D107" s="5" t="inlineStr">
        <is>
          <t>得分</t>
        </is>
      </c>
      <c r="E107" s="5" t="inlineStr">
        <is>
          <t>涨跌幅%</t>
        </is>
      </c>
      <c r="F107" s="5" t="inlineStr">
        <is>
          <t>成交额(亿)</t>
        </is>
      </c>
      <c r="G107" s="5" t="inlineStr">
        <is>
          <t>D1新高</t>
        </is>
      </c>
      <c r="H107" s="5" t="inlineStr">
        <is>
          <t>D2强势</t>
        </is>
      </c>
      <c r="I107" s="5" t="inlineStr">
        <is>
          <t>D3突破</t>
        </is>
      </c>
      <c r="J107" s="5" t="inlineStr">
        <is>
          <t>D4首板</t>
        </is>
      </c>
      <c r="K107" s="5" t="inlineStr">
        <is>
          <t>D5潜突</t>
        </is>
      </c>
      <c r="L107" s="5" t="inlineStr">
        <is>
          <t>D6连板</t>
        </is>
      </c>
      <c r="M107" s="5" t="inlineStr">
        <is>
          <t>D7一字</t>
        </is>
      </c>
      <c r="N107" s="5" t="inlineStr">
        <is>
          <t>D8活跃</t>
        </is>
      </c>
      <c r="O107" s="5" t="inlineStr">
        <is>
          <t>大成交额加分</t>
        </is>
      </c>
      <c r="P107" s="5" t="inlineStr">
        <is>
          <t>得分明细</t>
        </is>
      </c>
    </row>
    <row r="108">
      <c r="A108" t="n">
        <v>1</v>
      </c>
      <c r="B108" t="inlineStr">
        <is>
          <t>002471</t>
        </is>
      </c>
      <c r="C108" t="inlineStr">
        <is>
          <t>中超控股</t>
        </is>
      </c>
      <c r="D108" t="n">
        <v>3</v>
      </c>
      <c r="E108" t="n">
        <v>-3.51</v>
      </c>
      <c r="F108" t="n">
        <v>0.01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inlineStr">
        <is>
          <t>D1新高=0,D2强势=0,D3突破=0,D4首板=0,D5潜突=0,D6连板=0,D7一字=0,D8活跃=3,bonus=0</t>
        </is>
      </c>
    </row>
    <row r="109">
      <c r="A109" t="n">
        <v>2</v>
      </c>
      <c r="B109" t="inlineStr">
        <is>
          <t>688539</t>
        </is>
      </c>
      <c r="C109" t="inlineStr">
        <is>
          <t>高华科技</t>
        </is>
      </c>
      <c r="D109" t="n">
        <v>0</v>
      </c>
      <c r="E109" t="n">
        <v>1.51</v>
      </c>
      <c r="F109" t="n">
        <v>0.03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inlineStr">
        <is>
          <t>D1新高=0,D2强势=0,D3突破=0,D4首板=0,D5潜突=0,D6连板=0,D7一字=0,D8活跃=0,bonus=0</t>
        </is>
      </c>
    </row>
    <row r="110">
      <c r="A110" t="n">
        <v>3</v>
      </c>
      <c r="B110" t="inlineStr">
        <is>
          <t>600343</t>
        </is>
      </c>
      <c r="C110" t="inlineStr">
        <is>
          <t>航天动力</t>
        </is>
      </c>
      <c r="D110" t="n">
        <v>0</v>
      </c>
      <c r="E110" t="n">
        <v>0.33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inlineStr">
        <is>
          <t>D1新高=0,D2强势=0,D3突破=0,D4首板=0,D5潜突=0,D6连板=0,D7一字=0,D8活跃=0,bonus=0</t>
        </is>
      </c>
    </row>
    <row r="111">
      <c r="A111" t="n">
        <v>4</v>
      </c>
      <c r="B111" t="inlineStr">
        <is>
          <t>603809</t>
        </is>
      </c>
      <c r="C111" t="inlineStr">
        <is>
          <t>豪能股份</t>
        </is>
      </c>
      <c r="D111" t="n">
        <v>0</v>
      </c>
      <c r="E111" t="n">
        <v>-2.44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inlineStr">
        <is>
          <t>D1新高=0,D2强势=0,D3突破=0,D4首板=0,D5潜突=0,D6连板=0,D7一字=0,D8活跃=0,bonus=0</t>
        </is>
      </c>
    </row>
    <row r="112"/>
    <row r="113">
      <c r="A113" s="4" t="inlineStr">
        <is>
          <t>--- 细分: 航天科工 ---</t>
        </is>
      </c>
    </row>
    <row r="114">
      <c r="A114" s="5" t="inlineStr">
        <is>
          <t>排名</t>
        </is>
      </c>
      <c r="B114" s="5" t="inlineStr">
        <is>
          <t>代码</t>
        </is>
      </c>
      <c r="C114" s="5" t="inlineStr">
        <is>
          <t>名称</t>
        </is>
      </c>
      <c r="D114" s="5" t="inlineStr">
        <is>
          <t>得分</t>
        </is>
      </c>
      <c r="E114" s="5" t="inlineStr">
        <is>
          <t>涨跌幅%</t>
        </is>
      </c>
      <c r="F114" s="5" t="inlineStr">
        <is>
          <t>成交额(亿)</t>
        </is>
      </c>
      <c r="G114" s="5" t="inlineStr">
        <is>
          <t>D1新高</t>
        </is>
      </c>
      <c r="H114" s="5" t="inlineStr">
        <is>
          <t>D2强势</t>
        </is>
      </c>
      <c r="I114" s="5" t="inlineStr">
        <is>
          <t>D3突破</t>
        </is>
      </c>
      <c r="J114" s="5" t="inlineStr">
        <is>
          <t>D4首板</t>
        </is>
      </c>
      <c r="K114" s="5" t="inlineStr">
        <is>
          <t>D5潜突</t>
        </is>
      </c>
      <c r="L114" s="5" t="inlineStr">
        <is>
          <t>D6连板</t>
        </is>
      </c>
      <c r="M114" s="5" t="inlineStr">
        <is>
          <t>D7一字</t>
        </is>
      </c>
      <c r="N114" s="5" t="inlineStr">
        <is>
          <t>D8活跃</t>
        </is>
      </c>
      <c r="O114" s="5" t="inlineStr">
        <is>
          <t>大成交额加分</t>
        </is>
      </c>
      <c r="P114" s="5" t="inlineStr">
        <is>
          <t>得分明细</t>
        </is>
      </c>
    </row>
    <row r="115">
      <c r="A115" t="n">
        <v>1</v>
      </c>
      <c r="B115" t="inlineStr">
        <is>
          <t>000547</t>
        </is>
      </c>
      <c r="C115" t="inlineStr">
        <is>
          <t>航天发展</t>
        </is>
      </c>
      <c r="D115" t="n">
        <v>3</v>
      </c>
      <c r="E115" t="n">
        <v>0.45</v>
      </c>
      <c r="F115" t="n">
        <v>0.01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3</v>
      </c>
      <c r="O115" t="n">
        <v>0</v>
      </c>
      <c r="P115" t="inlineStr">
        <is>
          <t>D1新高=0,D2强势=0,D3突破=0,D4首板=0,D5潜突=0,D6连板=0,D7一字=0,D8活跃=3,bonus=0</t>
        </is>
      </c>
    </row>
    <row r="116">
      <c r="A116" t="n">
        <v>2</v>
      </c>
      <c r="B116" t="inlineStr">
        <is>
          <t>600855</t>
        </is>
      </c>
      <c r="C116" t="inlineStr">
        <is>
          <t>航天长峰</t>
        </is>
      </c>
      <c r="D116" t="n">
        <v>0</v>
      </c>
      <c r="E116" t="n">
        <v>-0.53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inlineStr">
        <is>
          <t>D1新高=0,D2强势=0,D3突破=0,D4首板=0,D5潜突=0,D6连板=0,D7一字=0,D8活跃=0,bonus=0</t>
        </is>
      </c>
    </row>
    <row r="117">
      <c r="A117" t="n">
        <v>3</v>
      </c>
      <c r="B117" t="inlineStr">
        <is>
          <t>002025</t>
        </is>
      </c>
      <c r="C117" t="inlineStr">
        <is>
          <t>航天电器</t>
        </is>
      </c>
      <c r="D117" t="n">
        <v>0</v>
      </c>
      <c r="E117" t="n">
        <v>0.44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inlineStr">
        <is>
          <t>D1新高=0,D2强势=0,D3突破=0,D4首板=0,D5潜突=0,D6连板=0,D7一字=0,D8活跃=0,bonus=0</t>
        </is>
      </c>
    </row>
    <row r="118">
      <c r="A118" t="n">
        <v>4</v>
      </c>
      <c r="B118" t="inlineStr">
        <is>
          <t>000901</t>
        </is>
      </c>
      <c r="C118" t="inlineStr">
        <is>
          <t>航天科技</t>
        </is>
      </c>
      <c r="D118" t="n">
        <v>0</v>
      </c>
      <c r="E118" t="n">
        <v>-1.24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inlineStr">
        <is>
          <t>D1新高=0,D2强势=0,D3突破=0,D4首板=0,D5潜突=0,D6连板=0,D7一字=0,D8活跃=0,bonus=0</t>
        </is>
      </c>
    </row>
    <row r="119"/>
    <row r="120">
      <c r="A120" s="4" t="inlineStr">
        <is>
          <t>--- 细分: 通信终端 ---</t>
        </is>
      </c>
    </row>
    <row r="121">
      <c r="A121" s="5" t="inlineStr">
        <is>
          <t>排名</t>
        </is>
      </c>
      <c r="B121" s="5" t="inlineStr">
        <is>
          <t>代码</t>
        </is>
      </c>
      <c r="C121" s="5" t="inlineStr">
        <is>
          <t>名称</t>
        </is>
      </c>
      <c r="D121" s="5" t="inlineStr">
        <is>
          <t>得分</t>
        </is>
      </c>
      <c r="E121" s="5" t="inlineStr">
        <is>
          <t>涨跌幅%</t>
        </is>
      </c>
      <c r="F121" s="5" t="inlineStr">
        <is>
          <t>成交额(亿)</t>
        </is>
      </c>
      <c r="G121" s="5" t="inlineStr">
        <is>
          <t>D1新高</t>
        </is>
      </c>
      <c r="H121" s="5" t="inlineStr">
        <is>
          <t>D2强势</t>
        </is>
      </c>
      <c r="I121" s="5" t="inlineStr">
        <is>
          <t>D3突破</t>
        </is>
      </c>
      <c r="J121" s="5" t="inlineStr">
        <is>
          <t>D4首板</t>
        </is>
      </c>
      <c r="K121" s="5" t="inlineStr">
        <is>
          <t>D5潜突</t>
        </is>
      </c>
      <c r="L121" s="5" t="inlineStr">
        <is>
          <t>D6连板</t>
        </is>
      </c>
      <c r="M121" s="5" t="inlineStr">
        <is>
          <t>D7一字</t>
        </is>
      </c>
      <c r="N121" s="5" t="inlineStr">
        <is>
          <t>D8活跃</t>
        </is>
      </c>
      <c r="O121" s="5" t="inlineStr">
        <is>
          <t>大成交额加分</t>
        </is>
      </c>
      <c r="P121" s="5" t="inlineStr">
        <is>
          <t>得分明细</t>
        </is>
      </c>
    </row>
    <row r="122">
      <c r="A122" t="n">
        <v>1</v>
      </c>
      <c r="B122" t="inlineStr">
        <is>
          <t>002583</t>
        </is>
      </c>
      <c r="C122" t="inlineStr">
        <is>
          <t>海能达</t>
        </is>
      </c>
      <c r="D122" t="n">
        <v>3</v>
      </c>
      <c r="E122" t="n">
        <v>-3.6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3</v>
      </c>
      <c r="O122" t="n">
        <v>0</v>
      </c>
      <c r="P122" t="inlineStr">
        <is>
          <t>D1新高=0,D2强势=0,D3突破=0,D4首板=0,D5潜突=0,D6连板=0,D7一字=0,D8活跃=3,bonus=0</t>
        </is>
      </c>
    </row>
    <row r="123">
      <c r="A123" t="n">
        <v>2</v>
      </c>
      <c r="B123" t="inlineStr">
        <is>
          <t>600775</t>
        </is>
      </c>
      <c r="C123" t="inlineStr">
        <is>
          <t>南京熊猫</t>
        </is>
      </c>
      <c r="D123" t="n">
        <v>0</v>
      </c>
      <c r="E123" t="n">
        <v>4.16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inlineStr">
        <is>
          <t>D1新高=0,D2强势=0,D3突破=0,D4首板=0,D5潜突=0,D6连板=0,D7一字=0,D8活跃=0,bonus=0</t>
        </is>
      </c>
    </row>
    <row r="124">
      <c r="A124" t="n">
        <v>3</v>
      </c>
      <c r="B124" t="inlineStr">
        <is>
          <t>688153</t>
        </is>
      </c>
      <c r="C124" t="inlineStr">
        <is>
          <t>唯捷创芯</t>
        </is>
      </c>
      <c r="D124" t="n">
        <v>0</v>
      </c>
      <c r="E124" t="n">
        <v>-0.72</v>
      </c>
      <c r="F124" t="n">
        <v>0.06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inlineStr">
        <is>
          <t>D1新高=0,D2强势=0,D3突破=0,D4首板=0,D5潜突=0,D6连板=0,D7一字=0,D8活跃=0,bonus=0</t>
        </is>
      </c>
    </row>
    <row r="125">
      <c r="A125" t="n">
        <v>4</v>
      </c>
      <c r="B125" t="inlineStr">
        <is>
          <t>300045</t>
        </is>
      </c>
      <c r="C125" t="inlineStr">
        <is>
          <t>华力创通</t>
        </is>
      </c>
      <c r="D125" t="n">
        <v>0</v>
      </c>
      <c r="E125" t="n">
        <v>0.93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inlineStr">
        <is>
          <t>D1新高=0,D2强势=0,D3突破=0,D4首板=0,D5潜突=0,D6连板=0,D7一字=0,D8活跃=0,bonus=0</t>
        </is>
      </c>
    </row>
    <row r="126">
      <c r="A126" t="n">
        <v>5</v>
      </c>
      <c r="B126" t="inlineStr">
        <is>
          <t>688311</t>
        </is>
      </c>
      <c r="C126" t="inlineStr">
        <is>
          <t>盟升电子</t>
        </is>
      </c>
      <c r="D126" t="n">
        <v>0</v>
      </c>
      <c r="E126" t="n">
        <v>-0.93</v>
      </c>
      <c r="F126" t="n">
        <v>0.04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inlineStr">
        <is>
          <t>D1新高=0,D2强势=0,D3突破=0,D4首板=0,D5潜突=0,D6连板=0,D7一字=0,D8活跃=0,bonus=0</t>
        </is>
      </c>
    </row>
    <row r="127"/>
    <row r="128">
      <c r="A128" s="4" t="inlineStr">
        <is>
          <t>--- 细分: 航天科技 ---</t>
        </is>
      </c>
    </row>
    <row r="129">
      <c r="A129" s="5" t="inlineStr">
        <is>
          <t>排名</t>
        </is>
      </c>
      <c r="B129" s="5" t="inlineStr">
        <is>
          <t>代码</t>
        </is>
      </c>
      <c r="C129" s="5" t="inlineStr">
        <is>
          <t>名称</t>
        </is>
      </c>
      <c r="D129" s="5" t="inlineStr">
        <is>
          <t>得分</t>
        </is>
      </c>
      <c r="E129" s="5" t="inlineStr">
        <is>
          <t>涨跌幅%</t>
        </is>
      </c>
      <c r="F129" s="5" t="inlineStr">
        <is>
          <t>成交额(亿)</t>
        </is>
      </c>
      <c r="G129" s="5" t="inlineStr">
        <is>
          <t>D1新高</t>
        </is>
      </c>
      <c r="H129" s="5" t="inlineStr">
        <is>
          <t>D2强势</t>
        </is>
      </c>
      <c r="I129" s="5" t="inlineStr">
        <is>
          <t>D3突破</t>
        </is>
      </c>
      <c r="J129" s="5" t="inlineStr">
        <is>
          <t>D4首板</t>
        </is>
      </c>
      <c r="K129" s="5" t="inlineStr">
        <is>
          <t>D5潜突</t>
        </is>
      </c>
      <c r="L129" s="5" t="inlineStr">
        <is>
          <t>D6连板</t>
        </is>
      </c>
      <c r="M129" s="5" t="inlineStr">
        <is>
          <t>D7一字</t>
        </is>
      </c>
      <c r="N129" s="5" t="inlineStr">
        <is>
          <t>D8活跃</t>
        </is>
      </c>
      <c r="O129" s="5" t="inlineStr">
        <is>
          <t>大成交额加分</t>
        </is>
      </c>
      <c r="P129" s="5" t="inlineStr">
        <is>
          <t>得分明细</t>
        </is>
      </c>
    </row>
    <row r="130">
      <c r="A130" t="n">
        <v>1</v>
      </c>
      <c r="B130" t="inlineStr">
        <is>
          <t>601698</t>
        </is>
      </c>
      <c r="C130" t="inlineStr">
        <is>
          <t>中国卫通</t>
        </is>
      </c>
      <c r="D130" t="n">
        <v>0</v>
      </c>
      <c r="E130" t="n">
        <v>-2.86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inlineStr">
        <is>
          <t>D1新高=0,D2强势=0,D3突破=0,D4首板=0,D5潜突=0,D6连板=0,D7一字=0,D8活跃=0,bonus=0</t>
        </is>
      </c>
    </row>
    <row r="131"/>
    <row r="132">
      <c r="A132" s="4" t="inlineStr">
        <is>
          <t>--- 细分: 运营 ---</t>
        </is>
      </c>
    </row>
    <row r="133">
      <c r="A133" s="5" t="inlineStr">
        <is>
          <t>排名</t>
        </is>
      </c>
      <c r="B133" s="5" t="inlineStr">
        <is>
          <t>代码</t>
        </is>
      </c>
      <c r="C133" s="5" t="inlineStr">
        <is>
          <t>名称</t>
        </is>
      </c>
      <c r="D133" s="5" t="inlineStr">
        <is>
          <t>得分</t>
        </is>
      </c>
      <c r="E133" s="5" t="inlineStr">
        <is>
          <t>涨跌幅%</t>
        </is>
      </c>
      <c r="F133" s="5" t="inlineStr">
        <is>
          <t>成交额(亿)</t>
        </is>
      </c>
      <c r="G133" s="5" t="inlineStr">
        <is>
          <t>D1新高</t>
        </is>
      </c>
      <c r="H133" s="5" t="inlineStr">
        <is>
          <t>D2强势</t>
        </is>
      </c>
      <c r="I133" s="5" t="inlineStr">
        <is>
          <t>D3突破</t>
        </is>
      </c>
      <c r="J133" s="5" t="inlineStr">
        <is>
          <t>D4首板</t>
        </is>
      </c>
      <c r="K133" s="5" t="inlineStr">
        <is>
          <t>D5潜突</t>
        </is>
      </c>
      <c r="L133" s="5" t="inlineStr">
        <is>
          <t>D6连板</t>
        </is>
      </c>
      <c r="M133" s="5" t="inlineStr">
        <is>
          <t>D7一字</t>
        </is>
      </c>
      <c r="N133" s="5" t="inlineStr">
        <is>
          <t>D8活跃</t>
        </is>
      </c>
      <c r="O133" s="5" t="inlineStr">
        <is>
          <t>大成交额加分</t>
        </is>
      </c>
      <c r="P133" s="5" t="inlineStr">
        <is>
          <t>得分明细</t>
        </is>
      </c>
    </row>
    <row r="134">
      <c r="A134" t="n">
        <v>1</v>
      </c>
      <c r="B134" t="inlineStr">
        <is>
          <t>002115</t>
        </is>
      </c>
      <c r="C134" t="inlineStr">
        <is>
          <t>三维通信</t>
        </is>
      </c>
      <c r="D134" t="n">
        <v>0</v>
      </c>
      <c r="E134" t="n">
        <v>-1.42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inlineStr">
        <is>
          <t>D1新高=0,D2强势=0,D3突破=0,D4首板=0,D5潜突=0,D6连板=0,D7一字=0,D8活跃=0,bonus=0</t>
        </is>
      </c>
    </row>
    <row r="135">
      <c r="A135" t="n">
        <v>2</v>
      </c>
      <c r="B135" t="inlineStr">
        <is>
          <t>603679</t>
        </is>
      </c>
      <c r="C135" t="inlineStr">
        <is>
          <t>华体科技</t>
        </is>
      </c>
      <c r="D135" t="n">
        <v>0</v>
      </c>
      <c r="E135" t="n">
        <v>0.72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inlineStr">
        <is>
          <t>D1新高=0,D2强势=0,D3突破=0,D4首板=0,D5潜突=0,D6连板=0,D7一字=0,D8活跃=0,bonus=0</t>
        </is>
      </c>
    </row>
    <row r="136"/>
    <row r="137">
      <c r="A137" s="4" t="inlineStr">
        <is>
          <t>--- 细分: 蓝箭火箭 ---</t>
        </is>
      </c>
    </row>
    <row r="138">
      <c r="A138" s="5" t="inlineStr">
        <is>
          <t>排名</t>
        </is>
      </c>
      <c r="B138" s="5" t="inlineStr">
        <is>
          <t>代码</t>
        </is>
      </c>
      <c r="C138" s="5" t="inlineStr">
        <is>
          <t>名称</t>
        </is>
      </c>
      <c r="D138" s="5" t="inlineStr">
        <is>
          <t>得分</t>
        </is>
      </c>
      <c r="E138" s="5" t="inlineStr">
        <is>
          <t>涨跌幅%</t>
        </is>
      </c>
      <c r="F138" s="5" t="inlineStr">
        <is>
          <t>成交额(亿)</t>
        </is>
      </c>
      <c r="G138" s="5" t="inlineStr">
        <is>
          <t>D1新高</t>
        </is>
      </c>
      <c r="H138" s="5" t="inlineStr">
        <is>
          <t>D2强势</t>
        </is>
      </c>
      <c r="I138" s="5" t="inlineStr">
        <is>
          <t>D3突破</t>
        </is>
      </c>
      <c r="J138" s="5" t="inlineStr">
        <is>
          <t>D4首板</t>
        </is>
      </c>
      <c r="K138" s="5" t="inlineStr">
        <is>
          <t>D5潜突</t>
        </is>
      </c>
      <c r="L138" s="5" t="inlineStr">
        <is>
          <t>D6连板</t>
        </is>
      </c>
      <c r="M138" s="5" t="inlineStr">
        <is>
          <t>D7一字</t>
        </is>
      </c>
      <c r="N138" s="5" t="inlineStr">
        <is>
          <t>D8活跃</t>
        </is>
      </c>
      <c r="O138" s="5" t="inlineStr">
        <is>
          <t>大成交额加分</t>
        </is>
      </c>
      <c r="P138" s="5" t="inlineStr">
        <is>
          <t>得分明细</t>
        </is>
      </c>
    </row>
    <row r="139">
      <c r="A139" t="n">
        <v>1</v>
      </c>
      <c r="B139" t="inlineStr">
        <is>
          <t>301589</t>
        </is>
      </c>
      <c r="C139" t="inlineStr">
        <is>
          <t>诺瓦星云</t>
        </is>
      </c>
      <c r="D139" t="n">
        <v>0</v>
      </c>
      <c r="E139" t="n">
        <v>0.31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inlineStr">
        <is>
          <t>D1新高=0,D2强势=0,D3突破=0,D4首板=0,D5潜突=0,D6连板=0,D7一字=0,D8活跃=0,bonus=0</t>
        </is>
      </c>
    </row>
    <row r="140">
      <c r="A140" t="n">
        <v>2</v>
      </c>
      <c r="B140" t="inlineStr">
        <is>
          <t>600783</t>
        </is>
      </c>
      <c r="C140" t="inlineStr">
        <is>
          <t>鲁信创投</t>
        </is>
      </c>
      <c r="D140" t="n">
        <v>0</v>
      </c>
      <c r="E140" t="n">
        <v>-4.41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inlineStr">
        <is>
          <t>D1新高=0,D2强势=0,D3突破=0,D4首板=0,D5潜突=0,D6连板=0,D7一字=0,D8活跃=0,bonus=0</t>
        </is>
      </c>
    </row>
    <row r="141">
      <c r="A141" t="n">
        <v>3</v>
      </c>
      <c r="B141" t="inlineStr">
        <is>
          <t>600895</t>
        </is>
      </c>
      <c r="C141" t="inlineStr">
        <is>
          <t>张江高科</t>
        </is>
      </c>
      <c r="D141" t="n">
        <v>0</v>
      </c>
      <c r="E141" t="n">
        <v>-0.09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inlineStr">
        <is>
          <t>D1新高=0,D2强势=0,D3突破=0,D4首板=0,D5潜突=0,D6连板=0,D7一字=0,D8活跃=0,bonus=0</t>
        </is>
      </c>
    </row>
    <row r="142">
      <c r="A142" t="n">
        <v>4</v>
      </c>
      <c r="B142" t="inlineStr">
        <is>
          <t>002202</t>
        </is>
      </c>
      <c r="C142" t="inlineStr">
        <is>
          <t>金风科技</t>
        </is>
      </c>
      <c r="D142" t="n">
        <v>0</v>
      </c>
      <c r="E142" t="n">
        <v>0.96</v>
      </c>
      <c r="F142" t="n">
        <v>0.01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inlineStr">
        <is>
          <t>D1新高=0,D2强势=0,D3突破=0,D4首板=0,D5潜突=0,D6连板=0,D7一字=0,D8活跃=0,bonus=0</t>
        </is>
      </c>
    </row>
    <row r="143"/>
    <row r="144">
      <c r="A144" s="4" t="inlineStr">
        <is>
          <t>--- 细分: 燃料加注 ---</t>
        </is>
      </c>
    </row>
    <row r="145">
      <c r="A145" s="5" t="inlineStr">
        <is>
          <t>排名</t>
        </is>
      </c>
      <c r="B145" s="5" t="inlineStr">
        <is>
          <t>代码</t>
        </is>
      </c>
      <c r="C145" s="5" t="inlineStr">
        <is>
          <t>名称</t>
        </is>
      </c>
      <c r="D145" s="5" t="inlineStr">
        <is>
          <t>得分</t>
        </is>
      </c>
      <c r="E145" s="5" t="inlineStr">
        <is>
          <t>涨跌幅%</t>
        </is>
      </c>
      <c r="F145" s="5" t="inlineStr">
        <is>
          <t>成交额(亿)</t>
        </is>
      </c>
      <c r="G145" s="5" t="inlineStr">
        <is>
          <t>D1新高</t>
        </is>
      </c>
      <c r="H145" s="5" t="inlineStr">
        <is>
          <t>D2强势</t>
        </is>
      </c>
      <c r="I145" s="5" t="inlineStr">
        <is>
          <t>D3突破</t>
        </is>
      </c>
      <c r="J145" s="5" t="inlineStr">
        <is>
          <t>D4首板</t>
        </is>
      </c>
      <c r="K145" s="5" t="inlineStr">
        <is>
          <t>D5潜突</t>
        </is>
      </c>
      <c r="L145" s="5" t="inlineStr">
        <is>
          <t>D6连板</t>
        </is>
      </c>
      <c r="M145" s="5" t="inlineStr">
        <is>
          <t>D7一字</t>
        </is>
      </c>
      <c r="N145" s="5" t="inlineStr">
        <is>
          <t>D8活跃</t>
        </is>
      </c>
      <c r="O145" s="5" t="inlineStr">
        <is>
          <t>大成交额加分</t>
        </is>
      </c>
      <c r="P145" s="5" t="inlineStr">
        <is>
          <t>得分明细</t>
        </is>
      </c>
    </row>
    <row r="146">
      <c r="A146" t="n">
        <v>1</v>
      </c>
      <c r="B146" t="inlineStr">
        <is>
          <t>600501</t>
        </is>
      </c>
      <c r="C146" t="inlineStr">
        <is>
          <t>航天晨光</t>
        </is>
      </c>
      <c r="D146" t="n">
        <v>0</v>
      </c>
      <c r="E146" t="n">
        <v>-2.14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inlineStr">
        <is>
          <t>D1新高=0,D2强势=0,D3突破=0,D4首板=0,D5潜突=0,D6连板=0,D7一字=0,D8活跃=0,bonus=0</t>
        </is>
      </c>
    </row>
    <row r="147">
      <c r="A147" t="n">
        <v>2</v>
      </c>
      <c r="B147" t="inlineStr">
        <is>
          <t>300228</t>
        </is>
      </c>
      <c r="C147" t="inlineStr">
        <is>
          <t>富瑞特装</t>
        </is>
      </c>
      <c r="D147" t="n">
        <v>0</v>
      </c>
      <c r="E147" t="n">
        <v>-2.72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inlineStr">
        <is>
          <t>D1新高=0,D2强势=0,D3突破=0,D4首板=0,D5潜突=0,D6连板=0,D7一字=0,D8活跃=0,bonus=0</t>
        </is>
      </c>
    </row>
    <row r="148"/>
    <row r="149">
      <c r="A149" s="4" t="inlineStr">
        <is>
          <t>--- 细分: 测控系统 ---</t>
        </is>
      </c>
    </row>
    <row r="150">
      <c r="A150" s="5" t="inlineStr">
        <is>
          <t>排名</t>
        </is>
      </c>
      <c r="B150" s="5" t="inlineStr">
        <is>
          <t>代码</t>
        </is>
      </c>
      <c r="C150" s="5" t="inlineStr">
        <is>
          <t>名称</t>
        </is>
      </c>
      <c r="D150" s="5" t="inlineStr">
        <is>
          <t>得分</t>
        </is>
      </c>
      <c r="E150" s="5" t="inlineStr">
        <is>
          <t>涨跌幅%</t>
        </is>
      </c>
      <c r="F150" s="5" t="inlineStr">
        <is>
          <t>成交额(亿)</t>
        </is>
      </c>
      <c r="G150" s="5" t="inlineStr">
        <is>
          <t>D1新高</t>
        </is>
      </c>
      <c r="H150" s="5" t="inlineStr">
        <is>
          <t>D2强势</t>
        </is>
      </c>
      <c r="I150" s="5" t="inlineStr">
        <is>
          <t>D3突破</t>
        </is>
      </c>
      <c r="J150" s="5" t="inlineStr">
        <is>
          <t>D4首板</t>
        </is>
      </c>
      <c r="K150" s="5" t="inlineStr">
        <is>
          <t>D5潜突</t>
        </is>
      </c>
      <c r="L150" s="5" t="inlineStr">
        <is>
          <t>D6连板</t>
        </is>
      </c>
      <c r="M150" s="5" t="inlineStr">
        <is>
          <t>D7一字</t>
        </is>
      </c>
      <c r="N150" s="5" t="inlineStr">
        <is>
          <t>D8活跃</t>
        </is>
      </c>
      <c r="O150" s="5" t="inlineStr">
        <is>
          <t>大成交额加分</t>
        </is>
      </c>
      <c r="P150" s="5" t="inlineStr">
        <is>
          <t>得分明细</t>
        </is>
      </c>
    </row>
    <row r="151">
      <c r="A151" t="n">
        <v>1</v>
      </c>
      <c r="B151" t="inlineStr">
        <is>
          <t>688568</t>
        </is>
      </c>
      <c r="C151" t="inlineStr">
        <is>
          <t>中科星图</t>
        </is>
      </c>
      <c r="D151" t="n">
        <v>0</v>
      </c>
      <c r="E151" t="n">
        <v>1.87</v>
      </c>
      <c r="F151" t="n">
        <v>0.13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inlineStr">
        <is>
          <t>D1新高=0,D2强势=0,D3突破=0,D4首板=0,D5潜突=0,D6连板=0,D7一字=0,D8活跃=0,bonus=0</t>
        </is>
      </c>
    </row>
    <row r="152"/>
    <row r="153">
      <c r="A153" s="4" t="inlineStr">
        <is>
          <t>--- 细分: 通信终端 ---</t>
        </is>
      </c>
    </row>
    <row r="154">
      <c r="A154" s="5" t="inlineStr">
        <is>
          <t>排名</t>
        </is>
      </c>
      <c r="B154" s="5" t="inlineStr">
        <is>
          <t>代码</t>
        </is>
      </c>
      <c r="C154" s="5" t="inlineStr">
        <is>
          <t>名称</t>
        </is>
      </c>
      <c r="D154" s="5" t="inlineStr">
        <is>
          <t>得分</t>
        </is>
      </c>
      <c r="E154" s="5" t="inlineStr">
        <is>
          <t>涨跌幅%</t>
        </is>
      </c>
      <c r="F154" s="5" t="inlineStr">
        <is>
          <t>成交额(亿)</t>
        </is>
      </c>
      <c r="G154" s="5" t="inlineStr">
        <is>
          <t>D1新高</t>
        </is>
      </c>
      <c r="H154" s="5" t="inlineStr">
        <is>
          <t>D2强势</t>
        </is>
      </c>
      <c r="I154" s="5" t="inlineStr">
        <is>
          <t>D3突破</t>
        </is>
      </c>
      <c r="J154" s="5" t="inlineStr">
        <is>
          <t>D4首板</t>
        </is>
      </c>
      <c r="K154" s="5" t="inlineStr">
        <is>
          <t>D5潜突</t>
        </is>
      </c>
      <c r="L154" s="5" t="inlineStr">
        <is>
          <t>D6连板</t>
        </is>
      </c>
      <c r="M154" s="5" t="inlineStr">
        <is>
          <t>D7一字</t>
        </is>
      </c>
      <c r="N154" s="5" t="inlineStr">
        <is>
          <t>D8活跃</t>
        </is>
      </c>
      <c r="O154" s="5" t="inlineStr">
        <is>
          <t>大成交额加分</t>
        </is>
      </c>
      <c r="P154" s="5" t="inlineStr">
        <is>
          <t>得分明细</t>
        </is>
      </c>
    </row>
    <row r="155">
      <c r="A155" t="n">
        <v>1</v>
      </c>
      <c r="B155" t="inlineStr">
        <is>
          <t>002465</t>
        </is>
      </c>
      <c r="C155" t="inlineStr">
        <is>
          <t>海格通信</t>
        </is>
      </c>
      <c r="D155" t="n">
        <v>0</v>
      </c>
      <c r="E155" t="n">
        <v>-0.36</v>
      </c>
      <c r="F155" t="n">
        <v>0.01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>
        <is>
          <t>D1新高=0,D2强势=0,D3突破=0,D4首板=0,D5潜突=0,D6连板=0,D7一字=0,D8活跃=0,bonus=0</t>
        </is>
      </c>
    </row>
    <row r="156"/>
    <row r="157">
      <c r="A157" s="4" t="inlineStr">
        <is>
          <t>--- 细分: 数管系统 ---</t>
        </is>
      </c>
    </row>
    <row r="158">
      <c r="A158" s="5" t="inlineStr">
        <is>
          <t>排名</t>
        </is>
      </c>
      <c r="B158" s="5" t="inlineStr">
        <is>
          <t>代码</t>
        </is>
      </c>
      <c r="C158" s="5" t="inlineStr">
        <is>
          <t>名称</t>
        </is>
      </c>
      <c r="D158" s="5" t="inlineStr">
        <is>
          <t>得分</t>
        </is>
      </c>
      <c r="E158" s="5" t="inlineStr">
        <is>
          <t>涨跌幅%</t>
        </is>
      </c>
      <c r="F158" s="5" t="inlineStr">
        <is>
          <t>成交额(亿)</t>
        </is>
      </c>
      <c r="G158" s="5" t="inlineStr">
        <is>
          <t>D1新高</t>
        </is>
      </c>
      <c r="H158" s="5" t="inlineStr">
        <is>
          <t>D2强势</t>
        </is>
      </c>
      <c r="I158" s="5" t="inlineStr">
        <is>
          <t>D3突破</t>
        </is>
      </c>
      <c r="J158" s="5" t="inlineStr">
        <is>
          <t>D4首板</t>
        </is>
      </c>
      <c r="K158" s="5" t="inlineStr">
        <is>
          <t>D5潜突</t>
        </is>
      </c>
      <c r="L158" s="5" t="inlineStr">
        <is>
          <t>D6连板</t>
        </is>
      </c>
      <c r="M158" s="5" t="inlineStr">
        <is>
          <t>D7一字</t>
        </is>
      </c>
      <c r="N158" s="5" t="inlineStr">
        <is>
          <t>D8活跃</t>
        </is>
      </c>
      <c r="O158" s="5" t="inlineStr">
        <is>
          <t>大成交额加分</t>
        </is>
      </c>
      <c r="P158" s="5" t="inlineStr">
        <is>
          <t>得分明细</t>
        </is>
      </c>
    </row>
    <row r="159">
      <c r="A159" t="n">
        <v>1</v>
      </c>
      <c r="B159" t="inlineStr">
        <is>
          <t>301117</t>
        </is>
      </c>
      <c r="C159" t="inlineStr">
        <is>
          <t>佳缘科技</t>
        </is>
      </c>
      <c r="D159" t="n">
        <v>0</v>
      </c>
      <c r="E159" t="n">
        <v>-2.08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inlineStr">
        <is>
          <t>D1新高=0,D2强势=0,D3突破=0,D4首板=0,D5潜突=0,D6连板=0,D7一字=0,D8活跃=0,bonus=0</t>
        </is>
      </c>
    </row>
    <row r="160"/>
    <row r="161">
      <c r="A161" s="4" t="inlineStr">
        <is>
          <t>--- 细分: 推进剂 ---</t>
        </is>
      </c>
    </row>
    <row r="162">
      <c r="A162" s="5" t="inlineStr">
        <is>
          <t>排名</t>
        </is>
      </c>
      <c r="B162" s="5" t="inlineStr">
        <is>
          <t>代码</t>
        </is>
      </c>
      <c r="C162" s="5" t="inlineStr">
        <is>
          <t>名称</t>
        </is>
      </c>
      <c r="D162" s="5" t="inlineStr">
        <is>
          <t>得分</t>
        </is>
      </c>
      <c r="E162" s="5" t="inlineStr">
        <is>
          <t>涨跌幅%</t>
        </is>
      </c>
      <c r="F162" s="5" t="inlineStr">
        <is>
          <t>成交额(亿)</t>
        </is>
      </c>
      <c r="G162" s="5" t="inlineStr">
        <is>
          <t>D1新高</t>
        </is>
      </c>
      <c r="H162" s="5" t="inlineStr">
        <is>
          <t>D2强势</t>
        </is>
      </c>
      <c r="I162" s="5" t="inlineStr">
        <is>
          <t>D3突破</t>
        </is>
      </c>
      <c r="J162" s="5" t="inlineStr">
        <is>
          <t>D4首板</t>
        </is>
      </c>
      <c r="K162" s="5" t="inlineStr">
        <is>
          <t>D5潜突</t>
        </is>
      </c>
      <c r="L162" s="5" t="inlineStr">
        <is>
          <t>D6连板</t>
        </is>
      </c>
      <c r="M162" s="5" t="inlineStr">
        <is>
          <t>D7一字</t>
        </is>
      </c>
      <c r="N162" s="5" t="inlineStr">
        <is>
          <t>D8活跃</t>
        </is>
      </c>
      <c r="O162" s="5" t="inlineStr">
        <is>
          <t>大成交额加分</t>
        </is>
      </c>
      <c r="P162" s="5" t="inlineStr">
        <is>
          <t>得分明细</t>
        </is>
      </c>
    </row>
    <row r="163">
      <c r="A163" t="n">
        <v>1</v>
      </c>
      <c r="B163" t="inlineStr">
        <is>
          <t>605090</t>
        </is>
      </c>
      <c r="C163" t="inlineStr">
        <is>
          <t>九丰能源</t>
        </is>
      </c>
      <c r="D163" t="n">
        <v>0</v>
      </c>
      <c r="E163" t="n">
        <v>-0.63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inlineStr">
        <is>
          <t>D1新高=0,D2强势=0,D3突破=0,D4首板=0,D5潜突=0,D6连板=0,D7一字=0,D8活跃=0,bonus=0</t>
        </is>
      </c>
    </row>
    <row r="164"/>
    <row r="165">
      <c r="A165" s="4" t="inlineStr">
        <is>
          <t>--- 细分: 测试 ---</t>
        </is>
      </c>
    </row>
    <row r="166">
      <c r="A166" s="5" t="inlineStr">
        <is>
          <t>排名</t>
        </is>
      </c>
      <c r="B166" s="5" t="inlineStr">
        <is>
          <t>代码</t>
        </is>
      </c>
      <c r="C166" s="5" t="inlineStr">
        <is>
          <t>名称</t>
        </is>
      </c>
      <c r="D166" s="5" t="inlineStr">
        <is>
          <t>得分</t>
        </is>
      </c>
      <c r="E166" s="5" t="inlineStr">
        <is>
          <t>涨跌幅%</t>
        </is>
      </c>
      <c r="F166" s="5" t="inlineStr">
        <is>
          <t>成交额(亿)</t>
        </is>
      </c>
      <c r="G166" s="5" t="inlineStr">
        <is>
          <t>D1新高</t>
        </is>
      </c>
      <c r="H166" s="5" t="inlineStr">
        <is>
          <t>D2强势</t>
        </is>
      </c>
      <c r="I166" s="5" t="inlineStr">
        <is>
          <t>D3突破</t>
        </is>
      </c>
      <c r="J166" s="5" t="inlineStr">
        <is>
          <t>D4首板</t>
        </is>
      </c>
      <c r="K166" s="5" t="inlineStr">
        <is>
          <t>D5潜突</t>
        </is>
      </c>
      <c r="L166" s="5" t="inlineStr">
        <is>
          <t>D6连板</t>
        </is>
      </c>
      <c r="M166" s="5" t="inlineStr">
        <is>
          <t>D7一字</t>
        </is>
      </c>
      <c r="N166" s="5" t="inlineStr">
        <is>
          <t>D8活跃</t>
        </is>
      </c>
      <c r="O166" s="5" t="inlineStr">
        <is>
          <t>大成交额加分</t>
        </is>
      </c>
      <c r="P166" s="5" t="inlineStr">
        <is>
          <t>得分明细</t>
        </is>
      </c>
    </row>
    <row r="167">
      <c r="A167" t="n">
        <v>1</v>
      </c>
      <c r="B167" t="inlineStr">
        <is>
          <t>300455</t>
        </is>
      </c>
      <c r="C167" t="inlineStr">
        <is>
          <t>航天智装</t>
        </is>
      </c>
      <c r="D167" t="n">
        <v>0</v>
      </c>
      <c r="E167" t="n">
        <v>0.31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inlineStr">
        <is>
          <t>D1新高=0,D2强势=0,D3突破=0,D4首板=0,D5潜突=0,D6连板=0,D7一字=0,D8活跃=0,bonus=0</t>
        </is>
      </c>
    </row>
    <row r="168"/>
    <row r="169">
      <c r="A169" s="4" t="inlineStr">
        <is>
          <t>--- 细分: 千帆星座 ---</t>
        </is>
      </c>
    </row>
    <row r="170">
      <c r="A170" s="5" t="inlineStr">
        <is>
          <t>排名</t>
        </is>
      </c>
      <c r="B170" s="5" t="inlineStr">
        <is>
          <t>代码</t>
        </is>
      </c>
      <c r="C170" s="5" t="inlineStr">
        <is>
          <t>名称</t>
        </is>
      </c>
      <c r="D170" s="5" t="inlineStr">
        <is>
          <t>得分</t>
        </is>
      </c>
      <c r="E170" s="5" t="inlineStr">
        <is>
          <t>涨跌幅%</t>
        </is>
      </c>
      <c r="F170" s="5" t="inlineStr">
        <is>
          <t>成交额(亿)</t>
        </is>
      </c>
      <c r="G170" s="5" t="inlineStr">
        <is>
          <t>D1新高</t>
        </is>
      </c>
      <c r="H170" s="5" t="inlineStr">
        <is>
          <t>D2强势</t>
        </is>
      </c>
      <c r="I170" s="5" t="inlineStr">
        <is>
          <t>D3突破</t>
        </is>
      </c>
      <c r="J170" s="5" t="inlineStr">
        <is>
          <t>D4首板</t>
        </is>
      </c>
      <c r="K170" s="5" t="inlineStr">
        <is>
          <t>D5潜突</t>
        </is>
      </c>
      <c r="L170" s="5" t="inlineStr">
        <is>
          <t>D6连板</t>
        </is>
      </c>
      <c r="M170" s="5" t="inlineStr">
        <is>
          <t>D7一字</t>
        </is>
      </c>
      <c r="N170" s="5" t="inlineStr">
        <is>
          <t>D8活跃</t>
        </is>
      </c>
      <c r="O170" s="5" t="inlineStr">
        <is>
          <t>大成交额加分</t>
        </is>
      </c>
      <c r="P170" s="5" t="inlineStr">
        <is>
          <t>得分明细</t>
        </is>
      </c>
    </row>
    <row r="171">
      <c r="A171" t="n">
        <v>1</v>
      </c>
      <c r="B171" t="inlineStr">
        <is>
          <t>301517</t>
        </is>
      </c>
      <c r="C171" t="inlineStr">
        <is>
          <t>陕西华达</t>
        </is>
      </c>
      <c r="D171" t="n">
        <v>0</v>
      </c>
      <c r="E171" t="n">
        <v>2.71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inlineStr">
        <is>
          <t>D1新高=0,D2强势=0,D3突破=0,D4首板=0,D5潜突=0,D6连板=0,D7一字=0,D8活跃=0,bonus=0</t>
        </is>
      </c>
    </row>
    <row r="172"/>
    <row r="173">
      <c r="A173" s="4" t="inlineStr">
        <is>
          <t>--- 细分: 数管系统 ---</t>
        </is>
      </c>
    </row>
    <row r="174">
      <c r="A174" s="5" t="inlineStr">
        <is>
          <t>排名</t>
        </is>
      </c>
      <c r="B174" s="5" t="inlineStr">
        <is>
          <t>代码</t>
        </is>
      </c>
      <c r="C174" s="5" t="inlineStr">
        <is>
          <t>名称</t>
        </is>
      </c>
      <c r="D174" s="5" t="inlineStr">
        <is>
          <t>得分</t>
        </is>
      </c>
      <c r="E174" s="5" t="inlineStr">
        <is>
          <t>涨跌幅%</t>
        </is>
      </c>
      <c r="F174" s="5" t="inlineStr">
        <is>
          <t>成交额(亿)</t>
        </is>
      </c>
      <c r="G174" s="5" t="inlineStr">
        <is>
          <t>D1新高</t>
        </is>
      </c>
      <c r="H174" s="5" t="inlineStr">
        <is>
          <t>D2强势</t>
        </is>
      </c>
      <c r="I174" s="5" t="inlineStr">
        <is>
          <t>D3突破</t>
        </is>
      </c>
      <c r="J174" s="5" t="inlineStr">
        <is>
          <t>D4首板</t>
        </is>
      </c>
      <c r="K174" s="5" t="inlineStr">
        <is>
          <t>D5潜突</t>
        </is>
      </c>
      <c r="L174" s="5" t="inlineStr">
        <is>
          <t>D6连板</t>
        </is>
      </c>
      <c r="M174" s="5" t="inlineStr">
        <is>
          <t>D7一字</t>
        </is>
      </c>
      <c r="N174" s="5" t="inlineStr">
        <is>
          <t>D8活跃</t>
        </is>
      </c>
      <c r="O174" s="5" t="inlineStr">
        <is>
          <t>大成交额加分</t>
        </is>
      </c>
      <c r="P174" s="5" t="inlineStr">
        <is>
          <t>得分明细</t>
        </is>
      </c>
    </row>
    <row r="175">
      <c r="A175" t="n">
        <v>1</v>
      </c>
      <c r="B175" t="inlineStr">
        <is>
          <t>600879</t>
        </is>
      </c>
      <c r="C175" t="inlineStr">
        <is>
          <t>航天电子</t>
        </is>
      </c>
      <c r="D175" t="n">
        <v>0</v>
      </c>
      <c r="E175" t="n">
        <v>0.35</v>
      </c>
      <c r="F175" t="n">
        <v>0.01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inlineStr">
        <is>
          <t>D1新高=0,D2强势=0,D3突破=0,D4首板=0,D5潜突=0,D6连板=0,D7一字=0,D8活跃=0,bonus=0</t>
        </is>
      </c>
    </row>
    <row r="176"/>
    <row r="177">
      <c r="A177" s="4" t="inlineStr">
        <is>
          <t>--- 细分: 运营 ---</t>
        </is>
      </c>
    </row>
    <row r="178">
      <c r="A178" s="5" t="inlineStr">
        <is>
          <t>排名</t>
        </is>
      </c>
      <c r="B178" s="5" t="inlineStr">
        <is>
          <t>代码</t>
        </is>
      </c>
      <c r="C178" s="5" t="inlineStr">
        <is>
          <t>名称</t>
        </is>
      </c>
      <c r="D178" s="5" t="inlineStr">
        <is>
          <t>得分</t>
        </is>
      </c>
      <c r="E178" s="5" t="inlineStr">
        <is>
          <t>涨跌幅%</t>
        </is>
      </c>
      <c r="F178" s="5" t="inlineStr">
        <is>
          <t>成交额(亿)</t>
        </is>
      </c>
      <c r="G178" s="5" t="inlineStr">
        <is>
          <t>D1新高</t>
        </is>
      </c>
      <c r="H178" s="5" t="inlineStr">
        <is>
          <t>D2强势</t>
        </is>
      </c>
      <c r="I178" s="5" t="inlineStr">
        <is>
          <t>D3突破</t>
        </is>
      </c>
      <c r="J178" s="5" t="inlineStr">
        <is>
          <t>D4首板</t>
        </is>
      </c>
      <c r="K178" s="5" t="inlineStr">
        <is>
          <t>D5潜突</t>
        </is>
      </c>
      <c r="L178" s="5" t="inlineStr">
        <is>
          <t>D6连板</t>
        </is>
      </c>
      <c r="M178" s="5" t="inlineStr">
        <is>
          <t>D7一字</t>
        </is>
      </c>
      <c r="N178" s="5" t="inlineStr">
        <is>
          <t>D8活跃</t>
        </is>
      </c>
      <c r="O178" s="5" t="inlineStr">
        <is>
          <t>大成交额加分</t>
        </is>
      </c>
      <c r="P178" s="5" t="inlineStr">
        <is>
          <t>得分明细</t>
        </is>
      </c>
    </row>
    <row r="179">
      <c r="A179" t="n">
        <v>1</v>
      </c>
      <c r="B179" t="inlineStr">
        <is>
          <t>688066</t>
        </is>
      </c>
      <c r="C179" t="inlineStr">
        <is>
          <t>航天宏图</t>
        </is>
      </c>
      <c r="D179" t="n">
        <v>0</v>
      </c>
      <c r="E179" t="n">
        <v>0.71</v>
      </c>
      <c r="F179" t="n">
        <v>0.09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inlineStr">
        <is>
          <t>D1新高=0,D2强势=0,D3突破=0,D4首板=0,D5潜突=0,D6连板=0,D7一字=0,D8活跃=0,bonus=0</t>
        </is>
      </c>
    </row>
    <row r="180"/>
    <row r="181">
      <c r="A181" s="4" t="inlineStr">
        <is>
          <t>--- 细分: 遥感载荷 ---</t>
        </is>
      </c>
    </row>
    <row r="182">
      <c r="A182" s="5" t="inlineStr">
        <is>
          <t>排名</t>
        </is>
      </c>
      <c r="B182" s="5" t="inlineStr">
        <is>
          <t>代码</t>
        </is>
      </c>
      <c r="C182" s="5" t="inlineStr">
        <is>
          <t>名称</t>
        </is>
      </c>
      <c r="D182" s="5" t="inlineStr">
        <is>
          <t>得分</t>
        </is>
      </c>
      <c r="E182" s="5" t="inlineStr">
        <is>
          <t>涨跌幅%</t>
        </is>
      </c>
      <c r="F182" s="5" t="inlineStr">
        <is>
          <t>成交额(亿)</t>
        </is>
      </c>
      <c r="G182" s="5" t="inlineStr">
        <is>
          <t>D1新高</t>
        </is>
      </c>
      <c r="H182" s="5" t="inlineStr">
        <is>
          <t>D2强势</t>
        </is>
      </c>
      <c r="I182" s="5" t="inlineStr">
        <is>
          <t>D3突破</t>
        </is>
      </c>
      <c r="J182" s="5" t="inlineStr">
        <is>
          <t>D4首板</t>
        </is>
      </c>
      <c r="K182" s="5" t="inlineStr">
        <is>
          <t>D5潜突</t>
        </is>
      </c>
      <c r="L182" s="5" t="inlineStr">
        <is>
          <t>D6连板</t>
        </is>
      </c>
      <c r="M182" s="5" t="inlineStr">
        <is>
          <t>D7一字</t>
        </is>
      </c>
      <c r="N182" s="5" t="inlineStr">
        <is>
          <t>D8活跃</t>
        </is>
      </c>
      <c r="O182" s="5" t="inlineStr">
        <is>
          <t>大成交额加分</t>
        </is>
      </c>
      <c r="P182" s="5" t="inlineStr">
        <is>
          <t>得分明细</t>
        </is>
      </c>
    </row>
    <row r="183">
      <c r="A183" t="n">
        <v>1</v>
      </c>
      <c r="B183" t="inlineStr">
        <is>
          <t>002413</t>
        </is>
      </c>
      <c r="C183" t="inlineStr">
        <is>
          <t>雷科防务</t>
        </is>
      </c>
      <c r="D183" t="n">
        <v>0</v>
      </c>
      <c r="E183" t="n">
        <v>-0.77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inlineStr">
        <is>
          <t>D1新高=0,D2强势=0,D3突破=0,D4首板=0,D5潜突=0,D6连板=0,D7一字=0,D8活跃=0,bonus=0</t>
        </is>
      </c>
    </row>
    <row r="184"/>
    <row r="185">
      <c r="A185" s="4" t="inlineStr">
        <is>
          <t>--- 细分: 千帆星座 ---</t>
        </is>
      </c>
    </row>
    <row r="186">
      <c r="A186" s="5" t="inlineStr">
        <is>
          <t>排名</t>
        </is>
      </c>
      <c r="B186" s="5" t="inlineStr">
        <is>
          <t>代码</t>
        </is>
      </c>
      <c r="C186" s="5" t="inlineStr">
        <is>
          <t>名称</t>
        </is>
      </c>
      <c r="D186" s="5" t="inlineStr">
        <is>
          <t>得分</t>
        </is>
      </c>
      <c r="E186" s="5" t="inlineStr">
        <is>
          <t>涨跌幅%</t>
        </is>
      </c>
      <c r="F186" s="5" t="inlineStr">
        <is>
          <t>成交额(亿)</t>
        </is>
      </c>
      <c r="G186" s="5" t="inlineStr">
        <is>
          <t>D1新高</t>
        </is>
      </c>
      <c r="H186" s="5" t="inlineStr">
        <is>
          <t>D2强势</t>
        </is>
      </c>
      <c r="I186" s="5" t="inlineStr">
        <is>
          <t>D3突破</t>
        </is>
      </c>
      <c r="J186" s="5" t="inlineStr">
        <is>
          <t>D4首板</t>
        </is>
      </c>
      <c r="K186" s="5" t="inlineStr">
        <is>
          <t>D5潜突</t>
        </is>
      </c>
      <c r="L186" s="5" t="inlineStr">
        <is>
          <t>D6连板</t>
        </is>
      </c>
      <c r="M186" s="5" t="inlineStr">
        <is>
          <t>D7一字</t>
        </is>
      </c>
      <c r="N186" s="5" t="inlineStr">
        <is>
          <t>D8活跃</t>
        </is>
      </c>
      <c r="O186" s="5" t="inlineStr">
        <is>
          <t>大成交额加分</t>
        </is>
      </c>
      <c r="P186" s="5" t="inlineStr">
        <is>
          <t>得分明细</t>
        </is>
      </c>
    </row>
    <row r="187">
      <c r="A187" t="n">
        <v>1</v>
      </c>
      <c r="B187" t="inlineStr">
        <is>
          <t>300342</t>
        </is>
      </c>
      <c r="C187" t="inlineStr">
        <is>
          <t>天银机电</t>
        </is>
      </c>
      <c r="D187" t="n">
        <v>0</v>
      </c>
      <c r="E187" t="n">
        <v>-0.51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inlineStr">
        <is>
          <t>D1新高=0,D2强势=0,D3突破=0,D4首板=0,D5潜突=0,D6连板=0,D7一字=0,D8活跃=0,bonus=0</t>
        </is>
      </c>
    </row>
    <row r="188"/>
    <row r="189">
      <c r="A189" s="4" t="inlineStr">
        <is>
          <t>--- 细分: 控制系统 ---</t>
        </is>
      </c>
    </row>
    <row r="190">
      <c r="A190" s="5" t="inlineStr">
        <is>
          <t>排名</t>
        </is>
      </c>
      <c r="B190" s="5" t="inlineStr">
        <is>
          <t>代码</t>
        </is>
      </c>
      <c r="C190" s="5" t="inlineStr">
        <is>
          <t>名称</t>
        </is>
      </c>
      <c r="D190" s="5" t="inlineStr">
        <is>
          <t>得分</t>
        </is>
      </c>
      <c r="E190" s="5" t="inlineStr">
        <is>
          <t>涨跌幅%</t>
        </is>
      </c>
      <c r="F190" s="5" t="inlineStr">
        <is>
          <t>成交额(亿)</t>
        </is>
      </c>
      <c r="G190" s="5" t="inlineStr">
        <is>
          <t>D1新高</t>
        </is>
      </c>
      <c r="H190" s="5" t="inlineStr">
        <is>
          <t>D2强势</t>
        </is>
      </c>
      <c r="I190" s="5" t="inlineStr">
        <is>
          <t>D3突破</t>
        </is>
      </c>
      <c r="J190" s="5" t="inlineStr">
        <is>
          <t>D4首板</t>
        </is>
      </c>
      <c r="K190" s="5" t="inlineStr">
        <is>
          <t>D5潜突</t>
        </is>
      </c>
      <c r="L190" s="5" t="inlineStr">
        <is>
          <t>D6连板</t>
        </is>
      </c>
      <c r="M190" s="5" t="inlineStr">
        <is>
          <t>D7一字</t>
        </is>
      </c>
      <c r="N190" s="5" t="inlineStr">
        <is>
          <t>D8活跃</t>
        </is>
      </c>
      <c r="O190" s="5" t="inlineStr">
        <is>
          <t>大成交额加分</t>
        </is>
      </c>
      <c r="P190" s="5" t="inlineStr">
        <is>
          <t>得分明细</t>
        </is>
      </c>
    </row>
    <row r="191">
      <c r="A191" t="n">
        <v>1</v>
      </c>
      <c r="B191" t="inlineStr">
        <is>
          <t>300053</t>
        </is>
      </c>
      <c r="C191" t="inlineStr">
        <is>
          <t>航宇微</t>
        </is>
      </c>
      <c r="D191" t="n">
        <v>0</v>
      </c>
      <c r="E191" t="n">
        <v>2.84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inlineStr">
        <is>
          <t>D1新高=0,D2强势=0,D3突破=0,D4首板=0,D5潜突=0,D6连板=0,D7一字=0,D8活跃=0,bonus=0</t>
        </is>
      </c>
    </row>
    <row r="192"/>
    <row r="193">
      <c r="A193" s="4" t="inlineStr">
        <is>
          <t>--- 细分: 垣信卫星 ---</t>
        </is>
      </c>
    </row>
    <row r="194">
      <c r="A194" s="5" t="inlineStr">
        <is>
          <t>排名</t>
        </is>
      </c>
      <c r="B194" s="5" t="inlineStr">
        <is>
          <t>代码</t>
        </is>
      </c>
      <c r="C194" s="5" t="inlineStr">
        <is>
          <t>名称</t>
        </is>
      </c>
      <c r="D194" s="5" t="inlineStr">
        <is>
          <t>得分</t>
        </is>
      </c>
      <c r="E194" s="5" t="inlineStr">
        <is>
          <t>涨跌幅%</t>
        </is>
      </c>
      <c r="F194" s="5" t="inlineStr">
        <is>
          <t>成交额(亿)</t>
        </is>
      </c>
      <c r="G194" s="5" t="inlineStr">
        <is>
          <t>D1新高</t>
        </is>
      </c>
      <c r="H194" s="5" t="inlineStr">
        <is>
          <t>D2强势</t>
        </is>
      </c>
      <c r="I194" s="5" t="inlineStr">
        <is>
          <t>D3突破</t>
        </is>
      </c>
      <c r="J194" s="5" t="inlineStr">
        <is>
          <t>D4首板</t>
        </is>
      </c>
      <c r="K194" s="5" t="inlineStr">
        <is>
          <t>D5潜突</t>
        </is>
      </c>
      <c r="L194" s="5" t="inlineStr">
        <is>
          <t>D6连板</t>
        </is>
      </c>
      <c r="M194" s="5" t="inlineStr">
        <is>
          <t>D7一字</t>
        </is>
      </c>
      <c r="N194" s="5" t="inlineStr">
        <is>
          <t>D8活跃</t>
        </is>
      </c>
      <c r="O194" s="5" t="inlineStr">
        <is>
          <t>大成交额加分</t>
        </is>
      </c>
      <c r="P194" s="5" t="inlineStr">
        <is>
          <t>得分明细</t>
        </is>
      </c>
    </row>
    <row r="195">
      <c r="A195" t="n">
        <v>1</v>
      </c>
      <c r="B195" t="inlineStr">
        <is>
          <t>002519</t>
        </is>
      </c>
      <c r="C195" t="inlineStr">
        <is>
          <t>银河电子</t>
        </is>
      </c>
      <c r="D195" t="n">
        <v>0</v>
      </c>
      <c r="E195" t="n">
        <v>-1.86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inlineStr">
        <is>
          <t>D1新高=0,D2强势=0,D3突破=0,D4首板=0,D5潜突=0,D6连板=0,D7一字=0,D8活跃=0,bonus=0</t>
        </is>
      </c>
    </row>
    <row r="196"/>
    <row r="197">
      <c r="A197" s="4" t="inlineStr">
        <is>
          <t>--- 细分: 卫星组装制造 ---</t>
        </is>
      </c>
    </row>
    <row r="198">
      <c r="A198" s="5" t="inlineStr">
        <is>
          <t>排名</t>
        </is>
      </c>
      <c r="B198" s="5" t="inlineStr">
        <is>
          <t>代码</t>
        </is>
      </c>
      <c r="C198" s="5" t="inlineStr">
        <is>
          <t>名称</t>
        </is>
      </c>
      <c r="D198" s="5" t="inlineStr">
        <is>
          <t>得分</t>
        </is>
      </c>
      <c r="E198" s="5" t="inlineStr">
        <is>
          <t>涨跌幅%</t>
        </is>
      </c>
      <c r="F198" s="5" t="inlineStr">
        <is>
          <t>成交额(亿)</t>
        </is>
      </c>
      <c r="G198" s="5" t="inlineStr">
        <is>
          <t>D1新高</t>
        </is>
      </c>
      <c r="H198" s="5" t="inlineStr">
        <is>
          <t>D2强势</t>
        </is>
      </c>
      <c r="I198" s="5" t="inlineStr">
        <is>
          <t>D3突破</t>
        </is>
      </c>
      <c r="J198" s="5" t="inlineStr">
        <is>
          <t>D4首板</t>
        </is>
      </c>
      <c r="K198" s="5" t="inlineStr">
        <is>
          <t>D5潜突</t>
        </is>
      </c>
      <c r="L198" s="5" t="inlineStr">
        <is>
          <t>D6连板</t>
        </is>
      </c>
      <c r="M198" s="5" t="inlineStr">
        <is>
          <t>D7一字</t>
        </is>
      </c>
      <c r="N198" s="5" t="inlineStr">
        <is>
          <t>D8活跃</t>
        </is>
      </c>
      <c r="O198" s="5" t="inlineStr">
        <is>
          <t>大成交额加分</t>
        </is>
      </c>
      <c r="P198" s="5" t="inlineStr">
        <is>
          <t>得分明细</t>
        </is>
      </c>
    </row>
    <row r="199">
      <c r="A199" t="n">
        <v>1</v>
      </c>
      <c r="B199" t="inlineStr">
        <is>
          <t>600118</t>
        </is>
      </c>
      <c r="C199" t="inlineStr">
        <is>
          <t>中国卫星</t>
        </is>
      </c>
      <c r="D199" t="n">
        <v>0</v>
      </c>
      <c r="E199" t="n">
        <v>0.7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inlineStr">
        <is>
          <t>D1新高=0,D2强势=0,D3突破=0,D4首板=0,D5潜突=0,D6连板=0,D7一字=0,D8活跃=0,bonus=0</t>
        </is>
      </c>
    </row>
    <row r="200">
      <c r="A200" t="n">
        <v>2</v>
      </c>
      <c r="B200" t="inlineStr">
        <is>
          <t>603131</t>
        </is>
      </c>
      <c r="C200" t="inlineStr">
        <is>
          <t>上海沪工</t>
        </is>
      </c>
      <c r="D200" t="n">
        <v>0</v>
      </c>
      <c r="E200" t="n">
        <v>-0.11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inlineStr">
        <is>
          <t>D1新高=0,D2强势=0,D3突破=0,D4首板=0,D5潜突=0,D6连板=0,D7一字=0,D8活跃=0,bonus=0</t>
        </is>
      </c>
    </row>
    <row r="201"/>
    <row r="202">
      <c r="A202" s="4" t="inlineStr">
        <is>
          <t>--- 细分: 信关站 ---</t>
        </is>
      </c>
    </row>
    <row r="203">
      <c r="A203" s="5" t="inlineStr">
        <is>
          <t>排名</t>
        </is>
      </c>
      <c r="B203" s="5" t="inlineStr">
        <is>
          <t>代码</t>
        </is>
      </c>
      <c r="C203" s="5" t="inlineStr">
        <is>
          <t>名称</t>
        </is>
      </c>
      <c r="D203" s="5" t="inlineStr">
        <is>
          <t>得分</t>
        </is>
      </c>
      <c r="E203" s="5" t="inlineStr">
        <is>
          <t>涨跌幅%</t>
        </is>
      </c>
      <c r="F203" s="5" t="inlineStr">
        <is>
          <t>成交额(亿)</t>
        </is>
      </c>
      <c r="G203" s="5" t="inlineStr">
        <is>
          <t>D1新高</t>
        </is>
      </c>
      <c r="H203" s="5" t="inlineStr">
        <is>
          <t>D2强势</t>
        </is>
      </c>
      <c r="I203" s="5" t="inlineStr">
        <is>
          <t>D3突破</t>
        </is>
      </c>
      <c r="J203" s="5" t="inlineStr">
        <is>
          <t>D4首板</t>
        </is>
      </c>
      <c r="K203" s="5" t="inlineStr">
        <is>
          <t>D5潜突</t>
        </is>
      </c>
      <c r="L203" s="5" t="inlineStr">
        <is>
          <t>D6连板</t>
        </is>
      </c>
      <c r="M203" s="5" t="inlineStr">
        <is>
          <t>D7一字</t>
        </is>
      </c>
      <c r="N203" s="5" t="inlineStr">
        <is>
          <t>D8活跃</t>
        </is>
      </c>
      <c r="O203" s="5" t="inlineStr">
        <is>
          <t>大成交额加分</t>
        </is>
      </c>
      <c r="P203" s="5" t="inlineStr">
        <is>
          <t>得分明细</t>
        </is>
      </c>
    </row>
    <row r="204">
      <c r="A204" t="n">
        <v>1</v>
      </c>
      <c r="B204" t="inlineStr">
        <is>
          <t>688523</t>
        </is>
      </c>
      <c r="C204" t="inlineStr">
        <is>
          <t>航天环宇</t>
        </is>
      </c>
      <c r="D204" t="n">
        <v>0</v>
      </c>
      <c r="E204" t="n">
        <v>1.08</v>
      </c>
      <c r="F204" t="n">
        <v>0.06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inlineStr">
        <is>
          <t>D1新高=0,D2强势=0,D3突破=0,D4首板=0,D5潜突=0,D6连板=0,D7一字=0,D8活跃=0,bonus=0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2026-06-17T12:59:18Z</dcterms:created>
  <dcterms:modified xmlns:dcterms="http://purl.org/dc/terms/" xmlns:xsi="http://www.w3.org/2001/XMLSchema-instance" xsi:type="dcterms:W3CDTF">2026-06-17T14:46:42Z</dcterms:modified>
</cp:coreProperties>
</file>