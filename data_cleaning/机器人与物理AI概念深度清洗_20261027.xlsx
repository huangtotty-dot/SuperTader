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机器人" sheetId="3" state="visible" r:id="rId3"/>
    <sheet xmlns:r="http://schemas.openxmlformats.org/officeDocument/2006/relationships" name="物理AI" sheetId="4" state="visible" r:id="rId4"/>
    <sheet xmlns:r="http://schemas.openxmlformats.org/officeDocument/2006/relationships" name="摘除清单" sheetId="5" state="visible" r:id="rId5"/>
    <sheet xmlns:r="http://schemas.openxmlformats.org/officeDocument/2006/relationships" name="概念展开" sheetId="6" state="hidden" r:id="rId6"/>
    <sheet xmlns:r="http://schemas.openxmlformats.org/officeDocument/2006/relationships" name="概念统计" sheetId="7" state="visible" r:id="rId7"/>
  </sheets>
  <definedNames>
    <definedName name="_xlnm._FilterDatabase" localSheetId="1" hidden="1">'清洗总表'!$B$4:$M$141</definedName>
    <definedName name="_xlnm._FilterDatabase" localSheetId="2" hidden="1">'机器人'!$B$4:$M$89</definedName>
    <definedName name="_xlnm._FilterDatabase" localSheetId="3" hidden="1">'物理AI'!$B$4:$M$42</definedName>
    <definedName name="_xlnm._FilterDatabase" localSheetId="4" hidden="1">'摘除清单'!$B$4:$M$24</definedName>
    <definedName name="_xlnm._FilterDatabase" localSheetId="6" hidden="1">'概念统计'!$B$4:$F$39</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22B49"/>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22B49"/>
      <sz val="13"/>
    </font>
    <font>
      <b val="1"/>
      <color rgb="000066CC"/>
    </font>
    <font>
      <color rgb="00666666"/>
      <sz val="10"/>
    </font>
  </fonts>
  <fills count="4">
    <fill>
      <patternFill/>
    </fill>
    <fill>
      <patternFill patternType="gray125"/>
    </fill>
    <fill>
      <patternFill patternType="solid">
        <fgColor rgb="00122B49"/>
      </patternFill>
    </fill>
    <fill>
      <patternFill patternType="solid">
        <fgColor rgb="00F5F5F5"/>
      </patternFill>
    </fill>
  </fills>
  <borders count="2">
    <border>
      <left/>
      <right/>
      <top/>
      <bottom/>
      <diagonal/>
    </border>
    <border>
      <bottom style="thin">
        <color rgb="00D0D0D0"/>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4" fillId="3" borderId="0" applyAlignment="1" pivotButton="0" quotePrefix="0" xfId="0">
      <alignment horizontal="left" vertical="center"/>
    </xf>
    <xf numFmtId="0" fontId="5" fillId="3" borderId="0" applyAlignment="1" pivotButton="0" quotePrefix="0" xfId="0">
      <alignment horizontal="left" vertical="center"/>
    </xf>
    <xf numFmtId="0" fontId="6" fillId="2" borderId="0" applyAlignment="1" pivotButton="0" quotePrefix="0" xfId="0">
      <alignment horizontal="center"/>
    </xf>
    <xf numFmtId="0" fontId="0" fillId="0" borderId="0" applyAlignment="1" pivotButton="0" quotePrefix="0" xfId="0">
      <alignment horizontal="left"/>
    </xf>
    <xf numFmtId="0" fontId="7" fillId="0" borderId="0"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center"/>
    </xf>
    <xf numFmtId="0" fontId="0" fillId="3" borderId="0" applyAlignment="1" pivotButton="0" quotePrefix="0" xfId="0">
      <alignment horizontal="left"/>
    </xf>
    <xf numFmtId="0" fontId="7" fillId="3" borderId="0" applyAlignment="1" pivotButton="0" quotePrefix="0" xfId="0">
      <alignment horizontal="left"/>
    </xf>
    <xf numFmtId="0" fontId="8" fillId="3" borderId="0" applyAlignment="1" pivotButton="0" quotePrefix="0" xfId="0">
      <alignment horizontal="center"/>
    </xf>
    <xf numFmtId="0" fontId="0" fillId="3" borderId="0" applyAlignment="1" pivotButton="0" quotePrefix="0" xfId="0">
      <alignment horizontal="center"/>
    </xf>
    <xf numFmtId="0" fontId="9" fillId="0" borderId="0" pivotButton="0" quotePrefix="0" xfId="0"/>
    <xf numFmtId="0" fontId="10" fillId="0" borderId="0" pivotButton="0" quotePrefix="0" xfId="0"/>
    <xf numFmtId="0" fontId="11" fillId="0" borderId="0" applyAlignment="1" pivotButton="0" quotePrefix="0" xfId="0">
      <alignment horizontal="center"/>
    </xf>
    <xf numFmtId="0" fontId="12" fillId="0" borderId="0" pivotButton="0" quotePrefix="0" xfId="0"/>
    <xf numFmtId="0" fontId="13" fillId="0" borderId="0" pivotButton="0" quotePrefix="0" xfId="0"/>
    <xf numFmtId="0" fontId="7"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5"/>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机器人与物理AI概念深度清洗报告</t>
        </is>
      </c>
    </row>
    <row r="3">
      <c r="B3" s="2" t="inlineStr">
        <is>
          <t>复核日期：2026-10-27｜范围：137只｜口径：产品直接性、商业化证据、主营相关度、分类边界</t>
        </is>
      </c>
    </row>
    <row r="6" ht="26" customHeight="1">
      <c r="B6" s="18" t="inlineStr">
        <is>
          <t>复核股票（只）</t>
        </is>
      </c>
      <c r="C6" s="19">
        <f>COUNTA('清洗总表'!$B$5:$B$141)</f>
        <v/>
      </c>
    </row>
    <row r="7" ht="26" customHeight="1">
      <c r="B7" s="18" t="inlineStr">
        <is>
          <t>保留机器人（只）</t>
        </is>
      </c>
      <c r="C7" s="19">
        <f>COUNTA('机器人'!$B$5:$B$89)</f>
        <v/>
      </c>
    </row>
    <row r="8" ht="26" customHeight="1">
      <c r="B8" s="18" t="inlineStr">
        <is>
          <t>归入物理AI（只）</t>
        </is>
      </c>
      <c r="C8" s="19">
        <f>COUNTA('物理AI'!$B$5:$B$42)</f>
        <v/>
      </c>
    </row>
    <row r="9" ht="26" customHeight="1">
      <c r="B9" s="18" t="inlineStr">
        <is>
          <t>完全摘除（只）</t>
        </is>
      </c>
      <c r="C9" s="19">
        <f>COUNTA('摘除清单'!$B$5:$B$24)</f>
        <v/>
      </c>
    </row>
    <row r="10" ht="26" customHeight="1">
      <c r="B10" s="18" t="inlineStr">
        <is>
          <t>迁移/新增物理AI动作（只）</t>
        </is>
      </c>
      <c r="C10" s="19">
        <f>COUNTIF('物理AI'!$E$5:$E$42,"迁移")+COUNTIF('物理AI'!$E$5:$E$42,"新增")</f>
        <v/>
      </c>
    </row>
    <row r="11" ht="26" customHeight="1">
      <c r="B11" s="18" t="inlineStr">
        <is>
          <t>纠错动作（只）</t>
        </is>
      </c>
      <c r="C11" s="19">
        <f>COUNTIF('清洗总表'!$E$5:$E$141,"纠错")</f>
        <v/>
      </c>
    </row>
    <row r="14">
      <c r="B14" s="20" t="inlineStr">
        <is>
          <t>工作表索引</t>
        </is>
      </c>
    </row>
    <row r="15">
      <c r="B15" s="21" t="inlineStr">
        <is>
          <t>清洗总表</t>
        </is>
      </c>
      <c r="C15" s="22" t="inlineStr">
        <is>
          <t>137只旧分类、新分类、动作、判词、详细理由及证据</t>
        </is>
      </c>
    </row>
    <row r="16">
      <c r="B16" s="21" t="inlineStr">
        <is>
          <t>机器人</t>
        </is>
      </c>
      <c r="C16" s="22" t="inlineStr">
        <is>
          <t>85只保留的机器人本体、集成及硬件零部件公司</t>
        </is>
      </c>
    </row>
    <row r="17">
      <c r="B17" s="21" t="inlineStr">
        <is>
          <t>物理AI</t>
        </is>
      </c>
      <c r="C17" s="22" t="inlineStr">
        <is>
          <t>38只感知、控制、训练、数据、终端及具身本体公司</t>
        </is>
      </c>
    </row>
    <row r="18">
      <c r="B18" s="21" t="inlineStr">
        <is>
          <t>摘除清单</t>
        </is>
      </c>
      <c r="C18" s="22" t="inlineStr">
        <is>
          <t>20只错标、间接映射或研发预期退出公司</t>
        </is>
      </c>
    </row>
    <row r="19">
      <c r="B19" s="21" t="inlineStr">
        <is>
          <t>概念统计</t>
        </is>
      </c>
      <c r="C19" s="22" t="inlineStr">
        <is>
          <t>各二级概念核心/相关数量；底层为精确展开数据</t>
        </is>
      </c>
    </row>
    <row r="22">
      <c r="B22" s="23" t="inlineStr">
        <is>
          <t>核心：相关产品是明确主营或主要收入应用；相关：有直接产品、订单、交付或收入，但仍属新业务或收入占比较低。</t>
        </is>
      </c>
    </row>
    <row r="23">
      <c r="B23" s="23" t="inlineStr">
        <is>
          <t>摘除：仅参股、通用能力映射、无直接证据，或只有研发送样且无商业化；小额真实收入与纯研发预期分开处理。</t>
        </is>
      </c>
    </row>
    <row r="24">
      <c r="B24" s="23" t="inlineStr">
        <is>
          <t>边界：硬件零部件留在机器人；具身本体、感知、数据、仿真、动作捕捉、智能控制、终端和通信模组归物理AI。</t>
        </is>
      </c>
    </row>
    <row r="25">
      <c r="B25" s="23" t="inlineStr">
        <is>
          <t>主营资料：iFinD ifind_get_stock_info（2026-10-27）；逐股证据名称、日期与URL见各明细表Source列。</t>
        </is>
      </c>
    </row>
  </sheetData>
  <mergeCells count="11">
    <mergeCell ref="B22:H22"/>
    <mergeCell ref="C16:G16"/>
    <mergeCell ref="C15:G15"/>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1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8" customWidth="1" min="4" max="4"/>
    <col width="12" customWidth="1" min="5" max="5"/>
    <col width="16" customWidth="1" min="6" max="6"/>
    <col width="42"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机器人与物理AI · 137只逐项复核</t>
        </is>
      </c>
    </row>
    <row r="3">
      <c r="B3" s="2" t="inlineStr">
        <is>
          <t>每只股票一行；保留双分类，详细说明产品关系、商业化阶段及核心/相关判词。</t>
        </is>
      </c>
    </row>
    <row r="4" ht="26" customHeight="1">
      <c r="B4" s="3" t="inlineStr">
        <is>
          <t>代码</t>
        </is>
      </c>
      <c r="C4" s="3" t="inlineStr">
        <is>
          <t>名称</t>
        </is>
      </c>
      <c r="D4" s="3" t="inlineStr">
        <is>
          <t>旧分类与概念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000559</t>
        </is>
      </c>
      <c r="C5" s="4" t="inlineStr">
        <is>
          <t>万向钱潮</t>
        </is>
      </c>
      <c r="D5" s="4" t="inlineStr">
        <is>
          <t>机器人：零部件</t>
        </is>
      </c>
      <c r="E5" s="4" t="inlineStr">
        <is>
          <t>纠错</t>
        </is>
      </c>
      <c r="F5" s="4" t="inlineStr">
        <is>
          <t>机器人</t>
        </is>
      </c>
      <c r="G5" s="4" t="inlineStr">
        <is>
          <t>丝杠、轴承、减速器</t>
        </is>
      </c>
      <c r="H5" s="4" t="inlineStr">
        <is>
          <t>相关</t>
        </is>
      </c>
      <c r="I5" s="4" t="inlineStr">
        <is>
          <t>主营仍为汽车底盘及传动零部件，但已将精密轴、轴承技术延伸至人形机器人行星滚柱丝杠、关节万向节和专用轴承；已具备10万套滚柱丝杠及1000万套关节万向节产能，减速器仍在研发，属于有产能和送样基础的新业务，故定相关并细化零部件标签。</t>
        </is>
      </c>
      <c r="J5" s="4" t="inlineStr">
        <is>
          <t>万向钱潮：2026年计划建成机器人专用轴承产能120万套</t>
        </is>
      </c>
      <c r="K5" s="4" t="inlineStr">
        <is>
          <t>2025-12-23</t>
        </is>
      </c>
      <c r="L5" s="4" t="inlineStr">
        <is>
          <t>iFinD ifind_get_stock_info (as of 2026-10-27)；万向钱潮：2026年计划建成机器人专用轴承产能120万套</t>
        </is>
      </c>
      <c r="M5" s="5" t="inlineStr">
        <is>
          <t>https://finance.sina.com.cn/stock/bxjj/2025-12-23/doc-inhcuqen0790186.shtml</t>
        </is>
      </c>
    </row>
    <row r="6" ht="24" customHeight="1">
      <c r="B6" s="6" t="inlineStr">
        <is>
          <t>000678</t>
        </is>
      </c>
      <c r="C6" s="6" t="inlineStr">
        <is>
          <t>襄阳轴承</t>
        </is>
      </c>
      <c r="D6" s="6" t="inlineStr">
        <is>
          <t>机器人：轴承</t>
        </is>
      </c>
      <c r="E6" s="6" t="inlineStr">
        <is>
          <t>纠错</t>
        </is>
      </c>
      <c r="F6" s="6" t="inlineStr">
        <is>
          <t>机器人</t>
        </is>
      </c>
      <c r="G6" s="6" t="inlineStr">
        <is>
          <t>轴承</t>
        </is>
      </c>
      <c r="H6" s="6" t="inlineStr">
        <is>
          <t>相关</t>
        </is>
      </c>
      <c r="I6" s="6" t="inlineStr">
        <is>
          <t>主营为汽车轴承、等速万向节和轮毂轴承单元，部分精密轴承已用于谐波及RV减速器并形成16.11万元实际收入。虽然金额很小且仍处市场拓展阶段，但已越过纯研发与送样阶段，按有真实销售可保留的口径判为相关，不升级为核心。</t>
        </is>
      </c>
      <c r="J6" s="6" t="inlineStr">
        <is>
          <t>襄阳轴承股票交易异常波动公告</t>
        </is>
      </c>
      <c r="K6" s="6" t="inlineStr">
        <is>
          <t>2026-10-23</t>
        </is>
      </c>
      <c r="L6" s="6" t="inlineStr">
        <is>
          <t>iFinD ifind_get_stock_info (as of 2026-10-27)；襄阳轴承股票交易异常波动公告</t>
        </is>
      </c>
      <c r="M6" s="7" t="inlineStr">
        <is>
          <t>https://www.cfi.net.cn/p20261023002762.html</t>
        </is>
      </c>
    </row>
    <row r="7" ht="24" customHeight="1">
      <c r="B7" s="4" t="inlineStr">
        <is>
          <t>000700</t>
        </is>
      </c>
      <c r="C7" s="4" t="inlineStr">
        <is>
          <t>模塑科技</t>
        </is>
      </c>
      <c r="D7" s="4" t="inlineStr">
        <is>
          <t>机器人：零部件</t>
        </is>
      </c>
      <c r="E7" s="4" t="inlineStr">
        <is>
          <t>纠错</t>
        </is>
      </c>
      <c r="F7" s="4" t="inlineStr">
        <is>
          <t>机器人</t>
        </is>
      </c>
      <c r="G7" s="4" t="inlineStr">
        <is>
          <t>结构件</t>
        </is>
      </c>
      <c r="H7" s="4" t="inlineStr">
        <is>
          <t>相关</t>
        </is>
      </c>
      <c r="I7" s="4" t="inlineStr">
        <is>
          <t>主营汽车保险杠等外饰件，公司将塑料外饰成型能力延伸至人形机器人头部、躯干等外覆盖件，产品直接构成机器人本体外部结构；已签订采购框架协议并取得小批量订单，越过纯研发阶段，但尚非主要收入来源，故定相关并改称结构件。</t>
        </is>
      </c>
      <c r="J7" s="4" t="inlineStr">
        <is>
          <t>模塑科技获4家机构调研：人形机器人外覆盖件获小批量订单</t>
        </is>
      </c>
      <c r="K7" s="4" t="inlineStr">
        <is>
          <t>2025-12-23</t>
        </is>
      </c>
      <c r="L7" s="4" t="inlineStr">
        <is>
          <t>iFinD ifind_get_stock_info (as of 2026-10-27)；模塑科技获4家机构调研：人形机器人外覆盖件获小批量订单</t>
        </is>
      </c>
      <c r="M7" s="5" t="inlineStr">
        <is>
          <t>https://finance.sina.com.cn/stock/aigc/jgdy/2025-12-23/doc-inhcuqen0803427.shtml</t>
        </is>
      </c>
    </row>
    <row r="8" ht="24" customHeight="1">
      <c r="B8" s="6" t="inlineStr">
        <is>
          <t>000810</t>
        </is>
      </c>
      <c r="C8" s="6" t="inlineStr">
        <is>
          <t>创维数字</t>
        </is>
      </c>
      <c r="D8" s="6" t="inlineStr">
        <is>
          <t>物理AI：物理AI_智能终端</t>
        </is>
      </c>
      <c r="E8" s="6" t="inlineStr">
        <is>
          <t>新增</t>
        </is>
      </c>
      <c r="F8" s="6" t="inlineStr">
        <is>
          <t>物理AI</t>
        </is>
      </c>
      <c r="G8" s="6" t="inlineStr">
        <is>
          <t>物理AI_智能终端、物理AI_数据采集</t>
        </is>
      </c>
      <c r="H8" s="6" t="inlineStr">
        <is>
          <t>相关</t>
        </is>
      </c>
      <c r="I8" s="6" t="inlineStr">
        <is>
          <t>机顶盒、XR、AI眼镜及网络摄像机属于已商业化智能终端；公司进一步推出EGO双目、六摄、九摄和腕部相机，利用空间定位、多摄像头协同及时间同步能力采集机器人训练所需第一视角数据，且相关产品已实现销售，因此保留终端并新增数据采集。</t>
        </is>
      </c>
      <c r="J8" s="6" t="inlineStr">
        <is>
          <t>创维数字：已推出具身智能数据采集相关产品并实现销售</t>
        </is>
      </c>
      <c r="K8" s="6" t="inlineStr">
        <is>
          <t>2026-10-23</t>
        </is>
      </c>
      <c r="L8" s="6" t="inlineStr">
        <is>
          <t>iFinD ifind_get_stock_info (as of 2026-10-27)；创维数字：已推出具身智能数据采集相关产品并实现销售</t>
        </is>
      </c>
      <c r="M8" s="7" t="inlineStr">
        <is>
          <t>https://finance.sina.com.cn/stock/relnews/dongmiqa/2026-10-23/doc-iniwfmnh8324070.shtml</t>
        </is>
      </c>
    </row>
    <row r="9" ht="24" customHeight="1">
      <c r="B9" s="4" t="inlineStr">
        <is>
          <t>000837</t>
        </is>
      </c>
      <c r="C9" s="4" t="inlineStr">
        <is>
          <t>秦川机床</t>
        </is>
      </c>
      <c r="D9" s="4" t="inlineStr">
        <is>
          <t>机器人：丝杠</t>
        </is>
      </c>
      <c r="E9" s="4" t="inlineStr">
        <is>
          <t>新增</t>
        </is>
      </c>
      <c r="F9" s="4" t="inlineStr">
        <is>
          <t>机器人</t>
        </is>
      </c>
      <c r="G9" s="4" t="inlineStr">
        <is>
          <t>丝杠、减速器</t>
        </is>
      </c>
      <c r="H9" s="4" t="inlineStr">
        <is>
          <t>相关</t>
        </is>
      </c>
      <c r="I9" s="4" t="inlineStr">
        <is>
          <t>主营精密数控机床、滚动功能部件和复杂刀具，BX系列产品直接用于工业机器人关节减速，滚珠丝杠及行星滚柱丝杠用于线性传动；关节减速器已形成系列化产品，丝杠具有小批量生产验证基础，属于机床主业之外的实际产品业务，故保留丝杠并新增减速器。</t>
        </is>
      </c>
      <c r="J9" s="4" t="inlineStr">
        <is>
          <t>秦川机器人关节减速器亮相CIIF2025上海工博会</t>
        </is>
      </c>
      <c r="K9" s="4" t="inlineStr">
        <is>
          <t>2025-09-24</t>
        </is>
      </c>
      <c r="L9" s="4" t="inlineStr">
        <is>
          <t>iFinD ifind_get_stock_info (as of 2026-10-27)；秦川机器人关节减速器亮相CIIF2025上海工博会</t>
        </is>
      </c>
      <c r="M9" s="5" t="inlineStr">
        <is>
          <t>https://www.qinchuan.com/show-28-1539-1.html</t>
        </is>
      </c>
    </row>
    <row r="10" ht="24" customHeight="1">
      <c r="B10" s="6" t="inlineStr">
        <is>
          <t>000887</t>
        </is>
      </c>
      <c r="C10" s="6" t="inlineStr">
        <is>
          <t>中鼎股份</t>
        </is>
      </c>
      <c r="D10" s="6" t="inlineStr">
        <is>
          <t>机器人：减速器</t>
        </is>
      </c>
      <c r="E10" s="6" t="inlineStr">
        <is>
          <t>保留</t>
        </is>
      </c>
      <c r="F10" s="6" t="inlineStr">
        <is>
          <t>机器人</t>
        </is>
      </c>
      <c r="G10" s="6" t="inlineStr">
        <is>
          <t>减速器</t>
        </is>
      </c>
      <c r="H10" s="6" t="inlineStr">
        <is>
          <t>相关</t>
        </is>
      </c>
      <c r="I10" s="6" t="inlineStr">
        <is>
          <t>主营汽车密封、减震、热管理及轻量化系统，机器人业务通过子公司提供谐波、行星减速器，直接用于人形机器人关节传动；已取得众擎、傅利叶及其他头部客户定点，截至2026年上半年订单约30万颗、年产能15万颗，商业化和订单证据明确，故定相关。</t>
        </is>
      </c>
      <c r="J10" s="6" t="inlineStr">
        <is>
          <t>中鼎股份投资者关系活动记录表</t>
        </is>
      </c>
      <c r="K10" s="6" t="inlineStr">
        <is>
          <t>2026-10-21</t>
        </is>
      </c>
      <c r="L10" s="6" t="inlineStr">
        <is>
          <t>iFinD ifind_get_stock_info (as of 2026-10-27)；中鼎股份投资者关系活动记录表</t>
        </is>
      </c>
      <c r="M10" s="7" t="inlineStr">
        <is>
          <t>http://static.cninfo.com.cn/finalpage/2026-10-21/1225614608.PDF</t>
        </is>
      </c>
    </row>
    <row r="11" ht="24" customHeight="1">
      <c r="B11" s="4" t="inlineStr">
        <is>
          <t>001306</t>
        </is>
      </c>
      <c r="C11" s="4" t="inlineStr">
        <is>
          <t>夏厦精密</t>
        </is>
      </c>
      <c r="D11" s="4" t="inlineStr">
        <is>
          <t>机器人：减速器</t>
        </is>
      </c>
      <c r="E11" s="4" t="inlineStr">
        <is>
          <t>纠错</t>
        </is>
      </c>
      <c r="F11" s="4" t="inlineStr">
        <is>
          <t>机器人</t>
        </is>
      </c>
      <c r="G11" s="4" t="inlineStr">
        <is>
          <t>减速器</t>
        </is>
      </c>
      <c r="H11" s="4" t="inlineStr">
        <is>
          <t>相关</t>
        </is>
      </c>
      <c r="I11" s="4" t="inlineStr">
        <is>
          <t>主营小模数齿轮、减速机及配件，相关产品可作为工业机器人关键传动部件，并已拓展云深处等机器人客户；但公司披露机器人领域在手及协议订单规模仍较小，汽车、电动工具齿轮仍是主要业务，因此保留减速器标签，但不按机器人核心主营定级。</t>
        </is>
      </c>
      <c r="J11" s="4" t="inlineStr">
        <is>
          <t>机器人“扎堆”上春晚，背后概念股抢先看</t>
        </is>
      </c>
      <c r="K11" s="4" t="inlineStr">
        <is>
          <t>2026-02-16</t>
        </is>
      </c>
      <c r="L11" s="4" t="inlineStr">
        <is>
          <t>iFinD ifind_get_stock_info (as of 2026-10-27)；机器人“扎堆”上春晚，背后概念股抢先看</t>
        </is>
      </c>
      <c r="M11" s="5" t="inlineStr">
        <is>
          <t>https://www.mrjjxw.com/articles/2026-02-16/4263911.html</t>
        </is>
      </c>
    </row>
    <row r="12" ht="24" customHeight="1">
      <c r="B12" s="6" t="inlineStr">
        <is>
          <t>001331</t>
        </is>
      </c>
      <c r="C12" s="6" t="inlineStr">
        <is>
          <t>胜通能源</t>
        </is>
      </c>
      <c r="D12" s="6" t="inlineStr">
        <is>
          <t>机器人：本体及应用；机器人：本体及应用</t>
        </is>
      </c>
      <c r="E12" s="6" t="inlineStr">
        <is>
          <t>摘除</t>
        </is>
      </c>
      <c r="F12" s="6" t="inlineStr">
        <is>
          <t>—</t>
        </is>
      </c>
      <c r="G12" s="6" t="inlineStr">
        <is>
          <t>—</t>
        </is>
      </c>
      <c r="H12" s="6" t="inlineStr">
        <is>
          <t>摘除</t>
        </is>
      </c>
      <c r="I12" s="6" t="inlineStr">
        <is>
          <t>上市主体现阶段仍从事LNG采购、运输、销售及运输服务，没有机器人本体或应用产品。七腾机器人通过协议转让和要约收购成为控股股东，仅代表控制权变化，不代表机器人资产或业务已经注入；公司亦明确提示不涉及机器人业务，故摘除并消除重复标签。</t>
        </is>
      </c>
      <c r="J12" s="6" t="inlineStr">
        <is>
          <t>8连板胜通能源：不涉及机器人相关业务</t>
        </is>
      </c>
      <c r="K12" s="6" t="inlineStr">
        <is>
          <t>2025-12-23</t>
        </is>
      </c>
      <c r="L12" s="6" t="inlineStr">
        <is>
          <t>iFinD ifind_get_stock_info (as of 2026-10-27)；8连板胜通能源：不涉及机器人相关业务</t>
        </is>
      </c>
      <c r="M12" s="7" t="inlineStr">
        <is>
          <t>https://www.jwview.com/jingwei/html/m/12-23/650789.shtml</t>
        </is>
      </c>
    </row>
    <row r="13" ht="24" customHeight="1">
      <c r="B13" s="4" t="inlineStr">
        <is>
          <t>002009</t>
        </is>
      </c>
      <c r="C13" s="4" t="inlineStr">
        <is>
          <t>天奇股份</t>
        </is>
      </c>
      <c r="D13" s="4" t="inlineStr">
        <is>
          <t>机器人：本体及应用；物理AI：物理AI_数据采集</t>
        </is>
      </c>
      <c r="E13" s="4" t="inlineStr">
        <is>
          <t>保留</t>
        </is>
      </c>
      <c r="F13" s="4" t="inlineStr">
        <is>
          <t>机器人、物理AI</t>
        </is>
      </c>
      <c r="G13" s="4" t="inlineStr">
        <is>
          <t>本体及应用；物理AI_数据采集</t>
        </is>
      </c>
      <c r="H13" s="4" t="inlineStr">
        <is>
          <t>相关</t>
        </is>
      </c>
      <c r="I13" s="4" t="inlineStr">
        <is>
          <t>智能自动化装备及机器人用于汽车制造等工业场景，构成机器人应用业务；具身智能板块建设工业数据采集与实训中心，采集多模态真机数据并开展模型训练，中心已正式投入运行。装备交付和训练数据服务均有实际项目支撑，故保留双分类并定相关。</t>
        </is>
      </c>
      <c r="J13" s="4" t="inlineStr">
        <is>
          <t>天奇自动化工程股份有限公司2025年年度报告摘要</t>
        </is>
      </c>
      <c r="K13" s="4" t="inlineStr">
        <is>
          <t>2026-04-28</t>
        </is>
      </c>
      <c r="L13" s="4" t="inlineStr">
        <is>
          <t>iFinD ifind_get_stock_info (as of 2026-10-27)；天奇自动化工程股份有限公司2025年年度报告摘要</t>
        </is>
      </c>
      <c r="M13" s="5" t="inlineStr">
        <is>
          <t>https://static.cninfo.com.cn/finalpage/2026-04-28/1225218333.PDF</t>
        </is>
      </c>
    </row>
    <row r="14" ht="24" customHeight="1">
      <c r="B14" s="6" t="inlineStr">
        <is>
          <t>002031</t>
        </is>
      </c>
      <c r="C14" s="6" t="inlineStr">
        <is>
          <t>巨轮智能</t>
        </is>
      </c>
      <c r="D14" s="6" t="inlineStr">
        <is>
          <t>机器人：减速器</t>
        </is>
      </c>
      <c r="E14" s="6" t="inlineStr">
        <is>
          <t>新增</t>
        </is>
      </c>
      <c r="F14" s="6" t="inlineStr">
        <is>
          <t>机器人</t>
        </is>
      </c>
      <c r="G14" s="6" t="inlineStr">
        <is>
          <t>减速器、本体及应用</t>
        </is>
      </c>
      <c r="H14" s="6" t="inlineStr">
        <is>
          <t>相关</t>
        </is>
      </c>
      <c r="I14" s="6" t="inlineStr">
        <is>
          <t>主营轮胎模具、液压式硫化机及工业机器人与智能装备，RV减速器直接用于工业机器人关节；2025年RV减速器销售收入837.03万元、占营收1%，虽占比较小但已形成真实销售，并非单纯研发预期，因此定相关，并在减速器之外补充本体及应用。</t>
        </is>
      </c>
      <c r="J14" s="6" t="inlineStr">
        <is>
          <t>巨轮智能装备股份有限公司股票交易异常波动公告</t>
        </is>
      </c>
      <c r="K14" s="6" t="inlineStr">
        <is>
          <t>2026-05-11</t>
        </is>
      </c>
      <c r="L14" s="6" t="inlineStr">
        <is>
          <t>iFinD ifind_get_stock_info (as of 2026-10-27)；巨轮智能装备股份有限公司股票交易异常波动公告</t>
        </is>
      </c>
      <c r="M14" s="7" t="inlineStr">
        <is>
          <t>https://disc.static.szse.cn/download/disc/disk03/finalpage/2026-05-11/e39dccaf-bf1a-4f56-8459-00346cde53c7.PDF</t>
        </is>
      </c>
    </row>
    <row r="15" ht="24" customHeight="1">
      <c r="B15" s="4" t="inlineStr">
        <is>
          <t>002046</t>
        </is>
      </c>
      <c r="C15" s="4" t="inlineStr">
        <is>
          <t>国机精工</t>
        </is>
      </c>
      <c r="D15" s="4" t="inlineStr">
        <is>
          <t>机器人：丝杠设备</t>
        </is>
      </c>
      <c r="E15" s="4" t="inlineStr">
        <is>
          <t>纠错</t>
        </is>
      </c>
      <c r="F15" s="4" t="inlineStr">
        <is>
          <t>机器人</t>
        </is>
      </c>
      <c r="G15" s="4" t="inlineStr">
        <is>
          <t>轴承</t>
        </is>
      </c>
      <c r="H15" s="4" t="inlineStr">
        <is>
          <t>相关</t>
        </is>
      </c>
      <c r="I15" s="4" t="inlineStr">
        <is>
          <t>主营特种及精密轴承、超硬材料和高端装备，公司明确不具备滚柱丝杠生产能力，旧丝杠设备标签不准确；实际机器人产品包括RV减速器薄壁轴承、谐波减速器柔性轴承及交叉滚子轴承，2025年已实现小批量生产，故纠错为机器人轴承并定相关。</t>
        </is>
      </c>
      <c r="J15" s="4" t="inlineStr">
        <is>
          <t>国机精工：2025年营业收入30.19亿元，机器人轴承实现小批量生产</t>
        </is>
      </c>
      <c r="K15" s="4" t="inlineStr">
        <is>
          <t>2026-04-13</t>
        </is>
      </c>
      <c r="L15" s="4" t="inlineStr">
        <is>
          <t>iFinD ifind_get_stock_info (as of 2026-10-27)；国机精工：2025年营业收入30.19亿元，机器人轴承实现小批量生产</t>
        </is>
      </c>
      <c r="M15" s="5" t="inlineStr">
        <is>
          <t>https://static.weeklyonstock.com/26/0413/AB2618495176185.html</t>
        </is>
      </c>
    </row>
    <row r="16" ht="24" customHeight="1">
      <c r="B16" s="6" t="inlineStr">
        <is>
          <t>002050</t>
        </is>
      </c>
      <c r="C16" s="6" t="inlineStr">
        <is>
          <t>三花智控</t>
        </is>
      </c>
      <c r="D16" s="6" t="inlineStr">
        <is>
          <t>机器人：总成</t>
        </is>
      </c>
      <c r="E16" s="6" t="inlineStr">
        <is>
          <t>保留</t>
        </is>
      </c>
      <c r="F16" s="6" t="inlineStr">
        <is>
          <t>机器人</t>
        </is>
      </c>
      <c r="G16" s="6" t="inlineStr">
        <is>
          <t>总成</t>
        </is>
      </c>
      <c r="H16" s="6" t="inlineStr">
        <is>
          <t>相关</t>
        </is>
      </c>
      <c r="I16" s="6" t="inlineStr">
        <is>
          <t>主营制冷空调控制部件和新能源汽车热管理，机器人业务为仿生机器人机电执行器，将驱动、传动等部件集成为关节执行总成；2026年上半年核心产品已推进批量交付和产线爬坡。其本质是机器人硬件执行环节，不属于感知或训练类物理AI，故保留机器人总成。</t>
        </is>
      </c>
      <c r="J16" s="6" t="inlineStr">
        <is>
          <t>三花智控2026年半年度报告</t>
        </is>
      </c>
      <c r="K16" s="6" t="inlineStr">
        <is>
          <t>2026-08-27</t>
        </is>
      </c>
      <c r="L16" s="6" t="inlineStr">
        <is>
          <t>iFinD ifind_get_stock_info (as of 2026-10-27)；三花智控2026年半年度报告</t>
        </is>
      </c>
      <c r="M16" s="7" t="inlineStr">
        <is>
          <t>https://money.finance.sina.com.cn/corp/view/vCB_AllBulletinDetail.php?stockid=002050&amp;id=12550185</t>
        </is>
      </c>
    </row>
    <row r="17" ht="24" customHeight="1">
      <c r="B17" s="4" t="inlineStr">
        <is>
          <t>002079</t>
        </is>
      </c>
      <c r="C17" s="4" t="inlineStr">
        <is>
          <t>苏州固锝</t>
        </is>
      </c>
      <c r="D17" s="4" t="inlineStr">
        <is>
          <t>机器人：传感器</t>
        </is>
      </c>
      <c r="E17" s="4" t="inlineStr">
        <is>
          <t>摘除</t>
        </is>
      </c>
      <c r="F17" s="4" t="inlineStr">
        <is>
          <t>—</t>
        </is>
      </c>
      <c r="G17" s="4" t="inlineStr">
        <is>
          <t>—</t>
        </is>
      </c>
      <c r="H17" s="4" t="inlineStr">
        <is>
          <t>摘除</t>
        </is>
      </c>
      <c r="I17" s="4" t="inlineStr">
        <is>
          <t>上市主体主营二极管、功率半导体器件及集成电路封测，机器人口径主要是功率器件的通用下游应用；MEMS感知产品主要来自参股明皜传感，上市公司传感器封装能力不能直接等同机器人专用传感器产品，按少量参股和上游间接映射口径摘除。</t>
        </is>
      </c>
      <c r="J17" s="4" t="inlineStr">
        <is>
          <t>苏州固锝电子股份有限公司投资者关系活动记录表</t>
        </is>
      </c>
      <c r="K17" s="4" t="inlineStr">
        <is>
          <t>2026-05-08</t>
        </is>
      </c>
      <c r="L17" s="4" t="inlineStr">
        <is>
          <t>iFinD ifind_get_stock_info (as of 2026-10-27)；苏州固锝电子股份有限公司投资者关系活动记录表</t>
        </is>
      </c>
      <c r="M17" s="5" t="inlineStr">
        <is>
          <t>https://pdf.dfcfw.com/pdf/H2_AN202605081822074722_1.pdf</t>
        </is>
      </c>
    </row>
    <row r="18" ht="24" customHeight="1">
      <c r="B18" s="6" t="inlineStr">
        <is>
          <t>002126</t>
        </is>
      </c>
      <c r="C18" s="6" t="inlineStr">
        <is>
          <t>银轮股份</t>
        </is>
      </c>
      <c r="D18" s="6" t="inlineStr">
        <is>
          <t>机器人：其他</t>
        </is>
      </c>
      <c r="E18" s="6" t="inlineStr">
        <is>
          <t>纠错</t>
        </is>
      </c>
      <c r="F18" s="6" t="inlineStr">
        <is>
          <t>机器人</t>
        </is>
      </c>
      <c r="G18" s="6" t="inlineStr">
        <is>
          <t>总成</t>
        </is>
      </c>
      <c r="H18" s="6" t="inlineStr">
        <is>
          <t>相关</t>
        </is>
      </c>
      <c r="I18" s="6" t="inlineStr">
        <is>
          <t>主营汽车、工程机械及数字能源热管理，机器人业务已延伸至旋转关节、线性关节、灵巧手和热管理模组，多个品类获得客户定点；2026年上半年关节电机、关节模组和大小脑热管理产品实现小批量生产，已有明确产品与客户，故将笼统的其他纠错为总成。</t>
        </is>
      </c>
      <c r="J18" s="6" t="inlineStr">
        <is>
          <t>银轮股份2026年半年报点评：具身智能多品类实现小批量生产</t>
        </is>
      </c>
      <c r="K18" s="6" t="inlineStr">
        <is>
          <t>2026-08-28</t>
        </is>
      </c>
      <c r="L18" s="6" t="inlineStr">
        <is>
          <t>iFinD ifind_get_stock_info (as of 2026-10-27)；银轮股份2026年半年报点评：具身智能多品类实现小批量生产</t>
        </is>
      </c>
      <c r="M18" s="7" t="inlineStr">
        <is>
          <t>https://news.futunn.com/post/78459582/yinlun-co-ltd-002126-2026-semi-annual-report-commentary-strengthening</t>
        </is>
      </c>
    </row>
    <row r="19" ht="24" customHeight="1">
      <c r="B19" s="4" t="inlineStr">
        <is>
          <t>002139</t>
        </is>
      </c>
      <c r="C19" s="4" t="inlineStr">
        <is>
          <t>拓邦股份</t>
        </is>
      </c>
      <c r="D19" s="4" t="inlineStr">
        <is>
          <t>机器人：电机</t>
        </is>
      </c>
      <c r="E19" s="4" t="inlineStr">
        <is>
          <t>迁移</t>
        </is>
      </c>
      <c r="F19" s="4" t="inlineStr">
        <is>
          <t>机器人、物理AI</t>
        </is>
      </c>
      <c r="G19" s="4" t="inlineStr">
        <is>
          <t>电机；物理AI_智能控制</t>
        </is>
      </c>
      <c r="H19" s="4" t="inlineStr">
        <is>
          <t>相关</t>
        </is>
      </c>
      <c r="I19" s="4" t="inlineStr">
        <is>
          <t>智能控制器是核心主业，机器人方向已形成伺服驱动、电机和运动控制平台；空心杯电机及灵驱微擎用于灵巧手执行，并与国内头部客户形成量产订单意向。电机属于机器人硬件，驱动与运动控制直接承担动作决策执行，故保留电机并迁移新增物理AI智能控制。</t>
        </is>
      </c>
      <c r="J19" s="4" t="inlineStr">
        <is>
          <t>深圳拓邦股份有限公司投资者关系活动记录：空心杯电机及灵驱微擎量产订单意向</t>
        </is>
      </c>
      <c r="K19" s="4" t="inlineStr">
        <is>
          <t>2026-04-13</t>
        </is>
      </c>
      <c r="L19" s="4" t="inlineStr">
        <is>
          <t>iFinD ifind_get_stock_info (as of 2026-10-27)；深圳拓邦股份有限公司投资者关系活动记录：空心杯电机及灵驱微擎量产订单意向</t>
        </is>
      </c>
      <c r="M19" s="5" t="inlineStr">
        <is>
          <t>http://file.finance.sina.com.cn/cn/diaoyan/jgdy/2026/2026-04/2026-04-13/10177134_1.PDF</t>
        </is>
      </c>
    </row>
    <row r="20" ht="24" customHeight="1">
      <c r="B20" s="6" t="inlineStr">
        <is>
          <t>002164</t>
        </is>
      </c>
      <c r="C20" s="6" t="inlineStr">
        <is>
          <t>宁波东力</t>
        </is>
      </c>
      <c r="D20" s="6" t="inlineStr">
        <is>
          <t>机器人：减速器</t>
        </is>
      </c>
      <c r="E20" s="6" t="inlineStr">
        <is>
          <t>纠错</t>
        </is>
      </c>
      <c r="F20" s="6" t="inlineStr">
        <is>
          <t>机器人</t>
        </is>
      </c>
      <c r="G20" s="6" t="inlineStr">
        <is>
          <t>减速器</t>
        </is>
      </c>
      <c r="H20" s="6" t="inlineStr">
        <is>
          <t>相关</t>
        </is>
      </c>
      <c r="I20" s="6" t="inlineStr">
        <is>
          <t>主营工业通用及重载齿轮箱、电机和门控系统，机器人产品为谐波减速器、精密行星减速器及关节模组，直接用于关节传动；2026年上半年已完成批量试样和供货并初步形成收入，但传统传动设备仍是主体，新产能仍在建设，故保留减速器并定相关。</t>
        </is>
      </c>
      <c r="J20" s="6" t="inlineStr">
        <is>
          <t>宁波东力拟定增10亿元加码精密减速器</t>
        </is>
      </c>
      <c r="K20" s="6" t="inlineStr">
        <is>
          <t>2026-08-28</t>
        </is>
      </c>
      <c r="L20" s="6" t="inlineStr">
        <is>
          <t>iFinD ifind_get_stock_info (as of 2026-10-27)；宁波东力拟定增10亿元加码精密减速器</t>
        </is>
      </c>
      <c r="M20" s="7" t="inlineStr">
        <is>
          <t>https://www.sohu.com/a/1068901550_115124</t>
        </is>
      </c>
    </row>
    <row r="21" ht="24" customHeight="1">
      <c r="B21" s="4" t="inlineStr">
        <is>
          <t>002249</t>
        </is>
      </c>
      <c r="C21" s="4" t="inlineStr">
        <is>
          <t>大洋电机</t>
        </is>
      </c>
      <c r="D21" s="4" t="inlineStr">
        <is>
          <t>机器人：电机</t>
        </is>
      </c>
      <c r="E21" s="4" t="inlineStr">
        <is>
          <t>摘除</t>
        </is>
      </c>
      <c r="F21" s="4" t="inlineStr">
        <is>
          <t>—</t>
        </is>
      </c>
      <c r="G21" s="4" t="inlineStr">
        <is>
          <t>—</t>
        </is>
      </c>
      <c r="H21" s="4" t="inlineStr">
        <is>
          <t>摘除</t>
        </is>
      </c>
      <c r="I21" s="4" t="inlineStr">
        <is>
          <t>主营建筑家居电机、汽车起动机及新能源车辆动力总成，通用电机业务不能直接视作机器人产品；人形机器人项目主要完成关节模组方案设计和研发测试，公司2026年10月仍明确相关业务尚未形成营业收入、短期不影响业绩，按研发预期和未商业化口径摘除。</t>
        </is>
      </c>
      <c r="J21" s="4" t="inlineStr">
        <is>
          <t>大洋电机：具身智能机器人关节模组业务处于研发/测试阶段，尚未形成营业收入</t>
        </is>
      </c>
      <c r="K21" s="4" t="inlineStr">
        <is>
          <t>2026-10-23</t>
        </is>
      </c>
      <c r="L21" s="4" t="inlineStr">
        <is>
          <t>iFinD ifind_get_stock_info (as of 2026-10-27)；大洋电机：具身智能机器人关节模组业务处于研发/测试阶段，尚未形成营业收入</t>
        </is>
      </c>
      <c r="M21" s="5" t="inlineStr">
        <is>
          <t>https://www.cls.cn/detail/2513855</t>
        </is>
      </c>
    </row>
    <row r="22" ht="24" customHeight="1">
      <c r="B22" s="6" t="inlineStr">
        <is>
          <t>002347</t>
        </is>
      </c>
      <c r="C22" s="6" t="inlineStr">
        <is>
          <t>泰尔股份</t>
        </is>
      </c>
      <c r="D22" s="6" t="inlineStr">
        <is>
          <t>机器人：本体及应用</t>
        </is>
      </c>
      <c r="E22" s="6" t="inlineStr">
        <is>
          <t>纠错</t>
        </is>
      </c>
      <c r="F22" s="6" t="inlineStr">
        <is>
          <t>机器人</t>
        </is>
      </c>
      <c r="G22" s="6" t="inlineStr">
        <is>
          <t>本体及应用</t>
        </is>
      </c>
      <c r="H22" s="6" t="inlineStr">
        <is>
          <t>相关</t>
        </is>
      </c>
      <c r="I22" s="6" t="inlineStr">
        <is>
          <t>主营冶金装备、核心备件和智慧运维，机器人产品包括包装、焊挂牌、取样贴标及拆带机器人，直接服务于冶金生产现场自动化；2026年上半年相关业务收入2172.52万元、占营收3.82%，已有实际销售但占比较低，因此保留本体及应用并定相关。</t>
        </is>
      </c>
      <c r="J22" s="6" t="inlineStr">
        <is>
          <t>泰尔股份股票交易异常波动公告</t>
        </is>
      </c>
      <c r="K22" s="6" t="inlineStr">
        <is>
          <t>2026-10-22</t>
        </is>
      </c>
      <c r="L22" s="6" t="inlineStr">
        <is>
          <t>iFinD ifind_get_stock_info (as of 2026-10-27)；泰尔股份股票交易异常波动公告</t>
        </is>
      </c>
      <c r="M22" s="7" t="inlineStr">
        <is>
          <t>https://stock.stockstar.com/notice/SN2026102200000539.shtml</t>
        </is>
      </c>
    </row>
    <row r="23" ht="24" customHeight="1">
      <c r="B23" s="4" t="inlineStr">
        <is>
          <t>002354</t>
        </is>
      </c>
      <c r="C23" s="4" t="inlineStr">
        <is>
          <t>天娱数科</t>
        </is>
      </c>
      <c r="D23" s="4" t="inlineStr">
        <is>
          <t>物理AI：物理AI_数据采集</t>
        </is>
      </c>
      <c r="E23" s="4" t="inlineStr">
        <is>
          <t>保留</t>
        </is>
      </c>
      <c r="F23" s="4" t="inlineStr">
        <is>
          <t>物理AI</t>
        </is>
      </c>
      <c r="G23" s="4" t="inlineStr">
        <is>
          <t>物理AI_数据采集</t>
        </is>
      </c>
      <c r="H23" s="4" t="inlineStr">
        <is>
          <t>相关</t>
        </is>
      </c>
      <c r="I23" s="4" t="inlineStr">
        <is>
          <t>主营仍包括AI营销和应用分发，物理AI业务由Behavision平台承载，通过真实机器人操作与Isaac Sim仿真生成、优化3D及多模态具身数据，用于模型训练和测试；已形成机器人任务数据并完成多项数据资产登记，属于训练数据服务而非一般营销数据，故保留。</t>
        </is>
      </c>
      <c r="J23" s="4" t="inlineStr">
        <is>
          <t>天娱数科2025年年度报告</t>
        </is>
      </c>
      <c r="K23" s="4" t="inlineStr">
        <is>
          <t>2026-04-21</t>
        </is>
      </c>
      <c r="L23" s="4" t="inlineStr">
        <is>
          <t>iFinD ifind_get_stock_info (as of 2026-10-27)；天娱数科2025年年度报告</t>
        </is>
      </c>
      <c r="M23" s="5" t="inlineStr">
        <is>
          <t>https://money.finance.sina.com.cn/corp/view/vCB_AllBulletinDetail.php?stockid=002354&amp;id=12121578</t>
        </is>
      </c>
    </row>
    <row r="24" ht="24" customHeight="1">
      <c r="B24" s="6" t="inlineStr">
        <is>
          <t>002380</t>
        </is>
      </c>
      <c r="C24" s="6" t="inlineStr">
        <is>
          <t>科远智慧</t>
        </is>
      </c>
      <c r="D24" s="6" t="inlineStr">
        <is>
          <t>物理AI：物理AI_数据采集</t>
        </is>
      </c>
      <c r="E24" s="6" t="inlineStr">
        <is>
          <t>纠错</t>
        </is>
      </c>
      <c r="F24" s="6" t="inlineStr">
        <is>
          <t>物理AI</t>
        </is>
      </c>
      <c r="G24" s="6" t="inlineStr">
        <is>
          <t>物理AI_智能控制</t>
        </is>
      </c>
      <c r="H24" s="6" t="inlineStr">
        <is>
          <t>相关</t>
        </is>
      </c>
      <c r="I24" s="6" t="inlineStr">
        <is>
          <t>主营工业自动化、工业互联网和工业软件，NT6000 DCS及PLC承担现场数据采集和指令执行；公司进一步开发具身智能驱控一体化平台，以云边端协同进行分析决策并联动现场装备。与一般工业数据采集相比，智能驱控更能准确体现其物理AI直接关系，故纠错。</t>
        </is>
      </c>
      <c r="J24" s="6" t="inlineStr">
        <is>
          <t>南京科远智慧科技集团股份有限公司2025年年度报告</t>
        </is>
      </c>
      <c r="K24" s="6" t="inlineStr">
        <is>
          <t>2026-04-15</t>
        </is>
      </c>
      <c r="L24" s="6" t="inlineStr">
        <is>
          <t>iFinD ifind_get_stock_info (as of 2026-10-27)；南京科远智慧科技集团股份有限公司2025年年度报告</t>
        </is>
      </c>
      <c r="M24" s="7" t="inlineStr">
        <is>
          <t>https://static.cninfo.com.cn/finalpage/2026-04-15/1225103023.PDF</t>
        </is>
      </c>
    </row>
    <row r="25" ht="24" customHeight="1">
      <c r="B25" s="4" t="inlineStr">
        <is>
          <t>002403</t>
        </is>
      </c>
      <c r="C25" s="4" t="inlineStr">
        <is>
          <t>爱仕达</t>
        </is>
      </c>
      <c r="D25" s="4" t="inlineStr">
        <is>
          <t>机器人：本体及应用</t>
        </is>
      </c>
      <c r="E25" s="4" t="inlineStr">
        <is>
          <t>保留</t>
        </is>
      </c>
      <c r="F25" s="4" t="inlineStr">
        <is>
          <t>机器人</t>
        </is>
      </c>
      <c r="G25" s="4" t="inlineStr">
        <is>
          <t>本体及应用</t>
        </is>
      </c>
      <c r="H25" s="4" t="inlineStr">
        <is>
          <t>相关</t>
        </is>
      </c>
      <c r="I25" s="4" t="inlineStr">
        <is>
          <t>主营炊具和小家电，控股子公司钱江机器人生产焊接、切割、搬运码垛等工业机器人本体及解决方案；鸿路钢构框架协议期内实际采购920台，证明已有持续交付。机器人仍为一个业务板块，具身智能合作收入尚小，因此保留机器人本体及应用并定相关。</t>
        </is>
      </c>
      <c r="J25" s="4" t="inlineStr">
        <is>
          <t>爱仕达：关于控股子公司签署设备采购框架合作协议的进展公告</t>
        </is>
      </c>
      <c r="K25" s="4" t="inlineStr">
        <is>
          <t>2026-09-03</t>
        </is>
      </c>
      <c r="L25" s="4" t="inlineStr">
        <is>
          <t>iFinD ifind_get_stock_info (as of 2026-10-27)；爱仕达：关于控股子公司签署设备采购框架合作协议的进展公告</t>
        </is>
      </c>
      <c r="M25" s="5" t="inlineStr">
        <is>
          <t>https://money.finance.sina.com.cn/corp/view/vCB_AllBulletinDetail.php?stockid=002403&amp;id=12580391</t>
        </is>
      </c>
    </row>
    <row r="26" ht="24" customHeight="1">
      <c r="B26" s="6" t="inlineStr">
        <is>
          <t>002472</t>
        </is>
      </c>
      <c r="C26" s="6" t="inlineStr">
        <is>
          <t>双环传动</t>
        </is>
      </c>
      <c r="D26" s="6" t="inlineStr">
        <is>
          <t>机器人：减速器</t>
        </is>
      </c>
      <c r="E26" s="6" t="inlineStr">
        <is>
          <t>纠错</t>
        </is>
      </c>
      <c r="F26" s="6" t="inlineStr">
        <is>
          <t>机器人</t>
        </is>
      </c>
      <c r="G26" s="6" t="inlineStr">
        <is>
          <t>减速器</t>
        </is>
      </c>
      <c r="H26" s="6" t="inlineStr">
        <is>
          <t>相关</t>
        </is>
      </c>
      <c r="I26" s="6" t="inlineStr">
        <is>
          <t>上市公司主营机械传动齿轮，控股子公司环动科技专门研发、生产和销售工业及协作机器人关节高精密RV减速器；环动科技2025年营收4.38亿元、产能利用率较高，业务真实且已规模化，但相对上市公司汽车齿轮基本盘仍属一个业务板块，故保留并定相关。</t>
        </is>
      </c>
      <c r="J26" s="6" t="inlineStr">
        <is>
          <t>环动科技科创板IPO终止，2025年营收4.38亿元</t>
        </is>
      </c>
      <c r="K26" s="6" t="inlineStr">
        <is>
          <t>2026-09-23</t>
        </is>
      </c>
      <c r="L26" s="6" t="inlineStr">
        <is>
          <t>iFinD ifind_get_stock_info (as of 2026-10-27)；环动科技科创板IPO终止，2025年营收4.38亿元</t>
        </is>
      </c>
      <c r="M26" s="7" t="inlineStr">
        <is>
          <t>https://www.sohu.com/a/1079794494_122029351</t>
        </is>
      </c>
    </row>
    <row r="27" ht="24" customHeight="1">
      <c r="B27" s="4" t="inlineStr">
        <is>
          <t>002520</t>
        </is>
      </c>
      <c r="C27" s="4" t="inlineStr">
        <is>
          <t>日发精机</t>
        </is>
      </c>
      <c r="D27" s="4" t="inlineStr">
        <is>
          <t>机器人：丝杠设备</t>
        </is>
      </c>
      <c r="E27" s="4" t="inlineStr">
        <is>
          <t>纠错</t>
        </is>
      </c>
      <c r="F27" s="4" t="inlineStr">
        <is>
          <t>机器人</t>
        </is>
      </c>
      <c r="G27" s="4" t="inlineStr">
        <is>
          <t>丝杠设备</t>
        </is>
      </c>
      <c r="H27" s="4" t="inlineStr">
        <is>
          <t>相关</t>
        </is>
      </c>
      <c r="I27" s="4" t="inlineStr">
        <is>
          <t>主营数字化智能机床、柔性产线及航空航天智能装备，SK76系列数控内螺纹磨床等用于行星滚柱丝杠副精密加工，直接对应机器人传动零件制造装备；首台丝杠加工设备已于2025年8月交付，具有实际交付证据，但机器人相关装备仍属机床业务一角，故定相关。</t>
        </is>
      </c>
      <c r="J27" s="4" t="inlineStr">
        <is>
          <t>日发精机2025年年度报告</t>
        </is>
      </c>
      <c r="K27" s="4" t="inlineStr">
        <is>
          <t>2026-04-29</t>
        </is>
      </c>
      <c r="L27" s="4" t="inlineStr">
        <is>
          <t>iFinD ifind_get_stock_info (as of 2026-10-27)；日发精机2025年年度报告</t>
        </is>
      </c>
      <c r="M27" s="5" t="inlineStr">
        <is>
          <t>https://money.finance.sina.com.cn/corp/view/vCB_AllBulletinDetail.php?stockid=002520&amp;id=12265476</t>
        </is>
      </c>
    </row>
    <row r="28" ht="24" customHeight="1">
      <c r="B28" s="6" t="inlineStr">
        <is>
          <t>002527</t>
        </is>
      </c>
      <c r="C28" s="6" t="inlineStr">
        <is>
          <t>新时达</t>
        </is>
      </c>
      <c r="D28" s="6" t="inlineStr">
        <is>
          <t>机器人：本体及应用</t>
        </is>
      </c>
      <c r="E28" s="6" t="inlineStr">
        <is>
          <t>迁移</t>
        </is>
      </c>
      <c r="F28" s="6" t="inlineStr">
        <is>
          <t>机器人、物理AI</t>
        </is>
      </c>
      <c r="G28" s="6" t="inlineStr">
        <is>
          <t>本体及应用；物理AI_具身本体</t>
        </is>
      </c>
      <c r="H28" s="6" t="inlineStr">
        <is>
          <t>相关</t>
        </is>
      </c>
      <c r="I28" s="6" t="inlineStr">
        <is>
          <t>2025年机器人产品及系统收入8.495亿元、占24.03%，2026年上半年占24.31%，传统机器人业务仍有实质收入。SYNDA R1已具备自主导航、多模态感知，并能协同环境感知、任务决策与高精度运控，符合具身智能特征；但具身产品尚非收入主体，故保留传统机器人标签并新增物理AI具身本体，判相关。</t>
        </is>
      </c>
      <c r="J28" s="6" t="inlineStr">
        <is>
          <t>新时达：2026年半年度报告</t>
        </is>
      </c>
      <c r="K28" s="6" t="inlineStr">
        <is>
          <t>2026-08-28</t>
        </is>
      </c>
      <c r="L28" s="6" t="inlineStr">
        <is>
          <t>iFinD ifind_get_stock_info (as of 2026-10-27)；新时达：2026年半年度报告</t>
        </is>
      </c>
      <c r="M28" s="7" t="inlineStr">
        <is>
          <t>https://money.finance.sina.com.cn/corp/view/vCB_AllBulletinDetail.php?stockid=002527&amp;id=12558223</t>
        </is>
      </c>
    </row>
    <row r="29" ht="24" customHeight="1">
      <c r="B29" s="4" t="inlineStr">
        <is>
          <t>002553</t>
        </is>
      </c>
      <c r="C29" s="4" t="inlineStr">
        <is>
          <t>南方精工</t>
        </is>
      </c>
      <c r="D29" s="4" t="inlineStr">
        <is>
          <t>机器人：轴承</t>
        </is>
      </c>
      <c r="E29" s="4" t="inlineStr">
        <is>
          <t>保留</t>
        </is>
      </c>
      <c r="F29" s="4" t="inlineStr">
        <is>
          <t>机器人</t>
        </is>
      </c>
      <c r="G29" s="4" t="inlineStr">
        <is>
          <t>轴承</t>
        </is>
      </c>
      <c r="H29" s="4" t="inlineStr">
        <is>
          <t>相关</t>
        </is>
      </c>
      <c r="I29" s="4" t="inlineStr">
        <is>
          <t>公司精密轴承已实际用于工业机器人，2025年该领域收入2319.23万元、占营业收入2.71%，同比增长77%，产品、应用环节及销售均可核验。机器人轴承已经商业化而非停留在研发阶段，但收入占比较低、尚未构成主业，因此保留机器人轴承并判相关。</t>
        </is>
      </c>
      <c r="J29" s="4" t="inlineStr">
        <is>
          <t>南方精工：2025年年度报告</t>
        </is>
      </c>
      <c r="K29" s="4" t="inlineStr">
        <is>
          <t>2026-04-15</t>
        </is>
      </c>
      <c r="L29" s="4" t="inlineStr">
        <is>
          <t>iFinD ifind_get_stock_info (as of 2026-10-27)；南方精工：2025年年度报告</t>
        </is>
      </c>
      <c r="M29" s="5" t="inlineStr">
        <is>
          <t>https://money.finance.sina.com.cn/corp/view/vCB_AllBulletinDetail.php?stockid=002553&amp;id=12089145</t>
        </is>
      </c>
    </row>
    <row r="30" ht="24" customHeight="1">
      <c r="B30" s="6" t="inlineStr">
        <is>
          <t>002681</t>
        </is>
      </c>
      <c r="C30" s="6" t="inlineStr">
        <is>
          <t>奋达科技</t>
        </is>
      </c>
      <c r="D30" s="6" t="inlineStr">
        <is>
          <t>机器人：本体及应用</t>
        </is>
      </c>
      <c r="E30" s="6" t="inlineStr">
        <is>
          <t>迁移</t>
        </is>
      </c>
      <c r="F30" s="6" t="inlineStr">
        <is>
          <t>物理AI</t>
        </is>
      </c>
      <c r="G30" s="6" t="inlineStr">
        <is>
          <t>物理AI_智能终端</t>
        </is>
      </c>
      <c r="H30" s="6" t="inlineStr">
        <is>
          <t>相关</t>
        </is>
      </c>
      <c r="I30" s="6" t="inlineStr">
        <is>
          <t>元萝卜棋类机器人持续出货，AI桌面机器人、萌宠陪伴产品及头部客户代工整机或模组已量产或小规模出货，具备明确智能终端产品和商业化交付。其定位是具备交互与智能功能的消费级终端，而非通用机器人本体；业务仍处开拓期，故迁入物理AI智能终端并判相关。</t>
        </is>
      </c>
      <c r="J30" s="6" t="inlineStr">
        <is>
          <t>奋达科技：2025年年度报告</t>
        </is>
      </c>
      <c r="K30" s="6" t="inlineStr">
        <is>
          <t>2026-04-29</t>
        </is>
      </c>
      <c r="L30" s="6" t="inlineStr">
        <is>
          <t>iFinD ifind_get_stock_info (as of 2026-10-27)；奋达科技：2025年年度报告</t>
        </is>
      </c>
      <c r="M30" s="7" t="inlineStr">
        <is>
          <t>https://vip.stock.finance.sina.com.cn/corp/view/vCB_AllBulletinDetail.php?stockid=002681&amp;id=12263747</t>
        </is>
      </c>
    </row>
    <row r="31" ht="24" customHeight="1">
      <c r="B31" s="4" t="inlineStr">
        <is>
          <t>002698</t>
        </is>
      </c>
      <c r="C31" s="4" t="inlineStr">
        <is>
          <t>博实股份</t>
        </is>
      </c>
      <c r="D31" s="4" t="inlineStr">
        <is>
          <t>机器人：本体及应用</t>
        </is>
      </c>
      <c r="E31" s="4" t="inlineStr">
        <is>
          <t>保留</t>
        </is>
      </c>
      <c r="F31" s="4" t="inlineStr">
        <is>
          <t>机器人</t>
        </is>
      </c>
      <c r="G31" s="4" t="inlineStr">
        <is>
          <t>本体及应用</t>
        </is>
      </c>
      <c r="H31" s="4" t="inlineStr">
        <is>
          <t>核心</t>
        </is>
      </c>
      <c r="I31" s="4" t="inlineStr">
        <is>
          <t>固体物料及橡胶后处理智能装备是公司主业，高温出炉、捣炉、巡检机器人已在电石等工业工况实际交付。2025年机器人及相关装备收入3314.54万元，虽有所下滑，仍属于具有明确产品、工业应用场景和工程交付的装备业务，因此保留传统机器人本体及应用并判核心。</t>
        </is>
      </c>
      <c r="J31" s="4" t="inlineStr">
        <is>
          <t>博实股份：2025年年度报告</t>
        </is>
      </c>
      <c r="K31" s="4" t="inlineStr">
        <is>
          <t>2026-04-28</t>
        </is>
      </c>
      <c r="L31" s="4" t="inlineStr">
        <is>
          <t>iFinD ifind_get_stock_info (as of 2026-10-27)；博实股份：2025年年度报告</t>
        </is>
      </c>
      <c r="M31" s="5" t="inlineStr">
        <is>
          <t>http://money.finance.sina.com.cn/corp/view/vCB_AllBulletinDetail.php?stockid=002698&amp;id=12208634</t>
        </is>
      </c>
    </row>
    <row r="32" ht="24" customHeight="1">
      <c r="B32" s="6" t="inlineStr">
        <is>
          <t>002747</t>
        </is>
      </c>
      <c r="C32" s="6" t="inlineStr">
        <is>
          <t>埃斯顿</t>
        </is>
      </c>
      <c r="D32" s="6" t="inlineStr">
        <is>
          <t>机器人：本体及应用</t>
        </is>
      </c>
      <c r="E32" s="6" t="inlineStr">
        <is>
          <t>纠错</t>
        </is>
      </c>
      <c r="F32" s="6" t="inlineStr">
        <is>
          <t>机器人</t>
        </is>
      </c>
      <c r="G32" s="6" t="inlineStr">
        <is>
          <t>本体及应用</t>
        </is>
      </c>
      <c r="H32" s="6" t="inlineStr">
        <is>
          <t>核心</t>
        </is>
      </c>
      <c r="I32" s="6" t="inlineStr">
        <is>
          <t>2025年工业机器人及智能制造收入39.968亿元、占81.77%，已形成96款覆盖3—1200kg负载的产品并批量应用，机器人产品、收入和规模化交付均明确。具身智能主要体现为未来部署规划，尚不足以支持迁入物理AI；公司本体及智能制造主业突出，故保留并定为核心。</t>
        </is>
      </c>
      <c r="J32" s="6" t="inlineStr">
        <is>
          <t>埃斯顿：2025年年度报告</t>
        </is>
      </c>
      <c r="K32" s="6" t="inlineStr">
        <is>
          <t>2026-03-31</t>
        </is>
      </c>
      <c r="L32" s="6" t="inlineStr">
        <is>
          <t>iFinD ifind_get_stock_info (as of 2026-10-27)；埃斯顿：2025年年度报告</t>
        </is>
      </c>
      <c r="M32" s="7" t="inlineStr">
        <is>
          <t>http://money.finance.sina.com.cn/corp/view/vCB_AllBulletinDetail.php?stockid=002747&amp;id=12045910</t>
        </is>
      </c>
    </row>
    <row r="33" ht="24" customHeight="1">
      <c r="B33" s="4" t="inlineStr">
        <is>
          <t>002765</t>
        </is>
      </c>
      <c r="C33" s="4" t="inlineStr">
        <is>
          <t>蓝黛科技</t>
        </is>
      </c>
      <c r="D33" s="4" t="inlineStr">
        <is>
          <t>机器人：减速器</t>
        </is>
      </c>
      <c r="E33" s="4" t="inlineStr">
        <is>
          <t>纠错</t>
        </is>
      </c>
      <c r="F33" s="4" t="inlineStr">
        <is>
          <t>机器人</t>
        </is>
      </c>
      <c r="G33" s="4" t="inlineStr">
        <is>
          <t>关节模组</t>
        </is>
      </c>
      <c r="H33" s="4" t="inlineStr">
        <is>
          <t>相关</t>
        </is>
      </c>
      <c r="I33" s="4" t="inlineStr">
        <is>
          <t>旧减速器标签容易与公司新能源汽车减速器业务混淆。2025年机器人一体化关节模组已经量产出货，相关收入约4000万元、占1.04%，实际交付产品更准确地对应关节模组而非独立减速器；业务已商业化但收入占比仍低，因此纠错为关节模组并判相关。</t>
        </is>
      </c>
      <c r="J33" s="4" t="inlineStr">
        <is>
          <t>蓝黛科技集团股份有限公司2025年年度报告</t>
        </is>
      </c>
      <c r="K33" s="4" t="inlineStr">
        <is>
          <t>2026-03-30</t>
        </is>
      </c>
      <c r="L33" s="4" t="inlineStr">
        <is>
          <t>iFinD ifind_get_stock_info (as of 2026-10-27)；蓝黛科技集团股份有限公司2025年年度报告</t>
        </is>
      </c>
      <c r="M33" s="5" t="inlineStr">
        <is>
          <t>https://static.cninfo.com.cn/finalpage/2026-03-30/1225045182.PDF</t>
        </is>
      </c>
    </row>
    <row r="34" ht="24" customHeight="1">
      <c r="B34" s="6" t="inlineStr">
        <is>
          <t>002829</t>
        </is>
      </c>
      <c r="C34" s="6" t="inlineStr">
        <is>
          <t>星网宇达</t>
        </is>
      </c>
      <c r="D34" s="6" t="inlineStr">
        <is>
          <t>机器人：传感器</t>
        </is>
      </c>
      <c r="E34" s="6" t="inlineStr">
        <is>
          <t>迁移</t>
        </is>
      </c>
      <c r="F34" s="6" t="inlineStr">
        <is>
          <t>物理AI</t>
        </is>
      </c>
      <c r="G34" s="6" t="inlineStr">
        <is>
          <t>物理AI_传感器、物理AI_具身本体</t>
        </is>
      </c>
      <c r="H34" s="6" t="inlineStr">
        <is>
          <t>核心</t>
        </is>
      </c>
      <c r="I34" s="6" t="inlineStr">
        <is>
          <t>IMU、组合惯导和光电吊舱构成环境感知层，无人机、无人车、无人船构成自主执行系统；2025年信息感知与无人系统收入分别为1.191亿元、2.053亿元，合计约85.9%。无人车采用多传感融合并支持自主避障，产品体系、主营业务和收入均直接支撑物理AI核心定位。</t>
        </is>
      </c>
      <c r="J34" s="6" t="inlineStr">
        <is>
          <t>星网宇达：2025年年度报告摘要</t>
        </is>
      </c>
      <c r="K34" s="6" t="inlineStr">
        <is>
          <t>2026-04-24</t>
        </is>
      </c>
      <c r="L34" s="6" t="inlineStr">
        <is>
          <t>iFinD ifind_get_stock_info (as of 2026-10-27)；星网宇达：2025年年度报告摘要</t>
        </is>
      </c>
      <c r="M34" s="7" t="inlineStr">
        <is>
          <t>https://stock.stockstar.com/notice/SN2026042400006904.shtml</t>
        </is>
      </c>
    </row>
    <row r="35" ht="24" customHeight="1">
      <c r="B35" s="4" t="inlineStr">
        <is>
          <t>002850</t>
        </is>
      </c>
      <c r="C35" s="4" t="inlineStr">
        <is>
          <t>科达利</t>
        </is>
      </c>
      <c r="D35" s="4" t="inlineStr">
        <is>
          <t>机器人：减速器</t>
        </is>
      </c>
      <c r="E35" s="4" t="inlineStr">
        <is>
          <t>摘除</t>
        </is>
      </c>
      <c r="F35" s="4" t="inlineStr">
        <is>
          <t>—</t>
        </is>
      </c>
      <c r="G35" s="4" t="inlineStr">
        <is>
          <t>—</t>
        </is>
      </c>
      <c r="H35" s="4" t="inlineStr">
        <is>
          <t>摘除</t>
        </is>
      </c>
      <c r="I35" s="4" t="inlineStr">
        <is>
          <t>公司主业仍是锂电池精密结构件，机器人方向布局减速器旋转关节、丝杠直线关节和灵巧手，但2025年谐波减速器仍处样品测试验证阶段，尚无充分量产、订单或收入支撑。按仅研发送样退出的统一口径摘除，避免把技术布局当作已落地业务。</t>
        </is>
      </c>
      <c r="J35" s="4" t="inlineStr">
        <is>
          <t>科达利：2025年年度报告</t>
        </is>
      </c>
      <c r="K35" s="4" t="inlineStr">
        <is>
          <t>2026-03-28</t>
        </is>
      </c>
      <c r="L35" s="4" t="inlineStr">
        <is>
          <t>iFinD ifind_get_stock_info (as of 2026-10-27)；科达利：2025年年度报告</t>
        </is>
      </c>
      <c r="M35" s="5" t="inlineStr">
        <is>
          <t>https://money.finance.sina.com.cn/corp/view/vCB_AllBulletinDetail.php?stockid=002850&amp;id=12027902</t>
        </is>
      </c>
    </row>
    <row r="36" ht="24" customHeight="1">
      <c r="B36" s="6" t="inlineStr">
        <is>
          <t>002892</t>
        </is>
      </c>
      <c r="C36" s="6" t="inlineStr">
        <is>
          <t>科力尔</t>
        </is>
      </c>
      <c r="D36" s="6" t="inlineStr">
        <is>
          <t>机器人：电机</t>
        </is>
      </c>
      <c r="E36" s="6" t="inlineStr">
        <is>
          <t>保留</t>
        </is>
      </c>
      <c r="F36" s="6" t="inlineStr">
        <is>
          <t>机器人</t>
        </is>
      </c>
      <c r="G36" s="6" t="inlineStr">
        <is>
          <t>电机</t>
        </is>
      </c>
      <c r="H36" s="6" t="inlineStr">
        <is>
          <t>相关</t>
        </is>
      </c>
      <c r="I36" s="6" t="inlineStr">
        <is>
          <t>步进电机、伺服电机、编码器和驱动器可用于机器人及自动化设备的运动控制环节，2025年运动控制产品收入2.679亿元、占14.65%，已有实际商业销售。智能家居类收入仍占73.43%，机器人相关电机及控制产品尚非公司主体业务，因此保留机器人电机并判相关。</t>
        </is>
      </c>
      <c r="J36" s="6" t="inlineStr">
        <is>
          <t>科力尔：2025年年度报告</t>
        </is>
      </c>
      <c r="K36" s="6" t="inlineStr">
        <is>
          <t>2026-04-27</t>
        </is>
      </c>
      <c r="L36" s="6" t="inlineStr">
        <is>
          <t>iFinD ifind_get_stock_info (as of 2026-10-27)；科力尔：2025年年度报告</t>
        </is>
      </c>
      <c r="M36" s="7" t="inlineStr">
        <is>
          <t>https://money.finance.sina.com.cn/corp/view/vCB_AllBulletinDetail.php?stockid=002892&amp;id=12205083</t>
        </is>
      </c>
    </row>
    <row r="37" ht="24" customHeight="1">
      <c r="B37" s="4" t="inlineStr">
        <is>
          <t>002896</t>
        </is>
      </c>
      <c r="C37" s="4" t="inlineStr">
        <is>
          <t>中大力德</t>
        </is>
      </c>
      <c r="D37" s="4" t="inlineStr">
        <is>
          <t>机器人：减速器</t>
        </is>
      </c>
      <c r="E37" s="4" t="inlineStr">
        <is>
          <t>保留</t>
        </is>
      </c>
      <c r="F37" s="4" t="inlineStr">
        <is>
          <t>机器人</t>
        </is>
      </c>
      <c r="G37" s="4" t="inlineStr">
        <is>
          <t>减速器</t>
        </is>
      </c>
      <c r="H37" s="4" t="inlineStr">
        <is>
          <t>核心</t>
        </is>
      </c>
      <c r="I37" s="4" t="inlineStr">
        <is>
          <t>2025年精密减速器收入2.524亿元、占24.24%，智能执行单元收入3.917亿元、占37.63%。行星、RV、谐波减速器均已批量生产，并形成减速器、电机、驱动一体化产品，主营产品、批量生产和收入均直接对应机器人核心传动与执行环节，故维持核心。</t>
        </is>
      </c>
      <c r="J37" s="4" t="inlineStr">
        <is>
          <t>中大力德：2025年年度报告</t>
        </is>
      </c>
      <c r="K37" s="4" t="inlineStr">
        <is>
          <t>2026-04-16</t>
        </is>
      </c>
      <c r="L37" s="4" t="inlineStr">
        <is>
          <t>iFinD ifind_get_stock_info (as of 2026-10-27)；中大力德：2025年年度报告</t>
        </is>
      </c>
      <c r="M37" s="5" t="inlineStr">
        <is>
          <t>https://money.finance.sina.com.cn/corp/view/vCB_AllBulletinDetail.php?stockid=002896&amp;id=12096358</t>
        </is>
      </c>
    </row>
    <row r="38" ht="24" customHeight="1">
      <c r="B38" s="6" t="inlineStr">
        <is>
          <t>002931</t>
        </is>
      </c>
      <c r="C38" s="6" t="inlineStr">
        <is>
          <t>锋龙股份</t>
        </is>
      </c>
      <c r="D38" s="6" t="inlineStr">
        <is>
          <t>机器人：零部件</t>
        </is>
      </c>
      <c r="E38" s="6" t="inlineStr">
        <is>
          <t>摘除</t>
        </is>
      </c>
      <c r="F38" s="6" t="inlineStr">
        <is>
          <t>—</t>
        </is>
      </c>
      <c r="G38" s="6" t="inlineStr">
        <is>
          <t>—</t>
        </is>
      </c>
      <c r="H38" s="6" t="inlineStr">
        <is>
          <t>摘除</t>
        </is>
      </c>
      <c r="I38" s="6" t="inlineStr">
        <is>
          <t>优必选控股不等于上市公司已形成机器人业务。2026年上半年新锋龙尚未注资经营，8100万元关联销售预案虽聚焦机电组件和结构件，但报告期未形成收入；公司缺少可核验的机器人产品交付、量产和销售，原泛零部件标签依据不足，故摘除。</t>
        </is>
      </c>
      <c r="J38" s="6" t="inlineStr">
        <is>
          <t>锋龙股份：2026年半年度报告摘要</t>
        </is>
      </c>
      <c r="K38" s="6" t="inlineStr">
        <is>
          <t>2026-08-18</t>
        </is>
      </c>
      <c r="L38" s="6" t="inlineStr">
        <is>
          <t>iFinD ifind_get_stock_info (as of 2026-10-27)；锋龙股份：2026年半年度报告摘要</t>
        </is>
      </c>
      <c r="M38" s="7" t="inlineStr">
        <is>
          <t>http://money.finance.sina.com.cn/corp/view/vCB_AllBulletinDetail.php?stockid=002931&amp;id=12499587</t>
        </is>
      </c>
    </row>
    <row r="39" ht="24" customHeight="1">
      <c r="B39" s="4" t="inlineStr">
        <is>
          <t>002965</t>
        </is>
      </c>
      <c r="C39" s="4" t="inlineStr">
        <is>
          <t>祥鑫科技</t>
        </is>
      </c>
      <c r="D39" s="4" t="inlineStr">
        <is>
          <t>机器人：结构件</t>
        </is>
      </c>
      <c r="E39" s="4" t="inlineStr">
        <is>
          <t>摘除</t>
        </is>
      </c>
      <c r="F39" s="4" t="inlineStr">
        <is>
          <t>—</t>
        </is>
      </c>
      <c r="G39" s="4" t="inlineStr">
        <is>
          <t>—</t>
        </is>
      </c>
      <c r="H39" s="4" t="inlineStr">
        <is>
          <t>摘除</t>
        </is>
      </c>
      <c r="I39" s="4" t="inlineStr">
        <is>
          <t>公司主营仍是汽车、储能等领域的冲压模具和金属结构件。虽然设立祥鑫（东莞）智能机器人并开展联合创新合作，但2025年报及2026年半年报均无可核验的机器人收入或量产交付，设立主体和合作平台不能替代业务证据，因此摘除原机器人结构件标签。</t>
        </is>
      </c>
      <c r="J39" s="4" t="inlineStr">
        <is>
          <t>祥鑫科技：2026年半年度报告</t>
        </is>
      </c>
      <c r="K39" s="4" t="inlineStr">
        <is>
          <t>2026-08-26</t>
        </is>
      </c>
      <c r="L39" s="4" t="inlineStr">
        <is>
          <t>iFinD ifind_get_stock_info (as of 2026-10-27)；祥鑫科技：2026年半年度报告</t>
        </is>
      </c>
      <c r="M39" s="5" t="inlineStr">
        <is>
          <t>https://money.finance.sina.com.cn/corp/view/vCB_AllBulletinDetail.php?stockid=002965&amp;id=12533661</t>
        </is>
      </c>
    </row>
    <row r="40" ht="24" customHeight="1">
      <c r="B40" s="6" t="inlineStr">
        <is>
          <t>002979</t>
        </is>
      </c>
      <c r="C40" s="6" t="inlineStr">
        <is>
          <t>雷赛智能</t>
        </is>
      </c>
      <c r="D40" s="6" t="inlineStr">
        <is>
          <t>机器人：电机</t>
        </is>
      </c>
      <c r="E40" s="6" t="inlineStr">
        <is>
          <t>保留</t>
        </is>
      </c>
      <c r="F40" s="6" t="inlineStr">
        <is>
          <t>机器人</t>
        </is>
      </c>
      <c r="G40" s="6" t="inlineStr">
        <is>
          <t>电机</t>
        </is>
      </c>
      <c r="H40" s="6" t="inlineStr">
        <is>
          <t>核心</t>
        </is>
      </c>
      <c r="I40" s="6" t="inlineStr">
        <is>
          <t>2025年无框力矩电机交付超过12万台，关节模组和高自由度灵巧手已获数十家客户订单并批量供货，运动控制四大产品构成明确主业。产品虽用于人形机器人，但本质仍是驱动、电机和执行部件供应，不因此迁入物理AI；规模化交付充分，故保留核心。</t>
        </is>
      </c>
      <c r="J40" s="6" t="inlineStr">
        <is>
          <t>雷赛智能：2025年年度报告</t>
        </is>
      </c>
      <c r="K40" s="6" t="inlineStr">
        <is>
          <t>2026-04-23</t>
        </is>
      </c>
      <c r="L40" s="6" t="inlineStr">
        <is>
          <t>iFinD ifind_get_stock_info (as of 2026-10-27)；雷赛智能：2025年年度报告</t>
        </is>
      </c>
      <c r="M40" s="7" t="inlineStr">
        <is>
          <t>http://money.finance.sina.com.cn/corp/view/vCB_AllBulletinDetail.php?stockid=002979&amp;id=12150989</t>
        </is>
      </c>
    </row>
    <row r="41" ht="24" customHeight="1">
      <c r="B41" s="4" t="inlineStr">
        <is>
          <t>002988</t>
        </is>
      </c>
      <c r="C41" s="4" t="inlineStr">
        <is>
          <t>豪美新材</t>
        </is>
      </c>
      <c r="D41" s="4" t="inlineStr">
        <is>
          <t>机器人：结构件</t>
        </is>
      </c>
      <c r="E41" s="4" t="inlineStr">
        <is>
          <t>摘除</t>
        </is>
      </c>
      <c r="F41" s="4" t="inlineStr">
        <is>
          <t>—</t>
        </is>
      </c>
      <c r="G41" s="4" t="inlineStr">
        <is>
          <t>—</t>
        </is>
      </c>
      <c r="H41" s="4" t="inlineStr">
        <is>
          <t>摘除</t>
        </is>
      </c>
      <c r="I41" s="4" t="inlineStr">
        <is>
          <t>公司现有产品主要是汽车轻量化、建筑及工业铝型材。2025年仅提出加强机器人等新兴领域材料研发、为进入新领域创造条件，未披露具体机器人结构件产品、订单或量产交付；研发方向不能直接等同于机器人业务和商业化收入，故摘除原结构件标签。</t>
        </is>
      </c>
      <c r="J41" s="4" t="inlineStr">
        <is>
          <t>豪美新材：2025年年度报告</t>
        </is>
      </c>
      <c r="K41" s="4" t="inlineStr">
        <is>
          <t>2026-04-27</t>
        </is>
      </c>
      <c r="L41" s="4" t="inlineStr">
        <is>
          <t>iFinD ifind_get_stock_info (as of 2026-10-27)；豪美新材：2025年年度报告</t>
        </is>
      </c>
      <c r="M41" s="5" t="inlineStr">
        <is>
          <t>http://money.finance.sina.com.cn/corp/view/vCB_AllBulletinDetail.php?stockid=002988&amp;id=12202238</t>
        </is>
      </c>
    </row>
    <row r="42" ht="24" customHeight="1">
      <c r="B42" s="6" t="inlineStr">
        <is>
          <t>003021</t>
        </is>
      </c>
      <c r="C42" s="6" t="inlineStr">
        <is>
          <t>兆威机电</t>
        </is>
      </c>
      <c r="D42" s="6" t="inlineStr">
        <is>
          <t>机器人：灵巧手</t>
        </is>
      </c>
      <c r="E42" s="6" t="inlineStr">
        <is>
          <t>纠错</t>
        </is>
      </c>
      <c r="F42" s="6" t="inlineStr">
        <is>
          <t>机器人</t>
        </is>
      </c>
      <c r="G42" s="6" t="inlineStr">
        <is>
          <t>灵巧手</t>
        </is>
      </c>
      <c r="H42" s="6" t="inlineStr">
        <is>
          <t>相关</t>
        </is>
      </c>
      <c r="I42" s="6" t="inlineStr">
        <is>
          <t>灵巧手及驱动模组已有真实产品，DM17等型号已量产上架，2025年机器人相关收入约2387万元，但占总收入比例很小；2026年上半年仍未形成规模收入。产品已越过纯研发阶段并实现交付，故保留机器人灵巧手，但业务体量和收入贡献不足以支持核心，判为相关。</t>
        </is>
      </c>
      <c r="J42" s="6" t="inlineStr">
        <is>
          <t>人形机器人概念火爆！兆威机电“5天3板”后提示风险</t>
        </is>
      </c>
      <c r="K42" s="6" t="inlineStr">
        <is>
          <t>2026-10-23</t>
        </is>
      </c>
      <c r="L42" s="6" t="inlineStr">
        <is>
          <t>iFinD ifind_get_stock_info (as of 2026-10-27)；人形机器人概念火爆！兆威机电“5天3板”后提示风险</t>
        </is>
      </c>
      <c r="M42" s="7" t="inlineStr">
        <is>
          <t>https://m.10jqka.com.cn/20261023/c681040644.shtml</t>
        </is>
      </c>
    </row>
    <row r="43" ht="24" customHeight="1">
      <c r="B43" s="4" t="inlineStr">
        <is>
          <t>003033</t>
        </is>
      </c>
      <c r="C43" s="4" t="inlineStr">
        <is>
          <t>征和工业</t>
        </is>
      </c>
      <c r="D43" s="4" t="inlineStr">
        <is>
          <t>机器人：腱绳材料</t>
        </is>
      </c>
      <c r="E43" s="4" t="inlineStr">
        <is>
          <t>纠错</t>
        </is>
      </c>
      <c r="F43" s="4" t="inlineStr">
        <is>
          <t>机器人</t>
        </is>
      </c>
      <c r="G43" s="4" t="inlineStr">
        <is>
          <t>微型链/灵巧手</t>
        </is>
      </c>
      <c r="H43" s="4" t="inlineStr">
        <is>
          <t>相关</t>
        </is>
      </c>
      <c r="I43" s="4" t="inlineStr">
        <is>
          <t>公司实际技术路线是微型链传动，并非旧标签所称腱绳材料。2025年已完成五指灵巧手样机并于12月实现首销，微型链、差分模组及灵巧手取得多笔订单和收入，已有初步商业化；但尚未建设专业量产线，规模交付能力仍待验证，故纠错后判相关。</t>
        </is>
      </c>
      <c r="J43" s="4" t="inlineStr">
        <is>
          <t>关于青岛征和工业股份有限公司申请向特定对象发行股票的审核问询函回复</t>
        </is>
      </c>
      <c r="K43" s="4" t="inlineStr">
        <is>
          <t>2026-05-22</t>
        </is>
      </c>
      <c r="L43" s="4" t="inlineStr">
        <is>
          <t>iFinD ifind_get_stock_info (as of 2026-10-27)；关于青岛征和工业股份有限公司申请向特定对象发行股票的审核问询函回复</t>
        </is>
      </c>
      <c r="M43" s="5" t="inlineStr">
        <is>
          <t>https://static.cninfo.com.cn/finalpage/2026-05-22/1225323355.PDF</t>
        </is>
      </c>
    </row>
    <row r="44" ht="24" customHeight="1">
      <c r="B44" s="6" t="inlineStr">
        <is>
          <t>300007</t>
        </is>
      </c>
      <c r="C44" s="6" t="inlineStr">
        <is>
          <t>汉威科技</t>
        </is>
      </c>
      <c r="D44" s="6" t="inlineStr">
        <is>
          <t>机器人：传感器</t>
        </is>
      </c>
      <c r="E44" s="6" t="inlineStr">
        <is>
          <t>迁移</t>
        </is>
      </c>
      <c r="F44" s="6" t="inlineStr">
        <is>
          <t>物理AI</t>
        </is>
      </c>
      <c r="G44" s="6" t="inlineStr">
        <is>
          <t>物理AI_传感器</t>
        </is>
      </c>
      <c r="H44" s="6" t="inlineStr">
        <is>
          <t>相关</t>
        </is>
      </c>
      <c r="I44" s="6" t="inlineStr">
        <is>
          <t>苏州能斯达柔性触觉传感器、电子皮肤和指尖压力采集模块已于2025年小批量供货，自动化产线投入使用；IMU已送样并取得少量订单。产品直接承担机器人对压力、触觉及运动状态的物理环境感知，已有早期商业交付但规模有限，故迁入物理AI传感器并判相关。</t>
        </is>
      </c>
      <c r="J44" s="6" t="inlineStr">
        <is>
          <t>汉威科技集团股份有限公司2025年年度报告摘要</t>
        </is>
      </c>
      <c r="K44" s="6" t="inlineStr">
        <is>
          <t>2026-04-18</t>
        </is>
      </c>
      <c r="L44" s="6" t="inlineStr">
        <is>
          <t>iFinD ifind_get_stock_info (as of 2026-10-27)；汉威科技集团股份有限公司2025年年度报告摘要</t>
        </is>
      </c>
      <c r="M44" s="7" t="inlineStr">
        <is>
          <t>https://disc.static.szse.cn/disc/disk03/finalpage/2026-04-18/3267f777-2903-4324-beed-5b7b67bf01cf.PDF</t>
        </is>
      </c>
    </row>
    <row r="45" ht="24" customHeight="1">
      <c r="B45" s="4" t="inlineStr">
        <is>
          <t>300024</t>
        </is>
      </c>
      <c r="C45" s="4" t="inlineStr">
        <is>
          <t>机器人</t>
        </is>
      </c>
      <c r="D45" s="4" t="inlineStr">
        <is>
          <t>机器人：本体及应用</t>
        </is>
      </c>
      <c r="E45" s="4" t="inlineStr">
        <is>
          <t>迁移</t>
        </is>
      </c>
      <c r="F45" s="4" t="inlineStr">
        <is>
          <t>机器人、物理AI</t>
        </is>
      </c>
      <c r="G45" s="4" t="inlineStr">
        <is>
          <t>本体及应用；物理AI_具身本体</t>
        </is>
      </c>
      <c r="H45" s="4" t="inlineStr">
        <is>
          <t>相关</t>
        </is>
      </c>
      <c r="I45" s="4" t="inlineStr">
        <is>
          <t>传统工业机器人和自动化业务仍占主要位置，但公司已披露“松羿”轮式、“松行”双足及智能类人双臂平台；双臂平台具备自主环境感知与任务推理，轮式产品配置多模态传感，直接对应具身智能。2025年仍属前沿技术与成果储备，尚未形成主业收入，故保留传统机器人并新增物理AI具身本体，判相关。</t>
        </is>
      </c>
      <c r="J45" s="4" t="inlineStr">
        <is>
          <t>机器人：2025年年度报告</t>
        </is>
      </c>
      <c r="K45" s="4" t="inlineStr">
        <is>
          <t>2026-04-24</t>
        </is>
      </c>
      <c r="L45" s="4" t="inlineStr">
        <is>
          <t>iFinD ifind_get_stock_info (as of 2026-10-27)；机器人：2025年年度报告</t>
        </is>
      </c>
      <c r="M45" s="5" t="inlineStr">
        <is>
          <t>http://money.finance.sina.com.cn/corp/view/vCB_AllBulletinDetail.php?stockid=300024&amp;id=12171947</t>
        </is>
      </c>
    </row>
    <row r="46" ht="24" customHeight="1">
      <c r="B46" s="6" t="inlineStr">
        <is>
          <t>300100</t>
        </is>
      </c>
      <c r="C46" s="6" t="inlineStr">
        <is>
          <t>双林股份</t>
        </is>
      </c>
      <c r="D46" s="6" t="inlineStr">
        <is>
          <t>机器人：丝杠</t>
        </is>
      </c>
      <c r="E46" s="6" t="inlineStr">
        <is>
          <t>保留</t>
        </is>
      </c>
      <c r="F46" s="6" t="inlineStr">
        <is>
          <t>机器人</t>
        </is>
      </c>
      <c r="G46" s="6" t="inlineStr">
        <is>
          <t>丝杠</t>
        </is>
      </c>
      <c r="H46" s="6" t="inlineStr">
        <is>
          <t>相关</t>
        </is>
      </c>
      <c r="I46" s="6" t="inlineStr">
        <is>
          <t>2025年反向式行星滚柱丝杠试制1500套，处于送样、尚未定点阶段；2026年上半年一期10万套产线已具备量产条件，并获得头部客户定点，但目前对收入影响仍小。产品明确用于机器人直线执行环节，量产能力和客户验证持续推进，但商业贡献有限，故保留相关。</t>
        </is>
      </c>
      <c r="J46" s="6" t="inlineStr">
        <is>
          <t>双林股份有限公司投资者关系活动记录表</t>
        </is>
      </c>
      <c r="K46" s="6" t="inlineStr">
        <is>
          <t>2026-08-25</t>
        </is>
      </c>
      <c r="L46" s="6" t="inlineStr">
        <is>
          <t>iFinD ifind_get_stock_info (as of 2026-10-27)；双林股份有限公司投资者关系活动记录表</t>
        </is>
      </c>
      <c r="M46" s="7" t="inlineStr">
        <is>
          <t>http://file.finance.sina.com.cn/211.154.219.97:9494/MRGG/CNSESZ_STOCK/2026/2026-8/2026-08-25/12534038.PDF</t>
        </is>
      </c>
    </row>
    <row r="47" ht="24" customHeight="1">
      <c r="B47" s="4" t="inlineStr">
        <is>
          <t>300124</t>
        </is>
      </c>
      <c r="C47" s="4" t="inlineStr">
        <is>
          <t>汇川技术</t>
        </is>
      </c>
      <c r="D47" s="4" t="inlineStr">
        <is>
          <t>机器人：电机</t>
        </is>
      </c>
      <c r="E47" s="4" t="inlineStr">
        <is>
          <t>保留</t>
        </is>
      </c>
      <c r="F47" s="4" t="inlineStr">
        <is>
          <t>机器人</t>
        </is>
      </c>
      <c r="G47" s="4" t="inlineStr">
        <is>
          <t>电机</t>
        </is>
      </c>
      <c r="H47" s="4" t="inlineStr">
        <is>
          <t>核心</t>
        </is>
      </c>
      <c r="I47" s="4" t="inlineStr">
        <is>
          <t>2025年伺服系统收入约68.5亿元、通用自动化收入169亿元，工业机器人、机器视觉及人形机器人零部件均已有实际产品，SCARA市占率约28%。传统工控、伺服和机器人产品主业明确，并具备大规模商业化基础；即使覆盖人形机器人部件，也不改变其机器人核心供应商定位。</t>
        </is>
      </c>
      <c r="J47" s="4" t="inlineStr">
        <is>
          <t>汇川技术：2025年年度报告</t>
        </is>
      </c>
      <c r="K47" s="4" t="inlineStr">
        <is>
          <t>2026-04-28</t>
        </is>
      </c>
      <c r="L47" s="4" t="inlineStr">
        <is>
          <t>iFinD ifind_get_stock_info (as of 2026-10-27)；汇川技术：2025年年度报告</t>
        </is>
      </c>
      <c r="M47" s="5" t="inlineStr">
        <is>
          <t>https://money.finance.sina.com.cn/corp/view/vCB_AllBulletinDetail.php?stockid=300124&amp;id=12222830</t>
        </is>
      </c>
    </row>
    <row r="48" ht="24" customHeight="1">
      <c r="B48" s="6" t="inlineStr">
        <is>
          <t>300258</t>
        </is>
      </c>
      <c r="C48" s="6" t="inlineStr">
        <is>
          <t>精锻科技</t>
        </is>
      </c>
      <c r="D48" s="6" t="inlineStr">
        <is>
          <t>机器人：减速器</t>
        </is>
      </c>
      <c r="E48" s="6" t="inlineStr">
        <is>
          <t>摘除</t>
        </is>
      </c>
      <c r="F48" s="6" t="inlineStr">
        <is>
          <t>—</t>
        </is>
      </c>
      <c r="G48" s="6" t="inlineStr">
        <is>
          <t>—</t>
        </is>
      </c>
      <c r="H48" s="6" t="inlineStr">
        <is>
          <t>摘除</t>
        </is>
      </c>
      <c r="I48" s="6" t="inlineStr">
        <is>
          <t>摆线针轮、行星减速器和滚柱丝杠仍处样品开发、交付验证及持续优化阶段，2026年4月30日业绩说明会明确尚未形成销售收入，网传特斯拉独供也被否认。相关产品尚处研发验证期，缺少量产、订单和收入支撑，原减速器标签容易放大业务成熟度，故摘除。</t>
        </is>
      </c>
      <c r="J48" s="6" t="inlineStr">
        <is>
          <t>江苏太平洋精锻科技股份有限公司投资者关系活动记录表</t>
        </is>
      </c>
      <c r="K48" s="6" t="inlineStr">
        <is>
          <t>2026-05-04</t>
        </is>
      </c>
      <c r="L48" s="6" t="inlineStr">
        <is>
          <t>iFinD ifind_get_stock_info (as of 2026-10-27)；江苏太平洋精锻科技股份有限公司投资者关系活动记录表</t>
        </is>
      </c>
      <c r="M48" s="7" t="inlineStr">
        <is>
          <t>https://static.cninfo.com.cn/finalpage/2026-05-04/1225275988.PDF</t>
        </is>
      </c>
    </row>
    <row r="49" ht="24" customHeight="1">
      <c r="B49" s="4" t="inlineStr">
        <is>
          <t>300296</t>
        </is>
      </c>
      <c r="C49" s="4" t="inlineStr">
        <is>
          <t>利亚德</t>
        </is>
      </c>
      <c r="D49" s="4" t="inlineStr">
        <is>
          <t>机器人：本体及应用</t>
        </is>
      </c>
      <c r="E49" s="4" t="inlineStr">
        <is>
          <t>迁移</t>
        </is>
      </c>
      <c r="F49" s="4" t="inlineStr">
        <is>
          <t>物理AI</t>
        </is>
      </c>
      <c r="G49" s="4" t="inlineStr">
        <is>
          <t>物理AI_动作捕捉</t>
        </is>
      </c>
      <c r="H49" s="4" t="inlineStr">
        <is>
          <t>相关</t>
        </is>
      </c>
      <c r="I49" s="4" t="inlineStr">
        <is>
          <t>NP及虚拟动点OptiTrack提供光学动作捕捉，并形成光学与无标记、光学与惯性方案及Lydia动作大模型，可用于机器人动作数据采集和训练，并非机器人本体。2025年AI与空间计算收入3.166亿元、占4.48%，已有真实商业收入但非主业，故迁至物理AI动作捕捉并判相关。</t>
        </is>
      </c>
      <c r="J49" s="4" t="inlineStr">
        <is>
          <t>利亚德：2025年年度报告</t>
        </is>
      </c>
      <c r="K49" s="4" t="inlineStr">
        <is>
          <t>2026-04-16</t>
        </is>
      </c>
      <c r="L49" s="4" t="inlineStr">
        <is>
          <t>iFinD ifind_get_stock_info (as of 2026-10-27)；利亚德：2025年年度报告</t>
        </is>
      </c>
      <c r="M49" s="5" t="inlineStr">
        <is>
          <t>https://vip.stock.finance.sina.com.cn/corp/view/vCB_AllBulletinDetail.php?stockid=300296&amp;id=12096411</t>
        </is>
      </c>
    </row>
    <row r="50" ht="24" customHeight="1">
      <c r="B50" s="6" t="inlineStr">
        <is>
          <t>300307</t>
        </is>
      </c>
      <c r="C50" s="6" t="inlineStr">
        <is>
          <t>慈星股份</t>
        </is>
      </c>
      <c r="D50" s="6" t="inlineStr">
        <is>
          <t>机器人：本体及应用</t>
        </is>
      </c>
      <c r="E50" s="6" t="inlineStr">
        <is>
          <t>纠错</t>
        </is>
      </c>
      <c r="F50" s="6" t="inlineStr">
        <is>
          <t>机器人</t>
        </is>
      </c>
      <c r="G50" s="6" t="inlineStr">
        <is>
          <t>自动化集成</t>
        </is>
      </c>
      <c r="H50" s="6" t="inlineStr">
        <is>
          <t>相关</t>
        </is>
      </c>
      <c r="I50" s="6" t="inlineStr">
        <is>
          <t>2025年自动化设备与项目集成收入2659.87万元、占1.37%，说明相关业务已有真实销售，但电脑针织横机收入仍占89.88%。公司披露的业务实质是自动化设备及项目集成，并非机器人本体制造，旧本体口径过宽；业务已商业化但占比较低，故纠错为自动化集成并判相关。</t>
        </is>
      </c>
      <c r="J50" s="6" t="inlineStr">
        <is>
          <t>宁波慈星股份有限公司2025年年度报告</t>
        </is>
      </c>
      <c r="K50" s="6" t="inlineStr">
        <is>
          <t>2026-03-31</t>
        </is>
      </c>
      <c r="L50" s="6" t="inlineStr">
        <is>
          <t>iFinD ifind_get_stock_info (as of 2026-10-27)；宁波慈星股份有限公司2025年年度报告</t>
        </is>
      </c>
      <c r="M50" s="7" t="inlineStr">
        <is>
          <t>http://file.finance.sina.com.cn/211.154.219.97:9494/MRGG/CNSESZ_STOCK/2026/2026-3/2026-03-31/12039267.PDF</t>
        </is>
      </c>
    </row>
    <row r="51" ht="24" customHeight="1">
      <c r="B51" s="4" t="inlineStr">
        <is>
          <t>300354</t>
        </is>
      </c>
      <c r="C51" s="4" t="inlineStr">
        <is>
          <t>东华测试</t>
        </is>
      </c>
      <c r="D51" s="4" t="inlineStr">
        <is>
          <t>机器人：传感器</t>
        </is>
      </c>
      <c r="E51" s="4" t="inlineStr">
        <is>
          <t>迁移</t>
        </is>
      </c>
      <c r="F51" s="4" t="inlineStr">
        <is>
          <t>物理AI</t>
        </is>
      </c>
      <c r="G51" s="4" t="inlineStr">
        <is>
          <t>物理AI_传感器</t>
        </is>
      </c>
      <c r="H51" s="4" t="inlineStr">
        <is>
          <t>相关</t>
        </is>
      </c>
      <c r="I51" s="4" t="inlineStr">
        <is>
          <t>公司主营结构力学测试系统，但已推出多维力/力矩及六维力传感器，可直接用于机器人腕、踝和末端执行器的力觉反馈，属于真实感知硬件而非测试设备的间接映射；2025年仍处小批量试制，尚未证明规模量产，且机器人业务仅为一项新业务，故迁移后定相关。</t>
        </is>
      </c>
      <c r="J51" s="4" t="inlineStr">
        <is>
          <t>东华测试披露2025年及2026年一季报，人形机器人领域布局获关注</t>
        </is>
      </c>
      <c r="K51" s="4" t="inlineStr">
        <is>
          <t>2026-04-26</t>
        </is>
      </c>
      <c r="L51" s="4" t="inlineStr">
        <is>
          <t>iFinD ifind_get_stock_info (as of 2026-10-27)；东华测试披露2025年及2026年一季报，人形机器人领域布局获关注</t>
        </is>
      </c>
      <c r="M51" s="5" t="inlineStr">
        <is>
          <t>https://jg-static.eeo.com.cn/article/info?id=577643148ae64809a5bf515868f90225&amp;channelUuid=undefined</t>
        </is>
      </c>
    </row>
    <row r="52" ht="24" customHeight="1">
      <c r="B52" s="6" t="inlineStr">
        <is>
          <t>300403</t>
        </is>
      </c>
      <c r="C52" s="6" t="inlineStr">
        <is>
          <t>汉宇集团</t>
        </is>
      </c>
      <c r="D52" s="6" t="inlineStr">
        <is>
          <t>机器人：减速器</t>
        </is>
      </c>
      <c r="E52" s="6" t="inlineStr">
        <is>
          <t>摘除</t>
        </is>
      </c>
      <c r="F52" s="6" t="inlineStr">
        <is>
          <t>—</t>
        </is>
      </c>
      <c r="G52" s="6" t="inlineStr">
        <is>
          <t>—</t>
        </is>
      </c>
      <c r="H52" s="6" t="inlineStr">
        <is>
          <t>摘除</t>
        </is>
      </c>
      <c r="I52" s="6" t="inlineStr">
        <is>
          <t>上市公司自身主营家电排水泵等产品，谐波减速器、机电关节等机器人业务由同川科技开展，公告明确同川科技仅为参股公司；现有证据只能形成参股间接敞口，不能等同于上市公司自产减速器或关节产品交付，按参股边界摘除。</t>
        </is>
      </c>
      <c r="J52" s="6" t="inlineStr">
        <is>
          <t>关于公司2026年度日常关联交易预计的补充公告</t>
        </is>
      </c>
      <c r="K52" s="6" t="inlineStr">
        <is>
          <t>2026-04-27</t>
        </is>
      </c>
      <c r="L52" s="6" t="inlineStr">
        <is>
          <t>iFinD ifind_get_stock_info (as of 2026-10-27)；关于公司2026年度日常关联交易预计的补充公告</t>
        </is>
      </c>
      <c r="M52" s="7" t="inlineStr">
        <is>
          <t>https://www.cnfin.com/announ/detail/index.html?id=830533942050&amp;code=300403&amp;dannoun=lcdetail&amp;announ=lc</t>
        </is>
      </c>
    </row>
    <row r="53" ht="24" customHeight="1">
      <c r="B53" s="4" t="inlineStr">
        <is>
          <t>300421</t>
        </is>
      </c>
      <c r="C53" s="4" t="inlineStr">
        <is>
          <t>力星股份</t>
        </is>
      </c>
      <c r="D53" s="4" t="inlineStr">
        <is>
          <t>机器人：轴承</t>
        </is>
      </c>
      <c r="E53" s="4" t="inlineStr">
        <is>
          <t>纠错</t>
        </is>
      </c>
      <c r="F53" s="4" t="inlineStr">
        <is>
          <t>机器人</t>
        </is>
      </c>
      <c r="G53" s="4" t="inlineStr">
        <is>
          <t>滚动体</t>
        </is>
      </c>
      <c r="H53" s="4" t="inlineStr">
        <is>
          <t>相关</t>
        </is>
      </c>
      <c r="I53" s="4" t="inlineStr">
        <is>
          <t>公司主营高精度钢球、滚子及氮化硅陶瓷球，产品是轴承和滚珠/滚柱丝杠内部的滚动体，而非轴承总成；已有面向机器人应用的开发与实际产品基础，但机器人收入未单独披露，当前仍只是精密滚动体的一项下游业务，因此纠正概念并维持相关。</t>
        </is>
      </c>
      <c r="J53" s="4" t="inlineStr">
        <is>
          <t>力星股份：2025年年度报告</t>
        </is>
      </c>
      <c r="K53" s="4" t="inlineStr">
        <is>
          <t>2026-04-29</t>
        </is>
      </c>
      <c r="L53" s="4" t="inlineStr">
        <is>
          <t>iFinD ifind_get_stock_info (as of 2026-10-27)；力星股份：2025年年度报告</t>
        </is>
      </c>
      <c r="M53" s="5" t="inlineStr">
        <is>
          <t>https://money.finance.sina.com.cn/corp/view/vCB_AllBulletinDetail.php?stockid=300421&amp;id=12241483</t>
        </is>
      </c>
    </row>
    <row r="54" ht="24" customHeight="1">
      <c r="B54" s="6" t="inlineStr">
        <is>
          <t>300432</t>
        </is>
      </c>
      <c r="C54" s="6" t="inlineStr">
        <is>
          <t>富临精工</t>
        </is>
      </c>
      <c r="D54" s="6" t="inlineStr">
        <is>
          <t>机器人：减速器</t>
        </is>
      </c>
      <c r="E54" s="6" t="inlineStr">
        <is>
          <t>纠错</t>
        </is>
      </c>
      <c r="F54" s="6" t="inlineStr">
        <is>
          <t>机器人</t>
        </is>
      </c>
      <c r="G54" s="6" t="inlineStr">
        <is>
          <t>关节模组</t>
        </is>
      </c>
      <c r="H54" s="6" t="inlineStr">
        <is>
          <t>相关</t>
        </is>
      </c>
      <c r="I54" s="6" t="inlineStr">
        <is>
          <t>公司原有主业为汽车零部件及锂电材料，机器人产品为集成减速器、电机、角度传感器和电控的行星/谐波电关节，直接用于机器人关节驱动，不能与车载减速器混同；已完成预研交付、客户定点和小批量交付，但仍属一项新拓业务，故改为关节模组并定相关。</t>
        </is>
      </c>
      <c r="J54" s="6" t="inlineStr">
        <is>
          <t>富临精工：2025年年度报告</t>
        </is>
      </c>
      <c r="K54" s="6" t="inlineStr">
        <is>
          <t>2026-04-29</t>
        </is>
      </c>
      <c r="L54" s="6" t="inlineStr">
        <is>
          <t>iFinD ifind_get_stock_info (as of 2026-10-27)；富临精工：2025年年度报告</t>
        </is>
      </c>
      <c r="M54" s="7" t="inlineStr">
        <is>
          <t>http://money.finance.sina.com.cn/corp/view/vCB_AllBulletinDetail.php?stockid=300432&amp;id=12268128</t>
        </is>
      </c>
    </row>
    <row r="55" ht="24" customHeight="1">
      <c r="B55" s="4" t="inlineStr">
        <is>
          <t>300445</t>
        </is>
      </c>
      <c r="C55" s="4" t="inlineStr">
        <is>
          <t>康斯特</t>
        </is>
      </c>
      <c r="D55" s="4" t="inlineStr">
        <is>
          <t>机器人：传感器</t>
        </is>
      </c>
      <c r="E55" s="4" t="inlineStr">
        <is>
          <t>摘除</t>
        </is>
      </c>
      <c r="F55" s="4" t="inlineStr">
        <is>
          <t>—</t>
        </is>
      </c>
      <c r="G55" s="4" t="inlineStr">
        <is>
          <t>—</t>
        </is>
      </c>
      <c r="H55" s="4" t="inlineStr">
        <is>
          <t>摘除</t>
        </is>
      </c>
      <c r="I55" s="4" t="inlineStr">
        <is>
          <t>公司主营高精度压力传感器、校准仪表和工业校准测试系统，直接应用是工业计量、压力检测及设备运维；机器人至多是潜在校准测试对象，现有披露未见用于机器人的力觉、触觉或环境感知产品，也无相关订单和交付证据，不能由工业校准能力推导机器人传感器标签。</t>
        </is>
      </c>
      <c r="J55" s="4" t="inlineStr">
        <is>
          <t>康斯特：公司主营业务的校准测试产品已在产业端广泛验证并被全球用户认可</t>
        </is>
      </c>
      <c r="K55" s="4" t="inlineStr">
        <is>
          <t>2025-04-24</t>
        </is>
      </c>
      <c r="L55" s="4" t="inlineStr">
        <is>
          <t>iFinD ifind_get_stock_info (as of 2026-10-27)；康斯特：公司主营业务的校准测试产品已在产业端广泛验证并被全球用户认可</t>
        </is>
      </c>
      <c r="M55" s="5" t="inlineStr">
        <is>
          <t>http://m.10jqka.com.cn/20250424/c667707575.shtml</t>
        </is>
      </c>
    </row>
    <row r="56" ht="24" customHeight="1">
      <c r="B56" s="6" t="inlineStr">
        <is>
          <t>300488</t>
        </is>
      </c>
      <c r="C56" s="6" t="inlineStr">
        <is>
          <t>恒锋工具</t>
        </is>
      </c>
      <c r="D56" s="6" t="inlineStr">
        <is>
          <t>机器人：加工刀具</t>
        </is>
      </c>
      <c r="E56" s="6" t="inlineStr">
        <is>
          <t>保留</t>
        </is>
      </c>
      <c r="F56" s="6" t="inlineStr">
        <is>
          <t>机器人</t>
        </is>
      </c>
      <c r="G56" s="6" t="inlineStr">
        <is>
          <t>加工刀具</t>
        </is>
      </c>
      <c r="H56" s="6" t="inlineStr">
        <is>
          <t>相关</t>
        </is>
      </c>
      <c r="I56" s="6" t="inlineStr">
        <is>
          <t>公司主营精密复杂刃量具，机器人关联产品是丝杠、减速器零部件加工所需刀具及量检具，属于上游制造耗材而非机器人零件本体；2025年已有小部分产品小批量供货，2026年披露相关订单约2000万元，但相对整体营收仍较小，具备真实业务基础而不足以定核心。</t>
        </is>
      </c>
      <c r="J56" s="6" t="inlineStr">
        <is>
          <t>恒锋工具股份有限公司2026年9月22日投资者关系活动记录表</t>
        </is>
      </c>
      <c r="K56" s="6" t="inlineStr">
        <is>
          <t>2026-09-22</t>
        </is>
      </c>
      <c r="L56" s="6" t="inlineStr">
        <is>
          <t>iFinD ifind_get_stock_info (as of 2026-10-27)；恒锋工具股份有限公司2026年9月22日投资者关系活动记录表</t>
        </is>
      </c>
      <c r="M56" s="7" t="inlineStr">
        <is>
          <t>http://file.finance.sina.com.cn/211.154.219.97:9494/MRGG/CNSESZ_STOCK/2026/2026-9/2026-09-23/12617417.PDF</t>
        </is>
      </c>
    </row>
    <row r="57" ht="24" customHeight="1">
      <c r="B57" s="4" t="inlineStr">
        <is>
          <t>300503</t>
        </is>
      </c>
      <c r="C57" s="4" t="inlineStr">
        <is>
          <t>昊志机电</t>
        </is>
      </c>
      <c r="D57" s="4" t="inlineStr">
        <is>
          <t>机器人：电机</t>
        </is>
      </c>
      <c r="E57" s="4" t="inlineStr">
        <is>
          <t>纠错</t>
        </is>
      </c>
      <c r="F57" s="4" t="inlineStr">
        <is>
          <t>机器人</t>
        </is>
      </c>
      <c r="G57" s="4" t="inlineStr">
        <is>
          <t>关节模组</t>
        </is>
      </c>
      <c r="H57" s="4" t="inlineStr">
        <is>
          <t>相关</t>
        </is>
      </c>
      <c r="I57" s="4" t="inlineStr">
        <is>
          <t>公司在主轴业务之外形成谐波减速器、无框电机、编码器、六维力传感器、关节模组和末端执行器产品矩阵，直接覆盖机器人关节驱动与执行环节；已向部分人形机器人客户送样测试并实现初步销售，但收入规模尚小、仍非公司主体收入，故由单一电机纠正为关节模组并定相关。</t>
        </is>
      </c>
      <c r="J57" s="4" t="inlineStr">
        <is>
          <t>昊志机电：已向部分人形机器人厂商送样测试并实现初步销售</t>
        </is>
      </c>
      <c r="K57" s="4" t="inlineStr">
        <is>
          <t>2025-08-14</t>
        </is>
      </c>
      <c r="L57" s="4" t="inlineStr">
        <is>
          <t>iFinD ifind_get_stock_info (as of 2026-10-27)；昊志机电：已向部分人形机器人厂商送样测试并实现初步销售</t>
        </is>
      </c>
      <c r="M57" s="5" t="inlineStr">
        <is>
          <t>https://www.cls.cn/detail/2115690</t>
        </is>
      </c>
    </row>
    <row r="58" ht="24" customHeight="1">
      <c r="B58" s="6" t="inlineStr">
        <is>
          <t>300580</t>
        </is>
      </c>
      <c r="C58" s="6" t="inlineStr">
        <is>
          <t>贝斯特</t>
        </is>
      </c>
      <c r="D58" s="6" t="inlineStr">
        <is>
          <t>机器人：丝杠</t>
        </is>
      </c>
      <c r="E58" s="6" t="inlineStr">
        <is>
          <t>纠错</t>
        </is>
      </c>
      <c r="F58" s="6" t="inlineStr">
        <is>
          <t>机器人</t>
        </is>
      </c>
      <c r="G58" s="6" t="inlineStr">
        <is>
          <t>丝杠</t>
        </is>
      </c>
      <c r="H58" s="6" t="inlineStr">
        <is>
          <t>相关</t>
        </is>
      </c>
      <c r="I58" s="6" t="inlineStr">
        <is>
          <t>全资子公司宇华精机布局滚珠/滚柱丝杠、导轨、微型丝杠和直线执行器，可用于机器人直线运动与执行机构；机床滚珠丝杠和导轨已取得批量订单，但人形机器人行星滚柱丝杠主要仍处样品、客户对接阶段，不能把机床端批量直接视为人形机器人放量，故由核心降为相关。</t>
        </is>
      </c>
      <c r="J58" s="6" t="inlineStr">
        <is>
          <t>贝斯特：2025年半年度报告</t>
        </is>
      </c>
      <c r="K58" s="6" t="inlineStr">
        <is>
          <t>2025-08-15</t>
        </is>
      </c>
      <c r="L58" s="6" t="inlineStr">
        <is>
          <t>iFinD ifind_get_stock_info (as of 2026-10-27)；贝斯特：2025年半年度报告</t>
        </is>
      </c>
      <c r="M58" s="7" t="inlineStr">
        <is>
          <t>https://vip.stock.finance.sina.com.cn/corp/view/vCB_AllBulletinDetail.php?stockid=300580&amp;id=11301531</t>
        </is>
      </c>
    </row>
    <row r="59" ht="24" customHeight="1">
      <c r="B59" s="4" t="inlineStr">
        <is>
          <t>300607</t>
        </is>
      </c>
      <c r="C59" s="4" t="inlineStr">
        <is>
          <t>拓斯达</t>
        </is>
      </c>
      <c r="D59" s="4" t="inlineStr">
        <is>
          <t>机器人：本体及应用</t>
        </is>
      </c>
      <c r="E59" s="4" t="inlineStr">
        <is>
          <t>迁移</t>
        </is>
      </c>
      <c r="F59" s="4" t="inlineStr">
        <is>
          <t>机器人、物理AI</t>
        </is>
      </c>
      <c r="G59" s="4" t="inlineStr">
        <is>
          <t>本体及应用；物理AI_具身本体</t>
        </is>
      </c>
      <c r="H59" s="4" t="inlineStr">
        <is>
          <t>核心</t>
        </is>
      </c>
      <c r="I59" s="4" t="inlineStr">
        <is>
          <t>公司机器人及智能装备属于明确主营，2025年机器人产品出货约1.2万台，并已推出“小拓”人形机器人、“星仔”四足机器人及X5感算控平台，面向自主巡检和工业自主作业；产品具备环境感知、决策控制与本体执行闭环，且已有规模出货基础。保留传统机器人本体核心，同时新增物理AI具身本体相关，避免把传统工业机器人收入直接当作具身收入。</t>
        </is>
      </c>
      <c r="J59" s="4" t="inlineStr">
        <is>
          <t>拓斯达：2025年年度报告</t>
        </is>
      </c>
      <c r="K59" s="4" t="inlineStr">
        <is>
          <t>2026-03-31</t>
        </is>
      </c>
      <c r="L59" s="4" t="inlineStr">
        <is>
          <t>iFinD ifind_get_stock_info (as of 2026-10-27)；拓斯达：2025年年度报告</t>
        </is>
      </c>
      <c r="M59" s="5" t="inlineStr">
        <is>
          <t>https://money.finance.sina.com.cn/corp/view/vCB_AllBulletinDetail.php?stockid=300607&amp;id=12043515</t>
        </is>
      </c>
    </row>
    <row r="60" ht="24" customHeight="1">
      <c r="B60" s="6" t="inlineStr">
        <is>
          <t>300611</t>
        </is>
      </c>
      <c r="C60" s="6" t="inlineStr">
        <is>
          <t>美力科技</t>
        </is>
      </c>
      <c r="D60" s="6" t="inlineStr">
        <is>
          <t>机器人：结构件</t>
        </is>
      </c>
      <c r="E60" s="6" t="inlineStr">
        <is>
          <t>纠错</t>
        </is>
      </c>
      <c r="F60" s="6" t="inlineStr">
        <is>
          <t>机器人</t>
        </is>
      </c>
      <c r="G60" s="6" t="inlineStr">
        <is>
          <t>弹性元件</t>
        </is>
      </c>
      <c r="H60" s="6" t="inlineStr">
        <is>
          <t>相关</t>
        </is>
      </c>
      <c r="I60" s="6" t="inlineStr">
        <is>
          <t>公司主营汽车弹簧，机器人相关产品为拉簧、扭簧和卡簧等弹性元件，直接用于灵巧手及关节的弹性复位、连接和传动；2025年已取得小批量订单，说明不再只是研发预期，但汽车弹簧仍贡献主要收入，机器人业务尚未规模化，故由边缘升为相关并使用更准确的弹性元件概念。</t>
        </is>
      </c>
      <c r="J60" s="6" t="inlineStr">
        <is>
          <t>半年报业绩创历史同期新高，人形机器人业务已有小批量订单</t>
        </is>
      </c>
      <c r="K60" s="6" t="inlineStr">
        <is>
          <t>2025-08-12</t>
        </is>
      </c>
      <c r="L60" s="6" t="inlineStr">
        <is>
          <t>iFinD ifind_get_stock_info (as of 2026-10-27)；半年报业绩创历史同期新高，人形机器人业务已有小批量订单</t>
        </is>
      </c>
      <c r="M60" s="7" t="inlineStr">
        <is>
          <t>https://finance.ifeng.com/c/8llfufvz3nN</t>
        </is>
      </c>
    </row>
    <row r="61" ht="24" customHeight="1">
      <c r="B61" s="4" t="inlineStr">
        <is>
          <t>300660</t>
        </is>
      </c>
      <c r="C61" s="4" t="inlineStr">
        <is>
          <t>江苏雷利</t>
        </is>
      </c>
      <c r="D61" s="4" t="inlineStr">
        <is>
          <t>机器人：电机</t>
        </is>
      </c>
      <c r="E61" s="4" t="inlineStr">
        <is>
          <t>保留</t>
        </is>
      </c>
      <c r="F61" s="4" t="inlineStr">
        <is>
          <t>机器人</t>
        </is>
      </c>
      <c r="G61" s="4" t="inlineStr">
        <is>
          <t>电机</t>
        </is>
      </c>
      <c r="H61" s="4" t="inlineStr">
        <is>
          <t>相关</t>
        </is>
      </c>
      <c r="I61" s="4" t="inlineStr">
        <is>
          <t>公司空心杯电机、无框电机及丝杠可直接用于机器人关节和执行器，16mm空心杯电机已批量生产，行星滚柱丝杠仍处送样阶段；空心杯批量不能等同人形机器人批量供货，机器人客户仍在拓展、收入亦未单列，在微特电机主业下仅属一项应用业务，故保留电机并定相关。</t>
        </is>
      </c>
      <c r="J61" s="4" t="inlineStr">
        <is>
          <t>江苏雷利：16mm空心杯电机已批量生产 行星滚柱丝杠正在送样</t>
        </is>
      </c>
      <c r="K61" s="4" t="inlineStr">
        <is>
          <t>2024-08-08</t>
        </is>
      </c>
      <c r="L61" s="4" t="inlineStr">
        <is>
          <t>iFinD ifind_get_stock_info (as of 2026-10-27)；江苏雷利：16mm空心杯电机已批量生产 行星滚柱丝杠正在送样</t>
        </is>
      </c>
      <c r="M61" s="5" t="inlineStr">
        <is>
          <t>https://www.cls.cn/detail/1758223</t>
        </is>
      </c>
    </row>
    <row r="62" ht="24" customHeight="1">
      <c r="B62" s="6" t="inlineStr">
        <is>
          <t>300680</t>
        </is>
      </c>
      <c r="C62" s="6" t="inlineStr">
        <is>
          <t>隆盛科技</t>
        </is>
      </c>
      <c r="D62" s="6" t="inlineStr">
        <is>
          <t>机器人：电机</t>
        </is>
      </c>
      <c r="E62" s="6" t="inlineStr">
        <is>
          <t>纠错</t>
        </is>
      </c>
      <c r="F62" s="6" t="inlineStr">
        <is>
          <t>机器人</t>
        </is>
      </c>
      <c r="G62" s="6" t="inlineStr">
        <is>
          <t>灵巧手</t>
        </is>
      </c>
      <c r="H62" s="6" t="inlineStr">
        <is>
          <t>相关</t>
        </is>
      </c>
      <c r="I62" s="6" t="inlineStr">
        <is>
          <t>公司在汽车零部件主业之外布局灵巧手、谐波减速器、关节模组和驱动电机部件，自研“兰森”机器人面向制造业场景，已有真实产品和项目推进；但机器人业务收入贡献仍小，主要可核验落地集中在灵巧手及执行硬件，尚不足以将整机或电机标签定为核心，也不因此扩张为物理AI。</t>
        </is>
      </c>
      <c r="J62" s="6" t="inlineStr">
        <is>
          <t>隆盛科技：2025年年度报告摘要</t>
        </is>
      </c>
      <c r="K62" s="6" t="inlineStr">
        <is>
          <t>2026-10-16</t>
        </is>
      </c>
      <c r="L62" s="6" t="inlineStr">
        <is>
          <t>iFinD ifind_get_stock_info (as of 2026-10-27)；隆盛科技：2025年年度报告摘要</t>
        </is>
      </c>
      <c r="M62" s="7" t="inlineStr">
        <is>
          <t>https://money.finance.sina.com.cn/corp/view/vCB_AllBulletinDetail.php?stockid=300680&amp;id=12222599</t>
        </is>
      </c>
    </row>
    <row r="63" ht="24" customHeight="1">
      <c r="B63" s="4" t="inlineStr">
        <is>
          <t>300718</t>
        </is>
      </c>
      <c r="C63" s="4" t="inlineStr">
        <is>
          <t>长盛轴承</t>
        </is>
      </c>
      <c r="D63" s="4" t="inlineStr">
        <is>
          <t>机器人：轴承</t>
        </is>
      </c>
      <c r="E63" s="4" t="inlineStr">
        <is>
          <t>纠错</t>
        </is>
      </c>
      <c r="F63" s="4" t="inlineStr">
        <is>
          <t>机器人</t>
        </is>
      </c>
      <c r="G63" s="4" t="inlineStr">
        <is>
          <t>轴承</t>
        </is>
      </c>
      <c r="H63" s="4" t="inlineStr">
        <is>
          <t>相关</t>
        </is>
      </c>
      <c r="I63" s="4" t="inlineStr">
        <is>
          <t>公司自润滑轴承可直接用于机器人关节，已与宇树科技签订合作协议、取得订单并实现小批量生产销售，具备真实供货关系；但相关收入占主营收入不足1%，机器人丝杠应用仍处研发阶段，客户合作和小批量收入尚不足以把机器人轴承列为主业核心，故由核心降为相关。</t>
        </is>
      </c>
      <c r="J63" s="4" t="inlineStr">
        <is>
          <t>长盛轴承：与宇树科技已签订合作协议并取得订单</t>
        </is>
      </c>
      <c r="K63" s="4" t="inlineStr">
        <is>
          <t>2025-02-18</t>
        </is>
      </c>
      <c r="L63" s="4" t="inlineStr">
        <is>
          <t>iFinD ifind_get_stock_info (as of 2026-10-27)；长盛轴承：与宇树科技已签订合作协议并取得订单</t>
        </is>
      </c>
      <c r="M63" s="5" t="inlineStr">
        <is>
          <t>https://news.futunn.com/flash/18453297/zhejiang-changsheng-sliding-bearings-a-cooperation-agreement-has-been-signed</t>
        </is>
      </c>
    </row>
    <row r="64" ht="24" customHeight="1">
      <c r="B64" s="6" t="inlineStr">
        <is>
          <t>300809</t>
        </is>
      </c>
      <c r="C64" s="6" t="inlineStr">
        <is>
          <t>华辰装备</t>
        </is>
      </c>
      <c r="D64" s="6" t="inlineStr">
        <is>
          <t>机器人：丝杠设备</t>
        </is>
      </c>
      <c r="E64" s="6" t="inlineStr">
        <is>
          <t>保留</t>
        </is>
      </c>
      <c r="F64" s="6" t="inlineStr">
        <is>
          <t>机器人</t>
        </is>
      </c>
      <c r="G64" s="6" t="inlineStr">
        <is>
          <t>丝杠设备</t>
        </is>
      </c>
      <c r="H64" s="6" t="inlineStr">
        <is>
          <t>相关</t>
        </is>
      </c>
      <c r="I64" s="6" t="inlineStr">
        <is>
          <t>公司主营高端磨削装备，机器人关联产品为精密内外螺纹磨床，直接用于行星滚柱丝杠等零件的螺纹加工，本身是制造设备而非丝杠；已与福立旺签订100台设备订单，具有明确商业订单和交付基础，但属于新拓展的上游设备业务，占公司整体业务仍有限，故保留相关。</t>
        </is>
      </c>
      <c r="J64" s="6" t="inlineStr">
        <is>
          <t>华辰装备2026年5月8日投资者关系活动记录表</t>
        </is>
      </c>
      <c r="K64" s="6" t="inlineStr">
        <is>
          <t>2026-05-08</t>
        </is>
      </c>
      <c r="L64" s="6" t="inlineStr">
        <is>
          <t>iFinD ifind_get_stock_info (as of 2026-10-27)；华辰装备2026年5月8日投资者关系活动记录表</t>
        </is>
      </c>
      <c r="M64" s="7" t="inlineStr">
        <is>
          <t>http://file.finance.sina.com.cn/cn/diaoyan/jgdy/2026/2026-05/2026-05-08/10179452_1.PDF</t>
        </is>
      </c>
    </row>
    <row r="65" ht="24" customHeight="1">
      <c r="B65" s="4" t="inlineStr">
        <is>
          <t>300853</t>
        </is>
      </c>
      <c r="C65" s="4" t="inlineStr">
        <is>
          <t>申昊科技</t>
        </is>
      </c>
      <c r="D65" s="4" t="inlineStr">
        <is>
          <t>机器人：本体及应用</t>
        </is>
      </c>
      <c r="E65" s="4" t="inlineStr">
        <is>
          <t>迁移</t>
        </is>
      </c>
      <c r="F65" s="4" t="inlineStr">
        <is>
          <t>物理AI</t>
        </is>
      </c>
      <c r="G65" s="4" t="inlineStr">
        <is>
          <t>物理AI_具身本体</t>
        </is>
      </c>
      <c r="H65" s="4" t="inlineStr">
        <is>
          <t>核心</t>
        </is>
      </c>
      <c r="I65" s="4" t="inlineStr">
        <is>
          <t>公司主营轮式、四足、防爆和挂轨等巡检机器人，直接服务电力等场景的自主巡检，具备自主导航、多传感融合、图像识别、异常评估和主动预警能力，部分产品已于2025年进入交付阶段；产品形成感知、决策到执行闭环，且机器人属于明确主营，符合具身本体核心定义。</t>
        </is>
      </c>
      <c r="J65" s="4" t="inlineStr">
        <is>
          <t>申昊科技：2025年年度报告</t>
        </is>
      </c>
      <c r="K65" s="4" t="inlineStr">
        <is>
          <t>2026-04-29</t>
        </is>
      </c>
      <c r="L65" s="4" t="inlineStr">
        <is>
          <t>iFinD ifind_get_stock_info (as of 2026-10-27)；申昊科技：2025年年度报告</t>
        </is>
      </c>
      <c r="M65" s="5" t="inlineStr">
        <is>
          <t>https://money.finance.sina.com.cn/corp/view/vCB_AllBulletinDetail.php?stockid=300853&amp;id=12265726</t>
        </is>
      </c>
    </row>
    <row r="66" ht="24" customHeight="1">
      <c r="B66" s="6" t="inlineStr">
        <is>
          <t>300918</t>
        </is>
      </c>
      <c r="C66" s="6" t="inlineStr">
        <is>
          <t>南山智尚</t>
        </is>
      </c>
      <c r="D66" s="6" t="inlineStr">
        <is>
          <t>机器人：腱绳材料</t>
        </is>
      </c>
      <c r="E66" s="6" t="inlineStr">
        <is>
          <t>纠错</t>
        </is>
      </c>
      <c r="F66" s="6" t="inlineStr">
        <is>
          <t>机器人</t>
        </is>
      </c>
      <c r="G66" s="6" t="inlineStr">
        <is>
          <t>腱绳材料</t>
        </is>
      </c>
      <c r="H66" s="6" t="inlineStr">
        <is>
          <t>相关</t>
        </is>
      </c>
      <c r="I66" s="6" t="inlineStr">
        <is>
          <t>公司在纤维材料主业基础上自研高强传动腱绳，可直接用于机器人灵巧手腱绳传动，2025年已披露国内外小批量订单，2026年仍处多家客户送样认证和小批量订单阶段；已有真实产品和订单但尚未形成规模收益，不能表述为规模量产，也不足以列核心，故降为相关。</t>
        </is>
      </c>
      <c r="J66" s="6" t="inlineStr">
        <is>
          <t>南山智尚：2025年半年度报告</t>
        </is>
      </c>
      <c r="K66" s="6" t="inlineStr">
        <is>
          <t>2025-08-27</t>
        </is>
      </c>
      <c r="L66" s="6" t="inlineStr">
        <is>
          <t>iFinD ifind_get_stock_info (as of 2026-10-27)；南山智尚：2025年半年度报告</t>
        </is>
      </c>
      <c r="M66" s="7" t="inlineStr">
        <is>
          <t>http://money.finance.sina.com.cn/corp/view/vCB_AllBulletinDetail.php?stockid=300918&amp;id=11373364</t>
        </is>
      </c>
    </row>
    <row r="67" ht="24" customHeight="1">
      <c r="B67" s="4" t="inlineStr">
        <is>
          <t>300953</t>
        </is>
      </c>
      <c r="C67" s="4" t="inlineStr">
        <is>
          <t>震裕科技</t>
        </is>
      </c>
      <c r="D67" s="4" t="inlineStr">
        <is>
          <t>机器人：丝杠</t>
        </is>
      </c>
      <c r="E67" s="4" t="inlineStr">
        <is>
          <t>纠错</t>
        </is>
      </c>
      <c r="F67" s="4" t="inlineStr">
        <is>
          <t>机器人</t>
        </is>
      </c>
      <c r="G67" s="4" t="inlineStr">
        <is>
          <t>执行器</t>
        </is>
      </c>
      <c r="H67" s="4" t="inlineStr">
        <is>
          <t>相关</t>
        </is>
      </c>
      <c r="I67" s="4" t="inlineStr">
        <is>
          <t>公司在精密结构件主业之外开发反向式行星滚柱丝杠、线性执行器及灵巧手微型传动组件，直接用于机器人直线运动和灵巧执行；产品已通过客户验证并小批量交付，且建成两条自动化产线，但2025年相关收入约占0.15%，产线建设不能替代收入规模，故纠正为执行器并定相关。</t>
        </is>
      </c>
      <c r="J67" s="4" t="inlineStr">
        <is>
          <t>震裕科技：2025年半年度报告</t>
        </is>
      </c>
      <c r="K67" s="4" t="inlineStr">
        <is>
          <t>2025-08-28</t>
        </is>
      </c>
      <c r="L67" s="4" t="inlineStr">
        <is>
          <t>iFinD ifind_get_stock_info (as of 2026-10-27)；震裕科技：2025年半年度报告</t>
        </is>
      </c>
      <c r="M67" s="5" t="inlineStr">
        <is>
          <t>http://money.finance.sina.com.cn/corp/view/vCB_AllBulletinDetail.php?stockid=300953&amp;id=11393226</t>
        </is>
      </c>
    </row>
    <row r="68" ht="24" customHeight="1">
      <c r="B68" s="6" t="inlineStr">
        <is>
          <t>300984</t>
        </is>
      </c>
      <c r="C68" s="6" t="inlineStr">
        <is>
          <t>金沃股份</t>
        </is>
      </c>
      <c r="D68" s="6" t="inlineStr">
        <is>
          <t>机器人：轴承</t>
        </is>
      </c>
      <c r="E68" s="6" t="inlineStr">
        <is>
          <t>纠错</t>
        </is>
      </c>
      <c r="F68" s="6" t="inlineStr">
        <is>
          <t>机器人</t>
        </is>
      </c>
      <c r="G68" s="6" t="inlineStr">
        <is>
          <t>丝杠零部件</t>
        </is>
      </c>
      <c r="H68" s="6" t="inlineStr">
        <is>
          <t>相关</t>
        </is>
      </c>
      <c r="I68" s="6" t="inlineStr">
        <is>
          <t>公司原有主业为轴承套圈，机器人新产品则是行星滚柱/滚珠丝杠所需螺母、滚柱和主丝杠，直接用于直线传动机构，旧轴承标签不能准确覆盖该逻辑；2025年相关产线基本到位并推进产业化，但未见明确人形机器人批量订单，且轴承套圈仍占主业95%以上，故改为丝杠零部件并定相关。</t>
        </is>
      </c>
      <c r="J68" s="6" t="inlineStr">
        <is>
          <t>金沃股份去年净利增长84.42% 将加大丝杠业务投入</t>
        </is>
      </c>
      <c r="K68" s="6" t="inlineStr">
        <is>
          <t>2026-04-13</t>
        </is>
      </c>
      <c r="L68" s="6" t="inlineStr">
        <is>
          <t>iFinD ifind_get_stock_info (as of 2026-10-27)；金沃股份去年净利增长84.42% 将加大丝杠业务投入</t>
        </is>
      </c>
      <c r="M68" s="7" t="inlineStr">
        <is>
          <t>https://news.qq.com/rain/a/20260413A07YI700</t>
        </is>
      </c>
    </row>
    <row r="69" ht="24" customHeight="1">
      <c r="B69" s="4" t="inlineStr">
        <is>
          <t>301000</t>
        </is>
      </c>
      <c r="C69" s="4" t="inlineStr">
        <is>
          <t>肇民科技</t>
        </is>
      </c>
      <c r="D69" s="4" t="inlineStr">
        <is>
          <t>机器人：结构件</t>
        </is>
      </c>
      <c r="E69" s="4" t="inlineStr">
        <is>
          <t>保留</t>
        </is>
      </c>
      <c r="F69" s="4" t="inlineStr">
        <is>
          <t>机器人</t>
        </is>
      </c>
      <c r="G69" s="4" t="inlineStr">
        <is>
          <t>结构件</t>
        </is>
      </c>
      <c r="H69" s="4" t="inlineStr">
        <is>
          <t>相关</t>
        </is>
      </c>
      <c r="I69" s="4" t="inlineStr">
        <is>
          <t>公司以精密注塑件为主业，与客户共同开发PEEK、PPS机器人零件，产品可直接用于躯干和灵巧手结构，已有多个新品且业务推进顺利；但机器人业务营收仍较小，汽车注塑件的成熟量产不能作为机器人产品量产证明，因此保留结构件概念并定相关，而非核心。</t>
        </is>
      </c>
      <c r="J69" s="4" t="inlineStr">
        <is>
          <t>上海肇民新材料科技股份有限公司投资者关系活动记录表</t>
        </is>
      </c>
      <c r="K69" s="4" t="inlineStr">
        <is>
          <t>2026-05-18</t>
        </is>
      </c>
      <c r="L69" s="4" t="inlineStr">
        <is>
          <t>iFinD ifind_get_stock_info (as of 2026-10-27)；上海肇民新材料科技股份有限公司投资者关系活动记录表</t>
        </is>
      </c>
      <c r="M69" s="5" t="inlineStr">
        <is>
          <t>http://file.finance.sina.com.cn/cn/diaoyan/jgdy/2026/2026-05/2026-05-18/10181389_1.PDF</t>
        </is>
      </c>
    </row>
    <row r="70" ht="24" customHeight="1">
      <c r="B70" s="6" t="inlineStr">
        <is>
          <t>301023</t>
        </is>
      </c>
      <c r="C70" s="6" t="inlineStr">
        <is>
          <t>奕帆传动</t>
        </is>
      </c>
      <c r="D70" s="6" t="inlineStr">
        <is>
          <t>机器人：微特减速电机</t>
        </is>
      </c>
      <c r="E70" s="6" t="inlineStr">
        <is>
          <t>纠错</t>
        </is>
      </c>
      <c r="F70" s="6" t="inlineStr">
        <is>
          <t>机器人</t>
        </is>
      </c>
      <c r="G70" s="6" t="inlineStr">
        <is>
          <t>微特减速电机</t>
        </is>
      </c>
      <c r="H70" s="6" t="inlineStr">
        <is>
          <t>相关</t>
        </is>
      </c>
      <c r="I70" s="6" t="inlineStr">
        <is>
          <t>微特减速电机是公司明确主营产品，太阳能清洗机器人用双级行星减速电机已小批量供货，产品与机器人驱动环节存在直接关系；但机器人只是微特减速电机多个下游应用之一，相关收入未单列，不能把产品本身属于主营直接推导为机器人业务核心，故维持准确概念并将判词降为相关。</t>
        </is>
      </c>
      <c r="J70" s="6" t="inlineStr">
        <is>
          <t>奕帆传动：2025年半年度报告</t>
        </is>
      </c>
      <c r="K70" s="6" t="inlineStr">
        <is>
          <t>2025-08-23</t>
        </is>
      </c>
      <c r="L70" s="6" t="inlineStr">
        <is>
          <t>iFinD ifind_get_stock_info (as of 2026-10-27)；奕帆传动：2025年半年度报告</t>
        </is>
      </c>
      <c r="M70" s="7" t="inlineStr">
        <is>
          <t>http://static.cninfo.com.cn/finalpage/2025-08-23/1224556702.PDF</t>
        </is>
      </c>
    </row>
    <row r="71" ht="24" customHeight="1">
      <c r="B71" s="4" t="inlineStr">
        <is>
          <t>301199</t>
        </is>
      </c>
      <c r="C71" s="4" t="inlineStr">
        <is>
          <t>迈赫股份</t>
        </is>
      </c>
      <c r="D71" s="4" t="inlineStr">
        <is>
          <t>机器人：本体及应用</t>
        </is>
      </c>
      <c r="E71" s="4" t="inlineStr">
        <is>
          <t>纠错</t>
        </is>
      </c>
      <c r="F71" s="4" t="inlineStr">
        <is>
          <t>机器人</t>
        </is>
      </c>
      <c r="G71" s="4" t="inlineStr">
        <is>
          <t>自动化集成</t>
        </is>
      </c>
      <c r="H71" s="4" t="inlineStr">
        <is>
          <t>核心</t>
        </is>
      </c>
      <c r="I71" s="4" t="inlineStr">
        <is>
          <t>公司专业从事基于机器人和物联网技术的高端智能装备系统，向汽车等客户提供焊装、涂装等定制系统，完成设计、制造集成、安装调试和终验交付；2025年智能装备系统及动力能源供应系统收入占96.31%，系统集成为明确主营，但其并非人形机器人本体厂，故纠正概念并定核心。</t>
        </is>
      </c>
      <c r="J71" s="4" t="inlineStr">
        <is>
          <t>迈赫机器人自动化股份有限公司2025年年度报告</t>
        </is>
      </c>
      <c r="K71" s="4" t="inlineStr">
        <is>
          <t>2026-04-29</t>
        </is>
      </c>
      <c r="L71" s="4" t="inlineStr">
        <is>
          <t>iFinD ifind_get_stock_info (as of 2026-10-27)；迈赫机器人自动化股份有限公司2025年年度报告</t>
        </is>
      </c>
      <c r="M71" s="5" t="inlineStr">
        <is>
          <t>http://file.finance.sina.com.cn/211.154.219.97:9494/MRGG/CNSESZ_STOCK/2026/2026-4/2026-04-29/12239400.PDF</t>
        </is>
      </c>
    </row>
    <row r="72" ht="24" customHeight="1">
      <c r="B72" s="6" t="inlineStr">
        <is>
          <t>301261</t>
        </is>
      </c>
      <c r="C72" s="6" t="inlineStr">
        <is>
          <t>恒工精密</t>
        </is>
      </c>
      <c r="D72" s="6" t="inlineStr">
        <is>
          <t>机器人：减速器</t>
        </is>
      </c>
      <c r="E72" s="6" t="inlineStr">
        <is>
          <t>纠错</t>
        </is>
      </c>
      <c r="F72" s="6" t="inlineStr">
        <is>
          <t>机器人</t>
        </is>
      </c>
      <c r="G72" s="6" t="inlineStr">
        <is>
          <t>减速器零部件</t>
        </is>
      </c>
      <c r="H72" s="6" t="inlineStr">
        <is>
          <t>相关</t>
        </is>
      </c>
      <c r="I72" s="6" t="inlineStr">
        <is>
          <t>公司主营连续铸铁件和精密机加工件，机器人产品包括RV减速器摆线轮、针齿壳、行星架及谐波减速器刚轮，是减速器核心工作部件而非完整减速器；RV部件已在北京智同批量应用，谐波刚轮经客户验证后小批量交付，但连续铸铁和机加工仍为主体业务，故纠正概念并定相关。</t>
        </is>
      </c>
      <c r="J72" s="6" t="inlineStr">
        <is>
          <t>河北恒工精密装备股份有限公司2025年年度报告</t>
        </is>
      </c>
      <c r="K72" s="6" t="inlineStr">
        <is>
          <t>2026-04-28</t>
        </is>
      </c>
      <c r="L72" s="6" t="inlineStr">
        <is>
          <t>iFinD ifind_get_stock_info (as of 2026-10-27)；河北恒工精密装备股份有限公司2025年年度报告</t>
        </is>
      </c>
      <c r="M72" s="7" t="inlineStr">
        <is>
          <t>http://file.finance.sina.com.cn/211.154.219.97:9494/MRGG/CNSESZ_STOCK/2026/2026-4/2026-04-28/12217775.PDF</t>
        </is>
      </c>
    </row>
    <row r="73" ht="24" customHeight="1">
      <c r="B73" s="4" t="inlineStr">
        <is>
          <t>301368</t>
        </is>
      </c>
      <c r="C73" s="4" t="inlineStr">
        <is>
          <t>丰立智能</t>
        </is>
      </c>
      <c r="D73" s="4" t="inlineStr">
        <is>
          <t>机器人：减速器</t>
        </is>
      </c>
      <c r="E73" s="4" t="inlineStr">
        <is>
          <t>纠错</t>
        </is>
      </c>
      <c r="F73" s="4" t="inlineStr">
        <is>
          <t>机器人</t>
        </is>
      </c>
      <c r="G73" s="4" t="inlineStr">
        <is>
          <t>减速器</t>
        </is>
      </c>
      <c r="H73" s="4" t="inlineStr">
        <is>
          <t>相关</t>
        </is>
      </c>
      <c r="I73" s="4" t="inlineStr">
        <is>
          <t>公司开发谐波、行星和小微减速器，分别用于机器人腰部以上、腰部以下及手指关节，并已与多类客户合作、实现小批量生产交货；但2025年报明确机器人业务营收占比极低，精密减速器及零部件总收入还包含非机器人应用，不能据此认定机器人减速器为核心主业，故由核心降为相关。</t>
        </is>
      </c>
      <c r="J73" s="4" t="inlineStr">
        <is>
          <t>丰立智能：2025年年度报告</t>
        </is>
      </c>
      <c r="K73" s="4" t="inlineStr">
        <is>
          <t>2026-04-22</t>
        </is>
      </c>
      <c r="L73" s="4" t="inlineStr">
        <is>
          <t>iFinD ifind_get_stock_info (as of 2026-10-27)；丰立智能：2025年年度报告</t>
        </is>
      </c>
      <c r="M73" s="5" t="inlineStr">
        <is>
          <t>http://money.finance.sina.com.cn/corp/view/vCB_AllBulletinDetail.php?stockid=301368&amp;id=12133798</t>
        </is>
      </c>
    </row>
    <row r="74" ht="24" customHeight="1">
      <c r="B74" s="6" t="inlineStr">
        <is>
          <t>301413</t>
        </is>
      </c>
      <c r="C74" s="6" t="inlineStr">
        <is>
          <t>安培龙</t>
        </is>
      </c>
      <c r="D74" s="6" t="inlineStr">
        <is>
          <t>机器人：传感器</t>
        </is>
      </c>
      <c r="E74" s="6" t="inlineStr">
        <is>
          <t>迁移</t>
        </is>
      </c>
      <c r="F74" s="6" t="inlineStr">
        <is>
          <t>物理AI</t>
        </is>
      </c>
      <c r="G74" s="6" t="inlineStr">
        <is>
          <t>物理AI_传感器</t>
        </is>
      </c>
      <c r="H74" s="6" t="inlineStr">
        <is>
          <t>相关</t>
        </is>
      </c>
      <c r="I74" s="6" t="inlineStr">
        <is>
          <t>公司主营热敏电阻及温度、压力、氧、力等传感器，其中六维力、力矩和拉压力传感器可直接用于机器人末端力觉、关节扭矩及拉压测量。2026年半年报明确机器人力传感器已批量交付，具备真实商业交付；但机器人仅是传感器主业中的新兴应用，尚未成为公司主体，故迁入物理AI传感器并维持相关。</t>
        </is>
      </c>
      <c r="J74" s="6" t="inlineStr">
        <is>
          <t>安培龙：2026年半年度报告</t>
        </is>
      </c>
      <c r="K74" s="6" t="inlineStr">
        <is>
          <t>2026-10-23</t>
        </is>
      </c>
      <c r="L74" s="6" t="inlineStr">
        <is>
          <t>iFinD ifind_get_stock_info (as of 2026-10-27)；安培龙：2026年半年度报告</t>
        </is>
      </c>
      <c r="M74" s="7" t="inlineStr">
        <is>
          <t>https://vip.stock.finance.sina.com.cn/corp/view/vCB_AllBulletinDetail.php?gather=1&amp;id=12555790</t>
        </is>
      </c>
    </row>
    <row r="75" ht="24" customHeight="1">
      <c r="B75" s="4" t="inlineStr">
        <is>
          <t>301502</t>
        </is>
      </c>
      <c r="C75" s="4" t="inlineStr">
        <is>
          <t>华阳智能</t>
        </is>
      </c>
      <c r="D75" s="4" t="inlineStr">
        <is>
          <t>机器人：无框电机</t>
        </is>
      </c>
      <c r="E75" s="4" t="inlineStr">
        <is>
          <t>摘除</t>
        </is>
      </c>
      <c r="F75" s="4" t="inlineStr">
        <is>
          <t>—</t>
        </is>
      </c>
      <c r="G75" s="4" t="inlineStr">
        <is>
          <t>—</t>
        </is>
      </c>
      <c r="H75" s="4" t="inlineStr">
        <is>
          <t>摘除</t>
        </is>
      </c>
      <c r="I75" s="4" t="inlineStr">
        <is>
          <t>公司主营微特电机及应用产品，多款无框电机和机器人模组电机虽已完成开发并具备量产条件，但2025年报仍称推进客户对接，此前亦明确尚未应用于人形机器人，未见正式订单、交付或收入。微特电机主营不能直接外推为机器人核心，具备量产能力不等于商业化落地，原核心标签依据不足，故摘除。</t>
        </is>
      </c>
      <c r="J75" s="4" t="inlineStr">
        <is>
          <t>华阳智能：2025年年度报告</t>
        </is>
      </c>
      <c r="K75" s="4" t="inlineStr">
        <is>
          <t>2026-04-29</t>
        </is>
      </c>
      <c r="L75" s="4" t="inlineStr">
        <is>
          <t>iFinD ifind_get_stock_info (as of 2026-10-27)；华阳智能：2025年年度报告</t>
        </is>
      </c>
      <c r="M75" s="5" t="inlineStr">
        <is>
          <t>http://money.finance.sina.com.cn/corp/view/vCB_AllBulletinDetail.php?stockid=301502&amp;id=12268645</t>
        </is>
      </c>
    </row>
    <row r="76" ht="24" customHeight="1">
      <c r="B76" s="6" t="inlineStr">
        <is>
          <t>301510</t>
        </is>
      </c>
      <c r="C76" s="6" t="inlineStr">
        <is>
          <t>固高科技</t>
        </is>
      </c>
      <c r="D76" s="6" t="inlineStr">
        <is>
          <t>机器人：控制器</t>
        </is>
      </c>
      <c r="E76" s="6" t="inlineStr">
        <is>
          <t>迁移</t>
        </is>
      </c>
      <c r="F76" s="6" t="inlineStr">
        <is>
          <t>物理AI</t>
        </is>
      </c>
      <c r="G76" s="6" t="inlineStr">
        <is>
          <t>物理AI_智能控制</t>
        </is>
      </c>
      <c r="H76" s="6" t="inlineStr">
        <is>
          <t>核心</t>
        </is>
      </c>
      <c r="I76" s="6" t="inlineStr">
        <is>
          <t>公司主营运动控制核心部件及系统，运动控制器、伺服驱动器、编码器与多维感知产品构成控制—驱动—感知体系，3D相机可服务机器人轨迹生成，直接对应物理设备实时控制。2025年运动控制核心部件和系统收入合计占86.01%，属于明确主营，因此由机器人控制器迁入物理AI智能控制并保留核心。</t>
        </is>
      </c>
      <c r="J76" s="6" t="inlineStr">
        <is>
          <t>固高科技：2025年年度报告</t>
        </is>
      </c>
      <c r="K76" s="6" t="inlineStr">
        <is>
          <t>2026-04-29</t>
        </is>
      </c>
      <c r="L76" s="6" t="inlineStr">
        <is>
          <t>iFinD ifind_get_stock_info (as of 2026-10-27)；固高科技：2025年年度报告</t>
        </is>
      </c>
      <c r="M76" s="7" t="inlineStr">
        <is>
          <t>http://money.finance.sina.com.cn/corp/view/vCB_AllBulletinDetail.php?stockid=301510&amp;id=12295985</t>
        </is>
      </c>
    </row>
    <row r="77" ht="24" customHeight="1">
      <c r="B77" s="4" t="inlineStr">
        <is>
          <t>301550</t>
        </is>
      </c>
      <c r="C77" s="4" t="inlineStr">
        <is>
          <t>斯菱智驱</t>
        </is>
      </c>
      <c r="D77" s="4" t="inlineStr">
        <is>
          <t>机器人：减速器</t>
        </is>
      </c>
      <c r="E77" s="4" t="inlineStr">
        <is>
          <t>纠错</t>
        </is>
      </c>
      <c r="F77" s="4" t="inlineStr">
        <is>
          <t>机器人</t>
        </is>
      </c>
      <c r="G77" s="4" t="inlineStr">
        <is>
          <t>减速器</t>
        </is>
      </c>
      <c r="H77" s="4" t="inlineStr">
        <is>
          <t>相关</t>
        </is>
      </c>
      <c r="I77" s="4" t="inlineStr">
        <is>
          <t>公司原以汽车轮毂轴承等汽车零部件为主，谐波减速器及配套专用轴承已于2025年投产，2026年进一步实现小批量交付，可直接用于机器人关节传动，已超出研发和产能规划阶段。机器人减速器目前仍是汽车零部件基本盘之外的一块新业务，故由边缘上调为相关，不判核心。</t>
        </is>
      </c>
      <c r="J77" s="4" t="inlineStr">
        <is>
          <t>斯菱智驱谐波减速器实现小批量交付</t>
        </is>
      </c>
      <c r="K77" s="4" t="inlineStr">
        <is>
          <t>2026-09-03</t>
        </is>
      </c>
      <c r="L77" s="4" t="inlineStr">
        <is>
          <t>iFinD ifind_get_stock_info (as of 2026-10-27)；斯菱智驱谐波减速器实现小批量交付</t>
        </is>
      </c>
      <c r="M77" s="5" t="inlineStr">
        <is>
          <t>https://robot.ofweek.com/2026-09/ART-8321201-12003-30701415.html</t>
        </is>
      </c>
    </row>
    <row r="78" ht="24" customHeight="1">
      <c r="B78" s="6" t="inlineStr">
        <is>
          <t>301596</t>
        </is>
      </c>
      <c r="C78" s="6" t="inlineStr">
        <is>
          <t>瑞迪智驱</t>
        </is>
      </c>
      <c r="D78" s="6" t="inlineStr">
        <is>
          <t>机器人：减速器</t>
        </is>
      </c>
      <c r="E78" s="6" t="inlineStr">
        <is>
          <t>保留</t>
        </is>
      </c>
      <c r="F78" s="6" t="inlineStr">
        <is>
          <t>机器人</t>
        </is>
      </c>
      <c r="G78" s="6" t="inlineStr">
        <is>
          <t>减速器</t>
        </is>
      </c>
      <c r="H78" s="6" t="inlineStr">
        <is>
          <t>相关</t>
        </is>
      </c>
      <c r="I78" s="6" t="inlineStr">
        <is>
          <t>公司谐波减速机可直接用于工业、协作及人形机器人关节模组，2025年实现收入5453.96万元、占营业收入8.44%，已有可量化销售而非送样预期。谐波减速机与电磁制动器、精密传动件等业务共同经营，尚未成为公司全部主营，因此维持机器人减速器相关而非核心。</t>
        </is>
      </c>
      <c r="J78" s="6" t="inlineStr">
        <is>
          <t>瑞迪智驱：2025年年度报告</t>
        </is>
      </c>
      <c r="K78" s="6" t="inlineStr">
        <is>
          <t>2026-04-23</t>
        </is>
      </c>
      <c r="L78" s="6" t="inlineStr">
        <is>
          <t>iFinD ifind_get_stock_info (as of 2026-10-27)；瑞迪智驱：2025年年度报告</t>
        </is>
      </c>
      <c r="M78" s="7" t="inlineStr">
        <is>
          <t>https://money.finance.sina.com.cn/corp/view/vCB_AllBulletinDetail.php?stockid=301596&amp;id=12140003</t>
        </is>
      </c>
    </row>
    <row r="79" ht="24" customHeight="1">
      <c r="B79" s="4" t="inlineStr">
        <is>
          <t>600215</t>
        </is>
      </c>
      <c r="C79" s="4" t="inlineStr">
        <is>
          <t>派斯林</t>
        </is>
      </c>
      <c r="D79" s="4" t="inlineStr">
        <is>
          <t>机器人：本体及应用</t>
        </is>
      </c>
      <c r="E79" s="4" t="inlineStr">
        <is>
          <t>纠错</t>
        </is>
      </c>
      <c r="F79" s="4" t="inlineStr">
        <is>
          <t>机器人</t>
        </is>
      </c>
      <c r="G79" s="4" t="inlineStr">
        <is>
          <t>自动化集成</t>
        </is>
      </c>
      <c r="H79" s="4" t="inlineStr">
        <is>
          <t>核心</t>
        </is>
      </c>
      <c r="I79" s="4" t="inlineStr">
        <is>
          <t>公司主营汽车焊装、智能仓储等工业自动化产线的规划、设计、制造、安装调试及售后，业务包含机器人模拟仿真和系统集成，自动化项目交付即公司主业。其直接价值在机器人自动化产线集成，而非制造机器人本体，故将本体及应用纠正为自动化集成，并由相关上调为核心。</t>
        </is>
      </c>
      <c r="J79" s="4" t="inlineStr">
        <is>
          <t>派斯林：2025年年度报告摘要</t>
        </is>
      </c>
      <c r="K79" s="4" t="inlineStr">
        <is>
          <t>2026-04-30</t>
        </is>
      </c>
      <c r="L79" s="4" t="inlineStr">
        <is>
          <t>iFinD ifind_get_stock_info (as of 2026-10-27)；派斯林：2025年年度报告摘要</t>
        </is>
      </c>
      <c r="M79" s="5" t="inlineStr">
        <is>
          <t>https://www.cfi.net.cn/p20260430000284.html</t>
        </is>
      </c>
    </row>
    <row r="80" ht="24" customHeight="1">
      <c r="B80" s="6" t="inlineStr">
        <is>
          <t>600480</t>
        </is>
      </c>
      <c r="C80" s="6" t="inlineStr">
        <is>
          <t>凌云股份</t>
        </is>
      </c>
      <c r="D80" s="6" t="inlineStr">
        <is>
          <t>机器人：传感器</t>
        </is>
      </c>
      <c r="E80" s="6" t="inlineStr">
        <is>
          <t>迁移</t>
        </is>
      </c>
      <c r="F80" s="6" t="inlineStr">
        <is>
          <t>物理AI</t>
        </is>
      </c>
      <c r="G80" s="6" t="inlineStr">
        <is>
          <t>物理AI_传感器</t>
        </is>
      </c>
      <c r="H80" s="6" t="inlineStr">
        <is>
          <t>相关</t>
        </is>
      </c>
      <c r="I80" s="6" t="inlineStr">
        <is>
          <t>公司拉压力、扭矩传感器已获得多个小批量订单并交付，六维力传感器完成设计和送样，可直接覆盖机器人关节扭矩及力觉感知，已有真实订单支撑。汽车零部件仍占公司主体，机器人力传感器属于新业务板块，因此迁入物理AI传感器并由边缘上调为相关，不按整个公司判核心。</t>
        </is>
      </c>
      <c r="J80" s="6" t="inlineStr">
        <is>
          <t>凌云股份2025年度暨2026年一季度业绩说明材料</t>
        </is>
      </c>
      <c r="K80" s="6" t="inlineStr">
        <is>
          <t>2026-05-14</t>
        </is>
      </c>
      <c r="L80" s="6" t="inlineStr">
        <is>
          <t>iFinD ifind_get_stock_info (as of 2026-10-27)；凌云股份2025年度暨2026年一季度业绩说明材料</t>
        </is>
      </c>
      <c r="M80" s="7" t="inlineStr">
        <is>
          <t>https://stockmc.xueqiu.com/202605/600480_20260514_XYKO.pdf</t>
        </is>
      </c>
    </row>
    <row r="81" ht="24" customHeight="1">
      <c r="B81" s="4" t="inlineStr">
        <is>
          <t>600558</t>
        </is>
      </c>
      <c r="C81" s="4" t="inlineStr">
        <is>
          <t>大西洋</t>
        </is>
      </c>
      <c r="D81" s="4" t="inlineStr">
        <is>
          <t>机器人：其他；机器人：其他</t>
        </is>
      </c>
      <c r="E81" s="4" t="inlineStr">
        <is>
          <t>摘除</t>
        </is>
      </c>
      <c r="F81" s="4" t="inlineStr">
        <is>
          <t>—</t>
        </is>
      </c>
      <c r="G81" s="4" t="inlineStr">
        <is>
          <t>—</t>
        </is>
      </c>
      <c r="H81" s="4" t="inlineStr">
        <is>
          <t>摘除</t>
        </is>
      </c>
      <c r="I81" s="4" t="inlineStr">
        <is>
          <t>公司主营焊条、焊丝、焊剂等通用焊接耗材，产品可用于人工或自动化焊接，但自动化焊接材料并不等于机器人专用产品。年报及主营资料未见机器人专用耗材、订单或项目，无法证明与机器人产品或应用业务存在直接对应关系，旧两条其他标签又属重复，故判为错标并摘除。</t>
        </is>
      </c>
      <c r="J81" s="4" t="inlineStr">
        <is>
          <t>大西洋：2025年年度报告摘要</t>
        </is>
      </c>
      <c r="K81" s="4" t="inlineStr">
        <is>
          <t>2026-04-07</t>
        </is>
      </c>
      <c r="L81" s="4" t="inlineStr">
        <is>
          <t>iFinD ifind_get_stock_info (as of 2026-10-27)；大西洋：2025年年度报告摘要</t>
        </is>
      </c>
      <c r="M81" s="5" t="inlineStr">
        <is>
          <t>http://vip.stock.finance.sina.com.cn/corp/view/vCB_AllBulletinDetail.php?stockid=600558&amp;id=12064229</t>
        </is>
      </c>
    </row>
    <row r="82" ht="24" customHeight="1">
      <c r="B82" s="6" t="inlineStr">
        <is>
          <t>600580</t>
        </is>
      </c>
      <c r="C82" s="6" t="inlineStr">
        <is>
          <t>卧龙电驱</t>
        </is>
      </c>
      <c r="D82" s="6" t="inlineStr">
        <is>
          <t>机器人：电机</t>
        </is>
      </c>
      <c r="E82" s="6" t="inlineStr">
        <is>
          <t>保留</t>
        </is>
      </c>
      <c r="F82" s="6" t="inlineStr">
        <is>
          <t>机器人</t>
        </is>
      </c>
      <c r="G82" s="6" t="inlineStr">
        <is>
          <t>电机</t>
        </is>
      </c>
      <c r="H82" s="6" t="inlineStr">
        <is>
          <t>相关</t>
        </is>
      </c>
      <c r="I82" s="6" t="inlineStr">
        <is>
          <t>公司主营电机及控制产品，年报业务板块已列机器人组件及系统应用，电机、驱动与控制产品可直接进入机器人动力和关节环节，并非纯概念映射。机器人组件仅公司众多应用板块之一，不能因电机整体属于主营就将整个公司判为机器人核心，故维持电机相关。</t>
        </is>
      </c>
      <c r="J82" s="6" t="inlineStr">
        <is>
          <t>卧龙电驱：2025年年度报告</t>
        </is>
      </c>
      <c r="K82" s="6" t="inlineStr">
        <is>
          <t>2026-03-21</t>
        </is>
      </c>
      <c r="L82" s="6" t="inlineStr">
        <is>
          <t>iFinD ifind_get_stock_info (as of 2026-10-27)；卧龙电驱：2025年年度报告</t>
        </is>
      </c>
      <c r="M82" s="7" t="inlineStr">
        <is>
          <t>https://money.finance.sina.com.cn/corp/view/vCB_AllBulletinDetail.php?stockid=600580&amp;id=12008255</t>
        </is>
      </c>
    </row>
    <row r="83" ht="24" customHeight="1">
      <c r="B83" s="4" t="inlineStr">
        <is>
          <t>600699</t>
        </is>
      </c>
      <c r="C83" s="4" t="inlineStr">
        <is>
          <t>均胜电子</t>
        </is>
      </c>
      <c r="D83" s="4" t="inlineStr">
        <is>
          <t>机器人：控制器</t>
        </is>
      </c>
      <c r="E83" s="4" t="inlineStr">
        <is>
          <t>迁移</t>
        </is>
      </c>
      <c r="F83" s="4" t="inlineStr">
        <is>
          <t>物理AI</t>
        </is>
      </c>
      <c r="G83" s="4" t="inlineStr">
        <is>
          <t>物理AI_智能控制</t>
        </is>
      </c>
      <c r="H83" s="4" t="inlineStr">
        <is>
          <t>相关</t>
        </is>
      </c>
      <c r="I83" s="4" t="inlineStr">
        <is>
          <t>公司2025年设立全资具身机器人子公司，推出融合大小脑、供电和散热的全域控制器胸腔及底盘总成，后续大脑控制器已向头部客户规模化量产供货，旧无实质机器人业务判断已过时。产品直接承担具身设备智能控制，但汽车电子与安全仍占绝对主体，故迁入物理AI智能控制并判相关。</t>
        </is>
      </c>
      <c r="J83" s="4" t="inlineStr">
        <is>
          <t>均胜电子：2025年年度报告</t>
        </is>
      </c>
      <c r="K83" s="4" t="inlineStr">
        <is>
          <t>2026-03-31</t>
        </is>
      </c>
      <c r="L83" s="4" t="inlineStr">
        <is>
          <t>iFinD ifind_get_stock_info (as of 2026-10-27)；均胜电子：2025年年度报告</t>
        </is>
      </c>
      <c r="M83" s="5" t="inlineStr">
        <is>
          <t>https://money.finance.sina.com.cn/corp/view/vCB_AllBulletinDetail.php?stockid=600699&amp;id=12040243</t>
        </is>
      </c>
    </row>
    <row r="84" ht="24" customHeight="1">
      <c r="B84" s="6" t="inlineStr">
        <is>
          <t>601100</t>
        </is>
      </c>
      <c r="C84" s="6" t="inlineStr">
        <is>
          <t>恒立液压</t>
        </is>
      </c>
      <c r="D84" s="6" t="inlineStr">
        <is>
          <t>机器人：丝杠</t>
        </is>
      </c>
      <c r="E84" s="6" t="inlineStr">
        <is>
          <t>纠错</t>
        </is>
      </c>
      <c r="F84" s="6" t="inlineStr">
        <is>
          <t>机器人</t>
        </is>
      </c>
      <c r="G84" s="6" t="inlineStr">
        <is>
          <t>丝杠</t>
        </is>
      </c>
      <c r="H84" s="6" t="inlineStr">
        <is>
          <t>相关</t>
        </is>
      </c>
      <c r="I84" s="6" t="inlineStr">
        <is>
          <t>公司线性驱动器、滚珠及行星滚柱丝杠、一体化电动执行器已形成量产能力，行星丝杠执行器可直接用于机器人线性关节，具备明确产品和产业化基础。高压油缸、泵阀等液压件仍是主营基本盘，机器人丝杠及执行器属于新板块，因此由核心降级为相关。</t>
        </is>
      </c>
      <c r="J84" s="6" t="inlineStr">
        <is>
          <t>恒立液压线性驱动器产能及量产情况</t>
        </is>
      </c>
      <c r="K84" s="6" t="inlineStr">
        <is>
          <t>2025-08-29</t>
        </is>
      </c>
      <c r="L84" s="6" t="inlineStr">
        <is>
          <t>iFinD ifind_get_stock_info (as of 2026-10-27)；恒立液压线性驱动器产能及量产情况</t>
        </is>
      </c>
      <c r="M84" s="7" t="inlineStr">
        <is>
          <t>https://www.sgpjbg.com.cn/labels/hengliyeyaxianxingqudongqichanneng/1/6877271.html</t>
        </is>
      </c>
    </row>
    <row r="85" ht="24" customHeight="1">
      <c r="B85" s="4" t="inlineStr">
        <is>
          <t>601689</t>
        </is>
      </c>
      <c r="C85" s="4" t="inlineStr">
        <is>
          <t>拓普集团</t>
        </is>
      </c>
      <c r="D85" s="4" t="inlineStr">
        <is>
          <t>机器人：总成</t>
        </is>
      </c>
      <c r="E85" s="4" t="inlineStr">
        <is>
          <t>纠错</t>
        </is>
      </c>
      <c r="F85" s="4" t="inlineStr">
        <is>
          <t>机器人</t>
        </is>
      </c>
      <c r="G85" s="4" t="inlineStr">
        <is>
          <t>总成</t>
        </is>
      </c>
      <c r="H85" s="4" t="inlineStr">
        <is>
          <t>相关</t>
        </is>
      </c>
      <c r="I85" s="4" t="inlineStr">
        <is>
          <t>公司机器人产品覆盖直线及旋转执行器、灵巧手电机及总成、传感器和结构件，年报已披露完整产品布局，可直接对应机器人执行与总成环节。汽车NVH、底盘、热管理等仍构成公司主体，机器人执行器只是新业务一块，因此保留总成标签但由核心降级为相关。</t>
        </is>
      </c>
      <c r="J85" s="4" t="inlineStr">
        <is>
          <t>拓普集团：2025年年度报告</t>
        </is>
      </c>
      <c r="K85" s="4" t="inlineStr">
        <is>
          <t>2026-03-11</t>
        </is>
      </c>
      <c r="L85" s="4" t="inlineStr">
        <is>
          <t>iFinD ifind_get_stock_info (as of 2026-10-27)；拓普集团：2025年年度报告</t>
        </is>
      </c>
      <c r="M85" s="5" t="inlineStr">
        <is>
          <t>https://www.tuopu.com/wp-content/uploads/2026/03/%E6%8B%93%E6%99%AE%E9%9B%86%E5%9B%A22025%E5%B9%B4%E5%B9%B4%E5%BA%A6%E6%8A%A5%E5%91%8A.pdf</t>
        </is>
      </c>
    </row>
    <row r="86" ht="24" customHeight="1">
      <c r="B86" s="6" t="inlineStr">
        <is>
          <t>603009</t>
        </is>
      </c>
      <c r="C86" s="6" t="inlineStr">
        <is>
          <t>北特科技</t>
        </is>
      </c>
      <c r="D86" s="6" t="inlineStr">
        <is>
          <t>机器人：丝杠</t>
        </is>
      </c>
      <c r="E86" s="6" t="inlineStr">
        <is>
          <t>摘除</t>
        </is>
      </c>
      <c r="F86" s="6" t="inlineStr">
        <is>
          <t>—</t>
        </is>
      </c>
      <c r="G86" s="6" t="inlineStr">
        <is>
          <t>—</t>
        </is>
      </c>
      <c r="H86" s="6" t="inlineStr">
        <is>
          <t>摘除</t>
        </is>
      </c>
      <c r="I86" s="6" t="inlineStr">
        <is>
          <t>公司虽已布局行星滚柱、滚珠、梯形丝杠并建设昆山、泰国产能，但截至2026年公开披露，人形机器人丝杠仍处样件阶段，未获正式定点、未形成收入。汽车底盘零部件主业和产能建设不能替代机器人客户交付，现有证据仅支持研发及产业化预期，原相关标签证据不足，故摘除。</t>
        </is>
      </c>
      <c r="J86" s="6" t="inlineStr">
        <is>
          <t>北特科技丝杠仍处样件阶段且未形成收入</t>
        </is>
      </c>
      <c r="K86" s="6" t="inlineStr">
        <is>
          <t>2026-08-19</t>
        </is>
      </c>
      <c r="L86" s="6" t="inlineStr">
        <is>
          <t>iFinD ifind_get_stock_info (as of 2026-10-27)；北特科技丝杠仍处样件阶段且未形成收入</t>
        </is>
      </c>
      <c r="M86" s="7" t="inlineStr">
        <is>
          <t>https://www.huxiu.com/article/4884303.html</t>
        </is>
      </c>
    </row>
    <row r="87" ht="24" customHeight="1">
      <c r="B87" s="4" t="inlineStr">
        <is>
          <t>603028</t>
        </is>
      </c>
      <c r="C87" s="4" t="inlineStr">
        <is>
          <t>赛福天</t>
        </is>
      </c>
      <c r="D87" s="4" t="inlineStr">
        <is>
          <t>机器人：腱绳材料</t>
        </is>
      </c>
      <c r="E87" s="4" t="inlineStr">
        <is>
          <t>纠错</t>
        </is>
      </c>
      <c r="F87" s="4" t="inlineStr">
        <is>
          <t>机器人</t>
        </is>
      </c>
      <c r="G87" s="4" t="inlineStr">
        <is>
          <t>腱绳材料</t>
        </is>
      </c>
      <c r="H87" s="4" t="inlineStr">
        <is>
          <t>相关</t>
        </is>
      </c>
      <c r="I87" s="4" t="inlineStr">
        <is>
          <t>公司机器人钢丝绳可用于手臂、大腿等部位的精密传动，已与上海交大机器人团队签订合同订单，样品送测多家企业，并与卓益得开展战略合作，具备真实产品、订单和客户验证。该业务规模尚小，公司另有钢丝绳及光伏等业务，故由核心降级为相关而非摘除。</t>
        </is>
      </c>
      <c r="J87" s="4" t="inlineStr">
        <is>
          <t>赛福天：2025年年度报告</t>
        </is>
      </c>
      <c r="K87" s="4" t="inlineStr">
        <is>
          <t>2026-04-23</t>
        </is>
      </c>
      <c r="L87" s="4" t="inlineStr">
        <is>
          <t>iFinD ifind_get_stock_info (as of 2026-10-27)；赛福天：2025年年度报告</t>
        </is>
      </c>
      <c r="M87" s="5" t="inlineStr">
        <is>
          <t>https://static.cninfo.com.cn/finalpage/2026-04-23/1225147705.PDF</t>
        </is>
      </c>
    </row>
    <row r="88" ht="24" customHeight="1">
      <c r="B88" s="6" t="inlineStr">
        <is>
          <t>603081</t>
        </is>
      </c>
      <c r="C88" s="6" t="inlineStr">
        <is>
          <t>大丰实业</t>
        </is>
      </c>
      <c r="D88" s="6" t="inlineStr">
        <is>
          <t>机器人：本体及应用</t>
        </is>
      </c>
      <c r="E88" s="6" t="inlineStr">
        <is>
          <t>纠错</t>
        </is>
      </c>
      <c r="F88" s="6" t="inlineStr">
        <is>
          <t>机器人</t>
        </is>
      </c>
      <c r="G88" s="6" t="inlineStr">
        <is>
          <t>场景应用</t>
        </is>
      </c>
      <c r="H88" s="6" t="inlineStr">
        <is>
          <t>相关</t>
        </is>
      </c>
      <c r="I88" s="6" t="inlineStr">
        <is>
          <t>公司控股51%的硅基方舟与智元合作，机器人已在浙BA和今夕共西溪完成真实演艺应用，并组建人机互动乐队，属于已经落地的文旅场景项目，强于单纯参股或研发预期。公司未证明机器人本体制造能力，且场景运营仅为一块业务，故改标场景应用并由边缘上调为相关。</t>
        </is>
      </c>
      <c r="J88" s="6" t="inlineStr">
        <is>
          <t>大丰实业：2025年年度报告</t>
        </is>
      </c>
      <c r="K88" s="6" t="inlineStr">
        <is>
          <t>2026-04-21</t>
        </is>
      </c>
      <c r="L88" s="6" t="inlineStr">
        <is>
          <t>iFinD ifind_get_stock_info (as of 2026-10-27)；大丰实业：2025年年度报告</t>
        </is>
      </c>
      <c r="M88" s="7" t="inlineStr">
        <is>
          <t>https://money.finance.sina.com.cn/corp/view/vCB_AllBulletinDetail.php?stockid=603081&amp;id=12119104</t>
        </is>
      </c>
    </row>
    <row r="89" ht="24" customHeight="1">
      <c r="B89" s="4" t="inlineStr">
        <is>
          <t>603082</t>
        </is>
      </c>
      <c r="C89" s="4" t="inlineStr">
        <is>
          <t>北自科技</t>
        </is>
      </c>
      <c r="D89" s="4" t="inlineStr">
        <is>
          <t>机器人：本体及应用</t>
        </is>
      </c>
      <c r="E89" s="4" t="inlineStr">
        <is>
          <t>纠错</t>
        </is>
      </c>
      <c r="F89" s="4" t="inlineStr">
        <is>
          <t>机器人</t>
        </is>
      </c>
      <c r="G89" s="4" t="inlineStr">
        <is>
          <t>自动化集成</t>
        </is>
      </c>
      <c r="H89" s="4" t="inlineStr">
        <is>
          <t>核心</t>
        </is>
      </c>
      <c r="I89" s="4" t="inlineStr">
        <is>
          <t>公司主营以自动化立体仓库为核心的智能物流系统研发、设计、制造与集成，交付堆垛机、穿梭车、输送分拣等系统，自动化集成属于明确主业。AGV子系统存在外购嵌入，不能据此写成自研机器人本体，故将本体及应用纠正为自动化集成，核心判词保持不变。</t>
        </is>
      </c>
      <c r="J89" s="4" t="inlineStr">
        <is>
          <t>北自科技：2025年年度报告摘要</t>
        </is>
      </c>
      <c r="K89" s="4" t="inlineStr">
        <is>
          <t>2026-04-02</t>
        </is>
      </c>
      <c r="L89" s="4" t="inlineStr">
        <is>
          <t>iFinD ifind_get_stock_info (as of 2026-10-27)；北自科技：2025年年度报告摘要</t>
        </is>
      </c>
      <c r="M89" s="5" t="inlineStr">
        <is>
          <t>http://static.cninfo.com.cn/finalpage/2026-04-02/1225072317.PDF</t>
        </is>
      </c>
    </row>
    <row r="90" ht="24" customHeight="1">
      <c r="B90" s="6" t="inlineStr">
        <is>
          <t>603089</t>
        </is>
      </c>
      <c r="C90" s="6" t="inlineStr">
        <is>
          <t>正裕工业</t>
        </is>
      </c>
      <c r="D90" s="6" t="inlineStr">
        <is>
          <t>机器人：柔性触感</t>
        </is>
      </c>
      <c r="E90" s="6" t="inlineStr">
        <is>
          <t>摘除</t>
        </is>
      </c>
      <c r="F90" s="6" t="inlineStr">
        <is>
          <t>—</t>
        </is>
      </c>
      <c r="G90" s="6" t="inlineStr">
        <is>
          <t>—</t>
        </is>
      </c>
      <c r="H90" s="6" t="inlineStr">
        <is>
          <t>摘除</t>
        </is>
      </c>
      <c r="I90" s="6" t="inlineStr">
        <is>
          <t>公司主营汽车减震器，柔性触觉核心产品虽已完成技术攻关和样品研发，但2026年10月23日仍明确仅提供样品，尚未批量生产、未形成收入。现有证据停留在样品验证和产业化预期，不能证明柔性触感已成为真实业务，继续维持标签会与商业化阶段不符，故摘除。</t>
        </is>
      </c>
      <c r="J90" s="6" t="inlineStr">
        <is>
          <t>正裕工业风险提示：柔性触觉产品仅提供样品、未量产且无收入</t>
        </is>
      </c>
      <c r="K90" s="6" t="inlineStr">
        <is>
          <t>2026-10-23</t>
        </is>
      </c>
      <c r="L90" s="6" t="inlineStr">
        <is>
          <t>iFinD ifind_get_stock_info (as of 2026-10-27)；正裕工业风险提示：柔性触觉产品仅提供样品、未量产且无收入</t>
        </is>
      </c>
      <c r="M90" s="7" t="inlineStr">
        <is>
          <t>https://www.cls.cn/detail/2513546</t>
        </is>
      </c>
    </row>
    <row r="91" ht="24" customHeight="1">
      <c r="B91" s="4" t="inlineStr">
        <is>
          <t>603119</t>
        </is>
      </c>
      <c r="C91" s="4" t="inlineStr">
        <is>
          <t>浙江荣泰</t>
        </is>
      </c>
      <c r="D91" s="4" t="inlineStr">
        <is>
          <t>机器人：结构件</t>
        </is>
      </c>
      <c r="E91" s="4" t="inlineStr">
        <is>
          <t>纠错</t>
        </is>
      </c>
      <c r="F91" s="4" t="inlineStr">
        <is>
          <t>机器人</t>
        </is>
      </c>
      <c r="G91" s="4" t="inlineStr">
        <is>
          <t>结构件</t>
        </is>
      </c>
      <c r="H91" s="4" t="inlineStr">
        <is>
          <t>相关</t>
        </is>
      </c>
      <c r="I91" s="4" t="inlineStr">
        <is>
          <t>公司2025年收购狄兹精密51%后，新增电机、直线驱动执行器、传动组件及配套精密结构件，可直接服务机器人传动和执行结构，机器人相关新增收入8967.45万元，已形成真实业务。该板块与云母绝缘材料主业并存，不再是材料能力的弱映射，故由边缘上调为相关。</t>
        </is>
      </c>
      <c r="J91" s="4" t="inlineStr">
        <is>
          <t>浙江荣泰：2025年年度报告</t>
        </is>
      </c>
      <c r="K91" s="4" t="inlineStr">
        <is>
          <t>2026-04-01</t>
        </is>
      </c>
      <c r="L91" s="4" t="inlineStr">
        <is>
          <t>iFinD ifind_get_stock_info (as of 2026-10-27)；浙江荣泰：2025年年度报告</t>
        </is>
      </c>
      <c r="M91" s="5" t="inlineStr">
        <is>
          <t>http://file.finance.sina.com.cn/211.154.219.97:9494/MRGG/CNSESH_STOCK/2026/2026-4/2026-04-01/12051277.PDF</t>
        </is>
      </c>
    </row>
    <row r="92" ht="24" customHeight="1">
      <c r="B92" s="6" t="inlineStr">
        <is>
          <t>603236</t>
        </is>
      </c>
      <c r="C92" s="6" t="inlineStr">
        <is>
          <t>移远通信</t>
        </is>
      </c>
      <c r="D92" s="6" t="inlineStr">
        <is>
          <t>机器人：其他</t>
        </is>
      </c>
      <c r="E92" s="6" t="inlineStr">
        <is>
          <t>迁移</t>
        </is>
      </c>
      <c r="F92" s="6" t="inlineStr">
        <is>
          <t>物理AI</t>
        </is>
      </c>
      <c r="G92" s="6" t="inlineStr">
        <is>
          <t>物理AI_通信模组</t>
        </is>
      </c>
      <c r="H92" s="6" t="inlineStr">
        <is>
          <t>核心</t>
        </is>
      </c>
      <c r="I92" s="6" t="inlineStr">
        <is>
          <t>公司主营蜂窝、车载、智能及边缘计算、短距、GNSS和卫星模组，可直接承担机器人连接、定位与端侧计算；2026年半年报又披露Q-Robotbox、AI算力模组及机器人方案。迁移依据是通信模组这一明确主营，而非人形机器人概念映射，故归入物理AI通信模组并升为核心。</t>
        </is>
      </c>
      <c r="J92" s="6" t="inlineStr">
        <is>
          <t>移远通信：2026年半年度报告</t>
        </is>
      </c>
      <c r="K92" s="6" t="inlineStr">
        <is>
          <t>2026-08-13</t>
        </is>
      </c>
      <c r="L92" s="6" t="inlineStr">
        <is>
          <t>iFinD ifind_get_stock_info (as of 2026-10-27)；移远通信：2026年半年度报告</t>
        </is>
      </c>
      <c r="M92" s="7" t="inlineStr">
        <is>
          <t>http://money.finance.sina.com.cn/corp/view/vCB_AllBulletinDetail.php?stockid=603236&amp;id=12490083</t>
        </is>
      </c>
    </row>
    <row r="93" ht="24" customHeight="1">
      <c r="B93" s="4" t="inlineStr">
        <is>
          <t>603278</t>
        </is>
      </c>
      <c r="C93" s="4" t="inlineStr">
        <is>
          <t>大业股份</t>
        </is>
      </c>
      <c r="D93" s="4" t="inlineStr">
        <is>
          <t>机器人：腱绳材料</t>
        </is>
      </c>
      <c r="E93" s="4" t="inlineStr">
        <is>
          <t>摘除</t>
        </is>
      </c>
      <c r="F93" s="4" t="inlineStr">
        <is>
          <t>—</t>
        </is>
      </c>
      <c r="G93" s="4" t="inlineStr">
        <is>
          <t>—</t>
        </is>
      </c>
      <c r="H93" s="4" t="inlineStr">
        <is>
          <t>摘除</t>
        </is>
      </c>
      <c r="I93" s="4" t="inlineStr">
        <is>
          <t>公司与北邮开展腱绳材料及感知功能开发并进行小批量送样，但2026年10月21日再次明确尚未批量生产、未产生实质收益，也无证据支持特斯拉订单。胎圈钢丝和钢帘线主营不能外推为机器人核心，现阶段仍属研发送样及产业化预期，原核心标签明显过强，故摘除。</t>
        </is>
      </c>
      <c r="J93" s="4" t="inlineStr">
        <is>
          <t>大业股份澄清机器人腱绳尚未量产且未产生实质收益</t>
        </is>
      </c>
      <c r="K93" s="4" t="inlineStr">
        <is>
          <t>2026-10-21</t>
        </is>
      </c>
      <c r="L93" s="4" t="inlineStr">
        <is>
          <t>iFinD ifind_get_stock_info (as of 2026-10-27)；大业股份澄清机器人腱绳尚未量产且未产生实质收益</t>
        </is>
      </c>
      <c r="M93" s="5" t="inlineStr">
        <is>
          <t>https://www.cls.cn/detail/2511217</t>
        </is>
      </c>
    </row>
    <row r="94" ht="24" customHeight="1">
      <c r="B94" s="6" t="inlineStr">
        <is>
          <t>603280</t>
        </is>
      </c>
      <c r="C94" s="6" t="inlineStr">
        <is>
          <t>南方路机</t>
        </is>
      </c>
      <c r="D94" s="6" t="inlineStr">
        <is>
          <t>机器人：本体及应用</t>
        </is>
      </c>
      <c r="E94" s="6" t="inlineStr">
        <is>
          <t>摘除</t>
        </is>
      </c>
      <c r="F94" s="6" t="inlineStr">
        <is>
          <t>—</t>
        </is>
      </c>
      <c r="G94" s="6" t="inlineStr">
        <is>
          <t>—</t>
        </is>
      </c>
      <c r="H94" s="6" t="inlineStr">
        <is>
          <t>摘除</t>
        </is>
      </c>
      <c r="I94" s="6" t="inlineStr">
        <is>
          <t>公司主营工程搅拌、骨料加工及再生资源处理设备，智能检测和智能分拣是自有工程装备的智能化功能，不等于机器人本体或独立机器人应用业务。年报及主营资料未见机器人产品、订单或项目，无法建立与机器人本体及应用的直接业务关系，故判为错标并摘除。</t>
        </is>
      </c>
      <c r="J94" s="6" t="inlineStr">
        <is>
          <t>南方路机：2025年年度报告</t>
        </is>
      </c>
      <c r="K94" s="6" t="inlineStr">
        <is>
          <t>2026-04-30</t>
        </is>
      </c>
      <c r="L94" s="6" t="inlineStr">
        <is>
          <t>iFinD ifind_get_stock_info (as of 2026-10-27)；南方路机：2025年年度报告</t>
        </is>
      </c>
      <c r="M94" s="7" t="inlineStr">
        <is>
          <t>https://money.finance.sina.com.cn/corp/view/vCB_AllBulletinDetail.php?stockid=603280&amp;id=12285199</t>
        </is>
      </c>
    </row>
    <row r="95" ht="24" customHeight="1">
      <c r="B95" s="4" t="inlineStr">
        <is>
          <t>603286</t>
        </is>
      </c>
      <c r="C95" s="4" t="inlineStr">
        <is>
          <t>日盈电子</t>
        </is>
      </c>
      <c r="D95" s="4" t="inlineStr">
        <is>
          <t>机器人：零部件</t>
        </is>
      </c>
      <c r="E95" s="4" t="inlineStr">
        <is>
          <t>迁移</t>
        </is>
      </c>
      <c r="F95" s="4" t="inlineStr">
        <is>
          <t>物理AI</t>
        </is>
      </c>
      <c r="G95" s="4" t="inlineStr">
        <is>
          <t>物理AI_传感器</t>
        </is>
      </c>
      <c r="H95" s="4" t="inlineStr">
        <is>
          <t>相关</t>
        </is>
      </c>
      <c r="I95" s="4" t="inlineStr">
        <is>
          <t>公司由汽车传感器延伸至压阻式电子皮肤，指尖样品集成压力和温度触点，已向国内外头部人形机器人客户送样。2026年7月公告产品处于客户端验证及小批量试制阶段，项目已有不足1万元收入，满足真实产品和项目口径；但收入极小且汽车零部件仍为主业，故迁入物理AI传感器并维持相关。</t>
        </is>
      </c>
      <c r="J95" s="4" t="inlineStr">
        <is>
          <t>日盈电子：股票交易异常波动公告</t>
        </is>
      </c>
      <c r="K95" s="4" t="inlineStr">
        <is>
          <t>2026-07-04</t>
        </is>
      </c>
      <c r="L95" s="4" t="inlineStr">
        <is>
          <t>iFinD ifind_get_stock_info (as of 2026-10-27)；日盈电子：股票交易异常波动公告</t>
        </is>
      </c>
      <c r="M95" s="5" t="inlineStr">
        <is>
          <t>http://file.finance.sina.com.cn/211.154.219.97:9494/MRGG/CNSESH_STOCK/2026/2026-7/2026-07-04/12430620.PDF</t>
        </is>
      </c>
    </row>
    <row r="96" ht="24" customHeight="1">
      <c r="B96" s="6" t="inlineStr">
        <is>
          <t>603305</t>
        </is>
      </c>
      <c r="C96" s="6" t="inlineStr">
        <is>
          <t>旭升集团</t>
        </is>
      </c>
      <c r="D96" s="6" t="inlineStr">
        <is>
          <t>机器人：结构件</t>
        </is>
      </c>
      <c r="E96" s="6" t="inlineStr">
        <is>
          <t>纠错</t>
        </is>
      </c>
      <c r="F96" s="6" t="inlineStr">
        <is>
          <t>机器人</t>
        </is>
      </c>
      <c r="G96" s="6" t="inlineStr">
        <is>
          <t>结构件</t>
        </is>
      </c>
      <c r="H96" s="6" t="inlineStr">
        <is>
          <t>相关</t>
        </is>
      </c>
      <c r="I96" s="6" t="inlineStr">
        <is>
          <t>公司执行器壳体、躯干结构件和胸腔类零部件已完成开发，并在客户验证、样件交付和小批量生产方面取得进展，可直接用于机器人承载及执行器结构环节，不再只是研发预期。汽车轻量化仍为主业，机器人结构件仅一块业务，因此由边缘上调为相关而非核心。</t>
        </is>
      </c>
      <c r="J96" s="6" t="inlineStr">
        <is>
          <t>旭升集团：2025年年度报告</t>
        </is>
      </c>
      <c r="K96" s="6" t="inlineStr">
        <is>
          <t>2026-04-23</t>
        </is>
      </c>
      <c r="L96" s="6" t="inlineStr">
        <is>
          <t>iFinD ifind_get_stock_info (as of 2026-10-27)；旭升集团：2025年年度报告</t>
        </is>
      </c>
      <c r="M96" s="7" t="inlineStr">
        <is>
          <t>https://money.finance.sina.com.cn/corp/view/vCB_AllBulletinDetail.php?stockid=603305&amp;id=12142301</t>
        </is>
      </c>
    </row>
    <row r="97" ht="24" customHeight="1">
      <c r="B97" s="4" t="inlineStr">
        <is>
          <t>603337</t>
        </is>
      </c>
      <c r="C97" s="4" t="inlineStr">
        <is>
          <t>杰克科技</t>
        </is>
      </c>
      <c r="D97" s="4" t="inlineStr">
        <is>
          <t>机器人：本体及应用</t>
        </is>
      </c>
      <c r="E97" s="4" t="inlineStr">
        <is>
          <t>迁移</t>
        </is>
      </c>
      <c r="F97" s="4" t="inlineStr">
        <is>
          <t>物理AI</t>
        </is>
      </c>
      <c r="G97" s="4" t="inlineStr">
        <is>
          <t>物理AI_具身本体</t>
        </is>
      </c>
      <c r="H97" s="4" t="inlineStr">
        <is>
          <t>相关</t>
        </is>
      </c>
      <c r="I97" s="4" t="inlineStr">
        <is>
          <t>缝制设备仍为公司主营；艾图人形机器人已有原型，并针对服装厂裁片分离、抓取、摆放和对齐开展联合创新，与具身作业直接相关。2026年半年报仍预计2026年10月上市，尚不能认定已量产，且该业务尚未取代缝制设备主业，故由边缘调整为相关并迁入物理AI具身本体。</t>
        </is>
      </c>
      <c r="J97" s="4" t="inlineStr">
        <is>
          <t>杰克科技2026年半年度报告</t>
        </is>
      </c>
      <c r="K97" s="4" t="inlineStr">
        <is>
          <t>2026-08-25</t>
        </is>
      </c>
      <c r="L97" s="4" t="inlineStr">
        <is>
          <t>iFinD ifind_get_stock_info (as of 2026-10-27)；杰克科技2026年半年度报告</t>
        </is>
      </c>
      <c r="M97" s="5" t="inlineStr">
        <is>
          <t>https://vip.stock.finance.sina.com.cn/corp/view/vCB_AllBulletinDetail.php?stockid=603337&amp;id=12524777</t>
        </is>
      </c>
    </row>
    <row r="98" ht="24" customHeight="1">
      <c r="B98" s="6" t="inlineStr">
        <is>
          <t>603341</t>
        </is>
      </c>
      <c r="C98" s="6" t="inlineStr">
        <is>
          <t>龙旗科技</t>
        </is>
      </c>
      <c r="D98" s="6" t="inlineStr">
        <is>
          <t>物理AI：物理AI_智能终端</t>
        </is>
      </c>
      <c r="E98" s="6" t="inlineStr">
        <is>
          <t>纠错</t>
        </is>
      </c>
      <c r="F98" s="6" t="inlineStr">
        <is>
          <t>物理AI</t>
        </is>
      </c>
      <c r="G98" s="6" t="inlineStr">
        <is>
          <t>物理AI_智能终端</t>
        </is>
      </c>
      <c r="H98" s="6" t="inlineStr">
        <is>
          <t>核心</t>
        </is>
      </c>
      <c r="I98" s="6" t="inlineStr">
        <is>
          <t>智能手机、平板电脑和AIoT产品均为公司明确的ODM主营业务，智能终端与现有产品体系直接对应。2025年AIoT收入78.69亿元，智能眼镜已实现多品类规模量产，不属于研发预期或附属概念，足以支撑核心判词；该结论仅强化物理AI智能终端标签，不据此增加机器人概念。</t>
        </is>
      </c>
      <c r="J98" s="6" t="inlineStr">
        <is>
          <t>龙旗科技2025年年度报告</t>
        </is>
      </c>
      <c r="K98" s="6" t="inlineStr">
        <is>
          <t>2026-03-31</t>
        </is>
      </c>
      <c r="L98" s="6" t="inlineStr">
        <is>
          <t>iFinD ifind_get_stock_info (as of 2026-10-27)；龙旗科技2025年年度报告</t>
        </is>
      </c>
      <c r="M98" s="7" t="inlineStr">
        <is>
          <t>http://money.finance.sina.com.cn/corp/view/vCB_AllBulletinDetail.php?stockid=603341&amp;id=12043474</t>
        </is>
      </c>
    </row>
    <row r="99" ht="24" customHeight="1">
      <c r="B99" s="4" t="inlineStr">
        <is>
          <t>603350</t>
        </is>
      </c>
      <c r="C99" s="4" t="inlineStr">
        <is>
          <t>安乃达</t>
        </is>
      </c>
      <c r="D99" s="4" t="inlineStr">
        <is>
          <t>机器人：电机</t>
        </is>
      </c>
      <c r="E99" s="4" t="inlineStr">
        <is>
          <t>纠错</t>
        </is>
      </c>
      <c r="F99" s="4" t="inlineStr">
        <is>
          <t>机器人</t>
        </is>
      </c>
      <c r="G99" s="4" t="inlineStr">
        <is>
          <t>电机</t>
        </is>
      </c>
      <c r="H99" s="4" t="inlineStr">
        <is>
          <t>相关</t>
        </is>
      </c>
      <c r="I99" s="4" t="inlineStr">
        <is>
          <t>公司已为清洁、割草、扫雪和捡球等机器人提供定制电机及驱动系统，2026年重点拓展商用清洁机器人底盘电机，产品与机器人动力环节直接对应。1.26亿元为智能出行等全部新兴领域电机销售合计，并非机器人单项收入；公司亦明确暂无人形关节模组计划，因此由边缘升为相关，不列核心。</t>
        </is>
      </c>
      <c r="J99" s="4" t="inlineStr">
        <is>
          <t>安乃达2025年年度报告</t>
        </is>
      </c>
      <c r="K99" s="4" t="inlineStr">
        <is>
          <t>2026-04-10</t>
        </is>
      </c>
      <c r="L99" s="4" t="inlineStr">
        <is>
          <t>iFinD ifind_get_stock_info (as of 2026-10-27)；安乃达2025年年度报告</t>
        </is>
      </c>
      <c r="M99" s="5" t="inlineStr">
        <is>
          <t>https://money.finance.sina.com.cn/corp/view/vCB_AllBulletinDetail.php?stockid=603350&amp;id=12072828</t>
        </is>
      </c>
    </row>
    <row r="100" ht="24" customHeight="1">
      <c r="B100" s="6" t="inlineStr">
        <is>
          <t>603370</t>
        </is>
      </c>
      <c r="C100" s="6" t="inlineStr">
        <is>
          <t>华新精科</t>
        </is>
      </c>
      <c r="D100" s="6" t="inlineStr">
        <is>
          <t>机器人：精密铁芯</t>
        </is>
      </c>
      <c r="E100" s="6" t="inlineStr">
        <is>
          <t>保留</t>
        </is>
      </c>
      <c r="F100" s="6" t="inlineStr">
        <is>
          <t>机器人</t>
        </is>
      </c>
      <c r="G100" s="6" t="inlineStr">
        <is>
          <t>精密铁芯</t>
        </is>
      </c>
      <c r="H100" s="6" t="inlineStr">
        <is>
          <t>相关</t>
        </is>
      </c>
      <c r="I100" s="6" t="inlineStr">
        <is>
          <t>无框力矩电机和空心杯电机铁芯分别用于机器人关节与灵巧手，属于机器人执行器的真实核心部件。2026年上半年具身智能业务累计取得12个定点，但绝大多数仍处方案确认或试样阶段，尚未规模量产且收入贡献有限；机器人仅构成精密铁芯业务的一部分，故保留相关判词。</t>
        </is>
      </c>
      <c r="J100" s="6" t="inlineStr">
        <is>
          <t>华新精科2026年半年度报告</t>
        </is>
      </c>
      <c r="K100" s="6" t="inlineStr">
        <is>
          <t>2026-08-25</t>
        </is>
      </c>
      <c r="L100" s="6" t="inlineStr">
        <is>
          <t>iFinD ifind_get_stock_info (as of 2026-10-27)；华新精科2026年半年度报告</t>
        </is>
      </c>
      <c r="M100" s="7" t="inlineStr">
        <is>
          <t>http://money.finance.sina.com.cn/corp/view/vCB_AllBulletinDetail.php?stockid=603370&amp;id=12527932</t>
        </is>
      </c>
    </row>
    <row r="101" ht="24" customHeight="1">
      <c r="B101" s="4" t="inlineStr">
        <is>
          <t>603416</t>
        </is>
      </c>
      <c r="C101" s="4" t="inlineStr">
        <is>
          <t>信捷电气</t>
        </is>
      </c>
      <c r="D101" s="4" t="inlineStr">
        <is>
          <t>机器人：电机</t>
        </is>
      </c>
      <c r="E101" s="4" t="inlineStr">
        <is>
          <t>纠错</t>
        </is>
      </c>
      <c r="F101" s="4" t="inlineStr">
        <is>
          <t>机器人</t>
        </is>
      </c>
      <c r="G101" s="4" t="inlineStr">
        <is>
          <t>工业自动化</t>
        </is>
      </c>
      <c r="H101" s="4" t="inlineStr">
        <is>
          <t>相关</t>
        </is>
      </c>
      <c r="I101" s="4" t="inlineStr">
        <is>
          <t>PLC和伺服系统构成公司工控基本盘，SCARA、桌面及工业六轴机器人与机器视觉已形成独立机器人板块，2025年智能装备（机器人）收入0.68亿元，业务覆盖明显超过单一电机。人形无框、空心杯电机仍属拓展，普通PLC和伺服不能泛化为物理AI智能控制，故重分类为机器人工业自动化并维持相关。</t>
        </is>
      </c>
      <c r="J101" s="4" t="inlineStr">
        <is>
          <t>信捷电气2025年年度报告</t>
        </is>
      </c>
      <c r="K101" s="4" t="inlineStr">
        <is>
          <t>2026-04-17</t>
        </is>
      </c>
      <c r="L101" s="4" t="inlineStr">
        <is>
          <t>iFinD ifind_get_stock_info (as of 2026-10-27)；信捷电气2025年年度报告</t>
        </is>
      </c>
      <c r="M101" s="5" t="inlineStr">
        <is>
          <t>http://big5.sse.com.cn/site/cht/www.sse.com.cn/disclosure/listedinfo/announcement/c/new/2026-04-17/603416_20260417_1MLC.pdf</t>
        </is>
      </c>
    </row>
    <row r="102" ht="24" customHeight="1">
      <c r="B102" s="6" t="inlineStr">
        <is>
          <t>603489</t>
        </is>
      </c>
      <c r="C102" s="6" t="inlineStr">
        <is>
          <t>八方股份</t>
        </is>
      </c>
      <c r="D102" s="6" t="inlineStr">
        <is>
          <t>机器人：电机</t>
        </is>
      </c>
      <c r="E102" s="6" t="inlineStr">
        <is>
          <t>摘除</t>
        </is>
      </c>
      <c r="F102" s="6" t="inlineStr">
        <is>
          <t>—</t>
        </is>
      </c>
      <c r="G102" s="6" t="inlineStr">
        <is>
          <t>—</t>
        </is>
      </c>
      <c r="H102" s="6" t="inlineStr">
        <is>
          <t>摘除</t>
        </is>
      </c>
      <c r="I102" s="6" t="inlineStr">
        <is>
          <t>2025年报显示公司仍聚焦电踏车电机及配套系统，未见机器人电机、驱动模组或具体机器人项目的真实产品证据；无人机电机也仅为少量尝试。通用电机设计制造能力不能直接映射为机器人业务，原机器人电机标签缺乏可审计的产品、客户或商业化依据，属于错标，予以摘除。</t>
        </is>
      </c>
      <c r="J102" s="6" t="inlineStr">
        <is>
          <t>八方股份2025年年度报告</t>
        </is>
      </c>
      <c r="K102" s="6" t="inlineStr">
        <is>
          <t>2026-04-29</t>
        </is>
      </c>
      <c r="L102" s="6" t="inlineStr">
        <is>
          <t>iFinD ifind_get_stock_info (as of 2026-10-27)；八方股份2025年年度报告</t>
        </is>
      </c>
      <c r="M102" s="7" t="inlineStr">
        <is>
          <t>https://static.cninfo.com.cn/finalpage/2026-04-29/1225239945.PDF</t>
        </is>
      </c>
    </row>
    <row r="103" ht="24" customHeight="1">
      <c r="B103" s="4" t="inlineStr">
        <is>
          <t>603528</t>
        </is>
      </c>
      <c r="C103" s="4" t="inlineStr">
        <is>
          <t>多伦科技</t>
        </is>
      </c>
      <c r="D103" s="4" t="inlineStr">
        <is>
          <t>机器人：本体及应用</t>
        </is>
      </c>
      <c r="E103" s="4" t="inlineStr">
        <is>
          <t>迁移</t>
        </is>
      </c>
      <c r="F103" s="4" t="inlineStr">
        <is>
          <t>物理AI</t>
        </is>
      </c>
      <c r="G103" s="4" t="inlineStr">
        <is>
          <t>物理AI_具身本体</t>
        </is>
      </c>
      <c r="H103" s="4" t="inlineStr">
        <is>
          <t>相关</t>
        </is>
      </c>
      <c r="I103" s="4" t="inlineStr">
        <is>
          <t>公司2026年控股65%设立江苏擎安，与众擎围绕交管、巡逻和导览场景开展机器人本体二次开发，并已有具身机器人销售、租赁以及咖啡、捡球机器人订单，与具身整机业务直接相关。机动车查验机器人仍为样机测试，且机器人尚非公司整体主营，因此迁入物理AI具身本体并定为相关。</t>
        </is>
      </c>
      <c r="J103" s="4" t="inlineStr">
        <is>
          <t>多伦科技2026年半年度报告</t>
        </is>
      </c>
      <c r="K103" s="4" t="inlineStr">
        <is>
          <t>2026-08-26</t>
        </is>
      </c>
      <c r="L103" s="4" t="inlineStr">
        <is>
          <t>iFinD ifind_get_stock_info (as of 2026-10-27)；多伦科技2026年半年度报告</t>
        </is>
      </c>
      <c r="M103" s="5" t="inlineStr">
        <is>
          <t>https://money.finance.sina.com.cn/corp/view/vCB_AllBulletinDetail.php?id=12533007&amp;stockid=603528</t>
        </is>
      </c>
    </row>
    <row r="104" ht="24" customHeight="1">
      <c r="B104" s="6" t="inlineStr">
        <is>
          <t>603657</t>
        </is>
      </c>
      <c r="C104" s="6" t="inlineStr">
        <is>
          <t>春光科技</t>
        </is>
      </c>
      <c r="D104" s="6" t="inlineStr">
        <is>
          <t>机器人：本体及应用；机器人：本体及应用</t>
        </is>
      </c>
      <c r="E104" s="6" t="inlineStr">
        <is>
          <t>迁移</t>
        </is>
      </c>
      <c r="F104" s="6" t="inlineStr">
        <is>
          <t>物理AI</t>
        </is>
      </c>
      <c r="G104" s="6" t="inlineStr">
        <is>
          <t>物理AI_具身本体</t>
        </is>
      </c>
      <c r="H104" s="6" t="inlineStr">
        <is>
          <t>相关</t>
        </is>
      </c>
      <c r="I104" s="6" t="inlineStr">
        <is>
          <t>清洁电器及其零部件仍是公司主营，但已取得乐享科技W1、M1机器人OEM/ODM订单，金额4326.28万元，属于家庭具身机器人的真实代工业务，并非无依据新增概念。订单证明其进入整机制造交付环节，但尚不足以构成主营核心，故去除重复标签后迁入物理AI具身本体并定为相关。</t>
        </is>
      </c>
      <c r="J104" s="6" t="inlineStr">
        <is>
          <t>春光科技：获乐享科技4326万元机器人产品采购订单</t>
        </is>
      </c>
      <c r="K104" s="6" t="inlineStr">
        <is>
          <t>2025-12-24</t>
        </is>
      </c>
      <c r="L104" s="6" t="inlineStr">
        <is>
          <t>iFinD ifind_get_stock_info (as of 2026-10-27)；春光科技：获乐享科技4326万元机器人产品采购订单</t>
        </is>
      </c>
      <c r="M104" s="7" t="inlineStr">
        <is>
          <t>https://finance.eastmoney.com/a/202512243600853667.html</t>
        </is>
      </c>
    </row>
    <row r="105" ht="24" customHeight="1">
      <c r="B105" s="4" t="inlineStr">
        <is>
          <t>603662</t>
        </is>
      </c>
      <c r="C105" s="4" t="inlineStr">
        <is>
          <t>柯力传感</t>
        </is>
      </c>
      <c r="D105" s="4" t="inlineStr">
        <is>
          <t>机器人：传感器</t>
        </is>
      </c>
      <c r="E105" s="4" t="inlineStr">
        <is>
          <t>迁移</t>
        </is>
      </c>
      <c r="F105" s="4" t="inlineStr">
        <is>
          <t>物理AI</t>
        </is>
      </c>
      <c r="G105" s="4" t="inlineStr">
        <is>
          <t>物理AI_传感器</t>
        </is>
      </c>
      <c r="H105" s="4" t="inlineStr">
        <is>
          <t>相关</t>
        </is>
      </c>
      <c r="I105" s="4" t="inlineStr">
        <is>
          <t>六维力/力矩及关节力矩传感器承担机器人力觉感知，与物理AI感知层直接对应。2025年机器人力学传感器销量超过1500只、送样超过70家，已有实际交付，但仍处小批量向批量供应过渡；称重、多物理量传感及物联网才是主营基本盘，机器人业务尚非核心收入来源，故迁移并由核心降为相关。</t>
        </is>
      </c>
      <c r="J105" s="4" t="inlineStr">
        <is>
          <t>关于2025年度暨2026年第一季度业绩说明会召开情况的公告</t>
        </is>
      </c>
      <c r="K105" s="4" t="inlineStr">
        <is>
          <t>2026-05-30</t>
        </is>
      </c>
      <c r="L105" s="4" t="inlineStr">
        <is>
          <t>iFinD ifind_get_stock_info (as of 2026-10-27)；关于2025年度暨2026年第一季度业绩说明会召开情况的公告</t>
        </is>
      </c>
      <c r="M105" s="5" t="inlineStr">
        <is>
          <t>http://file.finance.sina.com.cn/211.154.219.97:9494/MRGG/CNSESH_STOCK/2026/2026-5/2026-05-30/12362018.PDF</t>
        </is>
      </c>
    </row>
    <row r="106" ht="24" customHeight="1">
      <c r="B106" s="6" t="inlineStr">
        <is>
          <t>603666</t>
        </is>
      </c>
      <c r="C106" s="6" t="inlineStr">
        <is>
          <t>亿嘉和</t>
        </is>
      </c>
      <c r="D106" s="6" t="inlineStr">
        <is>
          <t>机器人：本体及应用</t>
        </is>
      </c>
      <c r="E106" s="6" t="inlineStr">
        <is>
          <t>迁移</t>
        </is>
      </c>
      <c r="F106" s="6" t="inlineStr">
        <is>
          <t>物理AI</t>
        </is>
      </c>
      <c r="G106" s="6" t="inlineStr">
        <is>
          <t>物理AI_具身本体</t>
        </is>
      </c>
      <c r="H106" s="6" t="inlineStr">
        <is>
          <t>核心</t>
        </is>
      </c>
      <c r="I106" s="6" t="inlineStr">
        <is>
          <t>巡检、操作、四足和商用清洁机器人是公司明确主营，具备自主导航、多模态感知、识别诊断及自动作业能力，与物理AI具身本体直接对应。带电作业机器人已在多省批量部署，商用清洁机器人已交付20多个国家，2025年机器人产品收入3.191亿元，产品、商业化和收入证据均支持核心判词。</t>
        </is>
      </c>
      <c r="J106" s="6" t="inlineStr">
        <is>
          <t>亿嘉和2025年年度报告</t>
        </is>
      </c>
      <c r="K106" s="6" t="inlineStr">
        <is>
          <t>2026-04-29</t>
        </is>
      </c>
      <c r="L106" s="6" t="inlineStr">
        <is>
          <t>iFinD ifind_get_stock_info (as of 2026-10-27)；亿嘉和2025年年度报告</t>
        </is>
      </c>
      <c r="M106" s="7" t="inlineStr">
        <is>
          <t>https://money.finance.sina.com.cn/corp/view/vCB_AllBulletinDetail.php?stockid=603666&amp;id=12254585</t>
        </is>
      </c>
    </row>
    <row r="107" ht="24" customHeight="1">
      <c r="B107" s="4" t="inlineStr">
        <is>
          <t>603667</t>
        </is>
      </c>
      <c r="C107" s="4" t="inlineStr">
        <is>
          <t>五洲新春</t>
        </is>
      </c>
      <c r="D107" s="4" t="inlineStr">
        <is>
          <t>机器人：丝杠</t>
        </is>
      </c>
      <c r="E107" s="4" t="inlineStr">
        <is>
          <t>纠错</t>
        </is>
      </c>
      <c r="F107" s="4" t="inlineStr">
        <is>
          <t>机器人</t>
        </is>
      </c>
      <c r="G107" s="4" t="inlineStr">
        <is>
          <t>丝杠</t>
        </is>
      </c>
      <c r="H107" s="4" t="inlineStr">
        <is>
          <t>相关</t>
        </is>
      </c>
      <c r="I107" s="4" t="inlineStr">
        <is>
          <t>行星滚柱、滚珠及微型丝杠已进入送样、客户验证和小批量供货阶段，属于机器人执行器的真实零部件业务；但公司基本盘仍为轴承、精密零部件、汽车安全及热管理产品。扩产规划不能等同现有收入，机器人丝杠尚未成为主营核心，因此保留丝杠标签并将判词由核心降为相关。</t>
        </is>
      </c>
      <c r="J107" s="4" t="inlineStr">
        <is>
          <t>五洲新春2025年年度报告摘要</t>
        </is>
      </c>
      <c r="K107" s="4" t="inlineStr">
        <is>
          <t>2026-04-28</t>
        </is>
      </c>
      <c r="L107" s="4" t="inlineStr">
        <is>
          <t>iFinD ifind_get_stock_info (as of 2026-10-27)；五洲新春2025年年度报告摘要</t>
        </is>
      </c>
      <c r="M107" s="5" t="inlineStr">
        <is>
          <t>https://static.cninfo.com.cn/finalpage/2026-04-28/1225214497.PDF</t>
        </is>
      </c>
    </row>
    <row r="108" ht="24" customHeight="1">
      <c r="B108" s="6" t="inlineStr">
        <is>
          <t>603677</t>
        </is>
      </c>
      <c r="C108" s="6" t="inlineStr">
        <is>
          <t>奇精机械</t>
        </is>
      </c>
      <c r="D108" s="6" t="inlineStr">
        <is>
          <t>机器人：零部件</t>
        </is>
      </c>
      <c r="E108" s="6" t="inlineStr">
        <is>
          <t>摘除</t>
        </is>
      </c>
      <c r="F108" s="6" t="inlineStr">
        <is>
          <t>—</t>
        </is>
      </c>
      <c r="G108" s="6" t="inlineStr">
        <is>
          <t>—</t>
        </is>
      </c>
      <c r="H108" s="6" t="inlineStr">
        <is>
          <t>摘除</t>
        </is>
      </c>
      <c r="I108" s="6" t="inlineStr">
        <is>
          <t>公司主营业务为家电、汽车和电动工具零部件，唯一明确对应机器人的产品是工业机器人减速器钢轮。2026年5月该产品仍处小批量交样阶段，尚未量产且对公司业绩无影响，虽非完全无产品依据，但仅有早期试样和间接业务贡献，符合边缘口径；按既定清洗规则摘除机器人零部件标签。</t>
        </is>
      </c>
      <c r="J108" s="6" t="inlineStr">
        <is>
          <t>奇精机械投资者关系活动记录表</t>
        </is>
      </c>
      <c r="K108" s="6" t="inlineStr">
        <is>
          <t>2026-05-22</t>
        </is>
      </c>
      <c r="L108" s="6" t="inlineStr">
        <is>
          <t>iFinD ifind_get_stock_info (as of 2026-10-27)；奇精机械投资者关系活动记录表</t>
        </is>
      </c>
      <c r="M108" s="7" t="inlineStr">
        <is>
          <t>http://vip.stock.finance.sina.com.cn/corp/view/vCB_AllBulletinDetail.php?stockid=603677&amp;id=12353807</t>
        </is>
      </c>
    </row>
    <row r="109" ht="24" customHeight="1">
      <c r="B109" s="4" t="inlineStr">
        <is>
          <t>603728</t>
        </is>
      </c>
      <c r="C109" s="4" t="inlineStr">
        <is>
          <t>鸣志电器</t>
        </is>
      </c>
      <c r="D109" s="4" t="inlineStr">
        <is>
          <t>机器人：电机</t>
        </is>
      </c>
      <c r="E109" s="4" t="inlineStr">
        <is>
          <t>保留</t>
        </is>
      </c>
      <c r="F109" s="4" t="inlineStr">
        <is>
          <t>机器人</t>
        </is>
      </c>
      <c r="G109" s="4" t="inlineStr">
        <is>
          <t>电机</t>
        </is>
      </c>
      <c r="H109" s="4" t="inlineStr">
        <is>
          <t>核心</t>
        </is>
      </c>
      <c r="I109" s="4" t="inlineStr">
        <is>
          <t>控制电机及驱动系统是公司明确主营，2025年占收入83.02%；空心杯、无框、伺服电机及模组用于灵巧手、关节和轮式底盘，直接对应机器人动力执行环节并具备批量供货能力。2025年机器人应用收入同比增长22%，2026年上半年又同比约增58%，主营产品和商业化证据均支持核心判词。</t>
        </is>
      </c>
      <c r="J109" s="4" t="inlineStr">
        <is>
          <t>鸣志电器2025年年度报告</t>
        </is>
      </c>
      <c r="K109" s="4" t="inlineStr">
        <is>
          <t>2026-04-24</t>
        </is>
      </c>
      <c r="L109" s="4" t="inlineStr">
        <is>
          <t>iFinD ifind_get_stock_info (as of 2026-10-27)；鸣志电器2025年年度报告</t>
        </is>
      </c>
      <c r="M109" s="5" t="inlineStr">
        <is>
          <t>http://file.finance.sina.com.cn/211.154.219.97:9494/MRGG/CNSESH_STOCK/2026/2026-4/2026-04-25/12191548.PDF</t>
        </is>
      </c>
    </row>
    <row r="110" ht="24" customHeight="1">
      <c r="B110" s="6" t="inlineStr">
        <is>
          <t>603809</t>
        </is>
      </c>
      <c r="C110" s="6" t="inlineStr">
        <is>
          <t>豪能股份</t>
        </is>
      </c>
      <c r="D110" s="6" t="inlineStr">
        <is>
          <t>机器人：减速器</t>
        </is>
      </c>
      <c r="E110" s="6" t="inlineStr">
        <is>
          <t>纠错</t>
        </is>
      </c>
      <c r="F110" s="6" t="inlineStr">
        <is>
          <t>机器人</t>
        </is>
      </c>
      <c r="G110" s="6" t="inlineStr">
        <is>
          <t>减速器</t>
        </is>
      </c>
      <c r="H110" s="6" t="inlineStr">
        <is>
          <t>相关</t>
        </is>
      </c>
      <c r="I110" s="6" t="inlineStr">
        <is>
          <t>公司已推出高精密行星、摆线关节减速器系列，并推进关节总成及相应产线，产品与机器人关节直接对应，不再只是汽车差速器技术的间接想象。2026年上半年机器人产能和业务贡献仍较小，汽车零部件与航空业务仍占主导，因此由边缘升为相关，但尚不能列为核心。</t>
        </is>
      </c>
      <c r="J110" s="6" t="inlineStr">
        <is>
          <t>豪能股份2026年半年度报告</t>
        </is>
      </c>
      <c r="K110" s="6" t="inlineStr">
        <is>
          <t>2026-08-14</t>
        </is>
      </c>
      <c r="L110" s="6" t="inlineStr">
        <is>
          <t>iFinD ifind_get_stock_info (as of 2026-10-27)；豪能股份2026年半年度报告</t>
        </is>
      </c>
      <c r="M110" s="7" t="inlineStr">
        <is>
          <t>https://stockmc.xueqiu.com/202608/603809_20260815_9ZIF.pdf</t>
        </is>
      </c>
    </row>
    <row r="111" ht="24" customHeight="1">
      <c r="B111" s="4" t="inlineStr">
        <is>
          <t>603901</t>
        </is>
      </c>
      <c r="C111" s="4" t="inlineStr">
        <is>
          <t>永创智能</t>
        </is>
      </c>
      <c r="D111" s="4" t="inlineStr">
        <is>
          <t>机器人：本体及应用</t>
        </is>
      </c>
      <c r="E111" s="4" t="inlineStr">
        <is>
          <t>迁移</t>
        </is>
      </c>
      <c r="F111" s="4" t="inlineStr">
        <is>
          <t>物理AI</t>
        </is>
      </c>
      <c r="G111" s="4" t="inlineStr">
        <is>
          <t>物理AI_具身本体</t>
        </is>
      </c>
      <c r="H111" s="4" t="inlineStr">
        <is>
          <t>相关</t>
        </is>
      </c>
      <c r="I111" s="4" t="inlineStr">
        <is>
          <t>协作、搬运机器人已嵌入既有包装设备业务；2025年轮式人形机器人和无人巡逻车完成设计定型并取得首批小批量订单，产品已超出传统自动化产线，直接对应自主移动具身本体。包装设备仍是主营，新具身产品仅处小批量订单阶段，故迁入物理AI具身本体并维持相关。</t>
        </is>
      </c>
      <c r="J111" s="4" t="inlineStr">
        <is>
          <t>永创智能2025年年度报告</t>
        </is>
      </c>
      <c r="K111" s="4" t="inlineStr">
        <is>
          <t>2026-04-23</t>
        </is>
      </c>
      <c r="L111" s="4" t="inlineStr">
        <is>
          <t>iFinD ifind_get_stock_info (as of 2026-10-27)；永创智能2025年年度报告</t>
        </is>
      </c>
      <c r="M111" s="5" t="inlineStr">
        <is>
          <t>http://money.finance.sina.com.cn/corp/view/vCB_AllBulletinDetail.php?stockid=603901&amp;id=12144951</t>
        </is>
      </c>
    </row>
    <row r="112" ht="24" customHeight="1">
      <c r="B112" s="6" t="inlineStr">
        <is>
          <t>603915</t>
        </is>
      </c>
      <c r="C112" s="6" t="inlineStr">
        <is>
          <t>国茂股份</t>
        </is>
      </c>
      <c r="D112" s="6" t="inlineStr">
        <is>
          <t>机器人：减速器</t>
        </is>
      </c>
      <c r="E112" s="6" t="inlineStr">
        <is>
          <t>纠错</t>
        </is>
      </c>
      <c r="F112" s="6" t="inlineStr">
        <is>
          <t>机器人</t>
        </is>
      </c>
      <c r="G112" s="6" t="inlineStr">
        <is>
          <t>减速器</t>
        </is>
      </c>
      <c r="H112" s="6" t="inlineStr">
        <is>
          <t>相关</t>
        </is>
      </c>
      <c r="I112" s="6" t="inlineStr">
        <is>
          <t>摩多利精密行星减速器已切入AGV和机器人应用，国茂精密谐波减速器亦与主机厂开展对接、试制和试机，存在真实产品及客户验证；但年报明确相关收入占比很小，通用工业减速机主营不能直接等同机器人核心业务，因此保留机器人减速器标签，将判词由核心降为相关。</t>
        </is>
      </c>
      <c r="J112" s="6" t="inlineStr">
        <is>
          <t>国茂股份2026年半年度报告</t>
        </is>
      </c>
      <c r="K112" s="6" t="inlineStr">
        <is>
          <t>2026-08-28</t>
        </is>
      </c>
      <c r="L112" s="6" t="inlineStr">
        <is>
          <t>iFinD ifind_get_stock_info (as of 2026-10-27)；国茂股份2026年半年度报告</t>
        </is>
      </c>
      <c r="M112" s="7" t="inlineStr">
        <is>
          <t>https://stockmc.xueqiu.com/202608/603915_20260828_KE0Z.pdf</t>
        </is>
      </c>
    </row>
    <row r="113" ht="24" customHeight="1">
      <c r="B113" s="4" t="inlineStr">
        <is>
          <t>603933</t>
        </is>
      </c>
      <c r="C113" s="4" t="inlineStr">
        <is>
          <t>睿能科技</t>
        </is>
      </c>
      <c r="D113" s="4" t="inlineStr">
        <is>
          <t>机器人：工业自动化</t>
        </is>
      </c>
      <c r="E113" s="4" t="inlineStr">
        <is>
          <t>保留</t>
        </is>
      </c>
      <c r="F113" s="4" t="inlineStr">
        <is>
          <t>机器人</t>
        </is>
      </c>
      <c r="G113" s="4" t="inlineStr">
        <is>
          <t>工业自动化</t>
        </is>
      </c>
      <c r="H113" s="4" t="inlineStr">
        <is>
          <t>相关</t>
        </is>
      </c>
      <c r="I113" s="4" t="inlineStr">
        <is>
          <t>横机、缝制专用控制系统以及PLC、伺服驱动、电机和IC分销均为真实工控业务，伺服产品可用于协作码垛等机器人环节，与机器人工业自动化直接相关。人形机器人无框电机仍在可靠性验证，普通PLC和伺服也不能泛化为物理AI智能控制，机器人仅属部分应用，故保留原标签及相关判词。</t>
        </is>
      </c>
      <c r="J113" s="4" t="inlineStr">
        <is>
          <t>睿能科技2025年年度报告摘要</t>
        </is>
      </c>
      <c r="K113" s="4" t="inlineStr">
        <is>
          <t>2026-04-29</t>
        </is>
      </c>
      <c r="L113" s="4" t="inlineStr">
        <is>
          <t>iFinD ifind_get_stock_info (as of 2026-10-27)；睿能科技2025年年度报告摘要</t>
        </is>
      </c>
      <c r="M113" s="5" t="inlineStr">
        <is>
          <t>http://file.finance.sina.com.cn/211.154.219.97:9494/MRGG/CNSESH_STOCK/2026/2026-4/2026-04-29/12247373.PDF</t>
        </is>
      </c>
    </row>
    <row r="114" ht="24" customHeight="1">
      <c r="B114" s="6" t="inlineStr">
        <is>
          <t>603955</t>
        </is>
      </c>
      <c r="C114" s="6" t="inlineStr">
        <is>
          <t>大千生态</t>
        </is>
      </c>
      <c r="D114" s="6" t="inlineStr">
        <is>
          <t>机器人：本体及应用；机器人：本体及应用</t>
        </is>
      </c>
      <c r="E114" s="6" t="inlineStr">
        <is>
          <t>摘除</t>
        </is>
      </c>
      <c r="F114" s="6" t="inlineStr">
        <is>
          <t>—</t>
        </is>
      </c>
      <c r="G114" s="6" t="inlineStr">
        <is>
          <t>—</t>
        </is>
      </c>
      <c r="H114" s="6" t="inlineStr">
        <is>
          <t>摘除</t>
        </is>
      </c>
      <c r="I114" s="6" t="inlineStr">
        <is>
          <t>公司业务为生态工程、文旅和宠物消费，智能硬件仅包括已量产宠物定位项圈及在研健康监测产品，未见机器人本体、巡检设备或具身智能产品和项目证据。宠物智能终端不能直接归为机器人本体，原两条重复的机器人本体及应用标签均缺乏产品、订单和交付依据，属于错标，去重后全部摘除。</t>
        </is>
      </c>
      <c r="J114" s="6" t="inlineStr">
        <is>
          <t>大千生态2026年半年度报告</t>
        </is>
      </c>
      <c r="K114" s="6" t="inlineStr">
        <is>
          <t>2026-08-26</t>
        </is>
      </c>
      <c r="L114" s="6" t="inlineStr">
        <is>
          <t>iFinD ifind_get_stock_info (as of 2026-10-27)；大千生态2026年半年度报告</t>
        </is>
      </c>
      <c r="M114" s="7" t="inlineStr">
        <is>
          <t>http://static.cninfo.com.cn/finalpage/2026-08-27/1225512258.PDF</t>
        </is>
      </c>
    </row>
    <row r="115" ht="24" customHeight="1">
      <c r="B115" s="4" t="inlineStr">
        <is>
          <t>605488</t>
        </is>
      </c>
      <c r="C115" s="4" t="inlineStr">
        <is>
          <t>福莱新材</t>
        </is>
      </c>
      <c r="D115" s="4" t="inlineStr">
        <is>
          <t>机器人：传感器；物理AI：物理AI_传感器</t>
        </is>
      </c>
      <c r="E115" s="4" t="inlineStr">
        <is>
          <t>迁移</t>
        </is>
      </c>
      <c r="F115" s="4" t="inlineStr">
        <is>
          <t>物理AI</t>
        </is>
      </c>
      <c r="G115" s="4" t="inlineStr">
        <is>
          <t>物理AI_传感器</t>
        </is>
      </c>
      <c r="H115" s="4" t="inlineStr">
        <is>
          <t>相关</t>
        </is>
      </c>
      <c r="I115" s="4" t="inlineStr">
        <is>
          <t>压阻式电子皮肤可实现力、温度、材质和纹理等多模态触觉感知，已建设量产线并批量供货，与物理AI触觉感知直接对应。相关收入占比仍小，功能性涂布复合材料才是主营基本盘，因此不列核心；原机器人传感器与物理AI传感器重复，合并后仅保留物理AI传感器并维持相关。</t>
        </is>
      </c>
      <c r="J115" s="4" t="inlineStr">
        <is>
          <t>福莱新材2025年年度报告</t>
        </is>
      </c>
      <c r="K115" s="4" t="inlineStr">
        <is>
          <t>2026-04-28</t>
        </is>
      </c>
      <c r="L115" s="4" t="inlineStr">
        <is>
          <t>iFinD ifind_get_stock_info (as of 2026-10-27)；福莱新材2025年年度报告</t>
        </is>
      </c>
      <c r="M115" s="5" t="inlineStr">
        <is>
          <t>http://money.finance.sina.com.cn/corp/view/vCB_AllBulletinDetail.php?stockid=605488&amp;id=12210056</t>
        </is>
      </c>
    </row>
    <row r="116" ht="24" customHeight="1">
      <c r="B116" s="6" t="inlineStr">
        <is>
          <t>688017</t>
        </is>
      </c>
      <c r="C116" s="6" t="inlineStr">
        <is>
          <t>绿的谐波</t>
        </is>
      </c>
      <c r="D116" s="6" t="inlineStr">
        <is>
          <t>机器人：减速器</t>
        </is>
      </c>
      <c r="E116" s="6" t="inlineStr">
        <is>
          <t>保留</t>
        </is>
      </c>
      <c r="F116" s="6" t="inlineStr">
        <is>
          <t>机器人</t>
        </is>
      </c>
      <c r="G116" s="6" t="inlineStr">
        <is>
          <t>减速器</t>
        </is>
      </c>
      <c r="H116" s="6" t="inlineStr">
        <is>
          <t>核心</t>
        </is>
      </c>
      <c r="I116" s="6" t="inlineStr">
        <is>
          <t>谐波减速器是公司明确主营，2025年收入4.7649亿元，并已向国际头部机器人客户批量交付；同时布局关节模组、行星滚柱丝杠等执行硬件，与机器人核心传动及执行环节直接对应。产品收入、客户和批量交付证据均充分，故保留机器人减速器及核心判词，不因人形应用迁入物理AI。</t>
        </is>
      </c>
      <c r="J116" s="6" t="inlineStr">
        <is>
          <t>绿的谐波2025年年度报告</t>
        </is>
      </c>
      <c r="K116" s="6" t="inlineStr">
        <is>
          <t>2026-04-23</t>
        </is>
      </c>
      <c r="L116" s="6" t="inlineStr">
        <is>
          <t>iFinD ifind_get_stock_info (as of 2026-10-27)；绿的谐波2025年年度报告</t>
        </is>
      </c>
      <c r="M116" s="7" t="inlineStr">
        <is>
          <t>http://money.finance.sina.com.cn/corp/view/vCB_AllBulletinDetail.php?stockid=688017&amp;id=12146041</t>
        </is>
      </c>
    </row>
    <row r="117" ht="24" customHeight="1">
      <c r="B117" s="4" t="inlineStr">
        <is>
          <t>688028</t>
        </is>
      </c>
      <c r="C117" s="4" t="inlineStr">
        <is>
          <t>沃尔德</t>
        </is>
      </c>
      <c r="D117" s="4" t="inlineStr">
        <is>
          <t>机器人：加工刀具</t>
        </is>
      </c>
      <c r="E117" s="4" t="inlineStr">
        <is>
          <t>保留</t>
        </is>
      </c>
      <c r="F117" s="4" t="inlineStr">
        <is>
          <t>机器人</t>
        </is>
      </c>
      <c r="G117" s="4" t="inlineStr">
        <is>
          <t>加工刀具</t>
        </is>
      </c>
      <c r="H117" s="4" t="inlineStr">
        <is>
          <t>相关</t>
        </is>
      </c>
      <c r="I117" s="4" t="inlineStr">
        <is>
          <t>超硬刀具是公司主营，已开发行星滚柱丝杠的丝杆、滚柱、螺母旋铣刀具及RV减速器加工方案，2026年上半年继续拓展谐波减速齿和丝杠加工应用。产品直接服务机器人零部件制造，但并非机器人零部件或本体，且机器人应用仅是超硬刀具的一块下游业务，故保留加工刀具标签及相关判词。</t>
        </is>
      </c>
      <c r="J117" s="4" t="inlineStr">
        <is>
          <t>沃尔德2025年年度报告</t>
        </is>
      </c>
      <c r="K117" s="4" t="inlineStr">
        <is>
          <t>2026-04-10</t>
        </is>
      </c>
      <c r="L117" s="4" t="inlineStr">
        <is>
          <t>iFinD ifind_get_stock_info (as of 2026-10-27)；沃尔德2025年年度报告</t>
        </is>
      </c>
      <c r="M117" s="5" t="inlineStr">
        <is>
          <t>https://vip.stock.finance.sina.com.cn/corp/view/vCB_AllBulletinDetail.php?stockid=688028&amp;id=12072137</t>
        </is>
      </c>
    </row>
    <row r="118" ht="24" customHeight="1">
      <c r="B118" s="6" t="inlineStr">
        <is>
          <t>688071</t>
        </is>
      </c>
      <c r="C118" s="6" t="inlineStr">
        <is>
          <t>华依科技</t>
        </is>
      </c>
      <c r="D118" s="6" t="inlineStr">
        <is>
          <t>机器人：传感器</t>
        </is>
      </c>
      <c r="E118" s="6" t="inlineStr">
        <is>
          <t>迁移</t>
        </is>
      </c>
      <c r="F118" s="6" t="inlineStr">
        <is>
          <t>物理AI</t>
        </is>
      </c>
      <c r="G118" s="6" t="inlineStr">
        <is>
          <t>物理AI_传感器</t>
        </is>
      </c>
      <c r="H118" s="6" t="inlineStr">
        <is>
          <t>相关</t>
        </is>
      </c>
      <c r="I118" s="6" t="inlineStr">
        <is>
          <t>ARU8010人形机器人专用姿态传感器及IMU用于重心姿态感知和运动控制，已取得订单并小批量供货，直接对应物理AI本体状态感知，不再只是研发预期。汽车测试设备和智能驾驶业务仍为公司主营，机器人传感器尚未形成核心收入贡献，因此由边缘升为相关并迁入物理AI传感器。</t>
        </is>
      </c>
      <c r="J118" s="6" t="inlineStr">
        <is>
          <t>华依科技2025年年度报告</t>
        </is>
      </c>
      <c r="K118" s="6" t="inlineStr">
        <is>
          <t>2026-04-20</t>
        </is>
      </c>
      <c r="L118" s="6" t="inlineStr">
        <is>
          <t>iFinD ifind_get_stock_info (as of 2026-10-27)；华依科技2025年年度报告</t>
        </is>
      </c>
      <c r="M118" s="7" t="inlineStr">
        <is>
          <t>http://static.cninfo.com.cn/finalpage/2026-04-20/1225123825.PDF</t>
        </is>
      </c>
    </row>
    <row r="119" ht="24" customHeight="1">
      <c r="B119" s="4" t="inlineStr">
        <is>
          <t>688160</t>
        </is>
      </c>
      <c r="C119" s="4" t="inlineStr">
        <is>
          <t>步科股份</t>
        </is>
      </c>
      <c r="D119" s="4" t="inlineStr">
        <is>
          <t>机器人：电机</t>
        </is>
      </c>
      <c r="E119" s="4" t="inlineStr">
        <is>
          <t>纠错</t>
        </is>
      </c>
      <c r="F119" s="4" t="inlineStr">
        <is>
          <t>机器人</t>
        </is>
      </c>
      <c r="G119" s="4" t="inlineStr">
        <is>
          <t>电机</t>
        </is>
      </c>
      <c r="H119" s="4" t="inlineStr">
        <is>
          <t>核心</t>
        </is>
      </c>
      <c r="I119" s="4" t="inlineStr">
        <is>
          <t>无框力矩电机、低压伺服、伺服轮及关节模组属于机器人动力执行硬件。2026年上半年机器人行业收入2.4338亿元，占营收54.36%，无框电机出货11.36万台，并向多家头部客户批量交付，机器人已成为主要收入应用，达到核心口径；其产品仍属执行硬件，不泛化为物理AI智能控制。</t>
        </is>
      </c>
      <c r="J119" s="4" t="inlineStr">
        <is>
          <t>步科股份2026年半年度报告</t>
        </is>
      </c>
      <c r="K119" s="4" t="inlineStr">
        <is>
          <t>2026-08-26</t>
        </is>
      </c>
      <c r="L119" s="4" t="inlineStr">
        <is>
          <t>iFinD ifind_get_stock_info (as of 2026-10-27)；步科股份2026年半年度报告</t>
        </is>
      </c>
      <c r="M119" s="5" t="inlineStr">
        <is>
          <t>https://money.finance.sina.com.cn/corp/view/vCB_AllBulletinDetail.php?stockid=688160&amp;id=12534794</t>
        </is>
      </c>
    </row>
    <row r="120" ht="24" customHeight="1">
      <c r="B120" s="6" t="inlineStr">
        <is>
          <t>688165</t>
        </is>
      </c>
      <c r="C120" s="6" t="inlineStr">
        <is>
          <t>埃夫特-U</t>
        </is>
      </c>
      <c r="D120" s="6" t="inlineStr">
        <is>
          <t>机器人：本体及应用</t>
        </is>
      </c>
      <c r="E120" s="6" t="inlineStr">
        <is>
          <t>保留</t>
        </is>
      </c>
      <c r="F120" s="6" t="inlineStr">
        <is>
          <t>机器人</t>
        </is>
      </c>
      <c r="G120" s="6" t="inlineStr">
        <is>
          <t>本体及应用</t>
        </is>
      </c>
      <c r="H120" s="6" t="inlineStr">
        <is>
          <t>核心</t>
        </is>
      </c>
      <c r="I120" s="6" t="inlineStr">
        <is>
          <t>公司主营工业机器人整机、核心零部件及系统集成，产品用于焊接、喷涂、搬运等工业环节并持续批量交付。2025年机器人整机收入63865.20万元、系统集成收入24682.50万元，整机是明确主营而非一般下游应用，故保留本体及应用并维持核心。</t>
        </is>
      </c>
      <c r="J120" s="6" t="inlineStr">
        <is>
          <t>埃夫特智能机器人股份有限公司2025年年度报告</t>
        </is>
      </c>
      <c r="K120" s="6" t="inlineStr">
        <is>
          <t>2026-04-15</t>
        </is>
      </c>
      <c r="L120" s="6" t="inlineStr">
        <is>
          <t>iFinD ifind_get_stock_info (as of 2026-10-27)；埃夫特智能机器人股份有限公司2025年年度报告</t>
        </is>
      </c>
      <c r="M120" s="7" t="inlineStr">
        <is>
          <t>https://download.efort.com.cn:20250/pdf/web/upload/2026/04/15/17762186097204jvj25.pdf</t>
        </is>
      </c>
    </row>
    <row r="121" ht="24" customHeight="1">
      <c r="B121" s="4" t="inlineStr">
        <is>
          <t>688218</t>
        </is>
      </c>
      <c r="C121" s="4" t="inlineStr">
        <is>
          <t>江苏北人</t>
        </is>
      </c>
      <c r="D121" s="4" t="inlineStr">
        <is>
          <t>机器人：本体及应用</t>
        </is>
      </c>
      <c r="E121" s="4" t="inlineStr">
        <is>
          <t>纠错</t>
        </is>
      </c>
      <c r="F121" s="4" t="inlineStr">
        <is>
          <t>机器人</t>
        </is>
      </c>
      <c r="G121" s="4" t="inlineStr">
        <is>
          <t>自动化集成</t>
        </is>
      </c>
      <c r="H121" s="4" t="inlineStr">
        <is>
          <t>核心</t>
        </is>
      </c>
      <c r="I121" s="4" t="inlineStr">
        <is>
          <t>公司按订单提供机器人焊接、装配产线及数字化车间，完成方案设计、集成、调试和验收交付，主业实质是自动化系统集成而非通用机器人本体制造。具身智能焊接机器人仅处小批量试用阶段，尚不改变主营结构，因此纠正概念但保留核心。</t>
        </is>
      </c>
      <c r="J121" s="4" t="inlineStr">
        <is>
          <t>江苏北人智能制造科技股份有限公司2025年年度报告摘要</t>
        </is>
      </c>
      <c r="K121" s="4" t="inlineStr">
        <is>
          <t>2026-04-29</t>
        </is>
      </c>
      <c r="L121" s="4" t="inlineStr">
        <is>
          <t>iFinD ifind_get_stock_info (as of 2026-10-27)；江苏北人智能制造科技股份有限公司2025年年度报告摘要</t>
        </is>
      </c>
      <c r="M121" s="5" t="inlineStr">
        <is>
          <t>https://pdf.dfcfw.com/pdf/H2_AN202604291821754989_1.pdf</t>
        </is>
      </c>
    </row>
    <row r="122" ht="24" customHeight="1">
      <c r="B122" s="6" t="inlineStr">
        <is>
          <t>688255</t>
        </is>
      </c>
      <c r="C122" s="6" t="inlineStr">
        <is>
          <t>凯尔达</t>
        </is>
      </c>
      <c r="D122" s="6" t="inlineStr">
        <is>
          <t>机器人：本体及应用</t>
        </is>
      </c>
      <c r="E122" s="6" t="inlineStr">
        <is>
          <t>保留</t>
        </is>
      </c>
      <c r="F122" s="6" t="inlineStr">
        <is>
          <t>机器人</t>
        </is>
      </c>
      <c r="G122" s="6" t="inlineStr">
        <is>
          <t>本体及应用</t>
        </is>
      </c>
      <c r="H122" s="6" t="inlineStr">
        <is>
          <t>核心</t>
        </is>
      </c>
      <c r="I122" s="6" t="inlineStr">
        <is>
          <t>公司以焊接机器人及工业焊接设备为主营，产品覆盖机器人整机、控制系统和配套焊接设备，直接用于工业焊接并已持续生产销售。2025年工业机器人业务收入4.62亿元、总销量4962台，其中自产1835台，机器人本体主营地位明确，故维持核心。</t>
        </is>
      </c>
      <c r="J122" s="6" t="inlineStr">
        <is>
          <t>凯尔达披露2025年报及2026年一季报</t>
        </is>
      </c>
      <c r="K122" s="6" t="inlineStr">
        <is>
          <t>2026-04-25</t>
        </is>
      </c>
      <c r="L122" s="6" t="inlineStr">
        <is>
          <t>iFinD ifind_get_stock_info (as of 2026-10-27)；凯尔达披露2025年报及2026年一季报</t>
        </is>
      </c>
      <c r="M122" s="7" t="inlineStr">
        <is>
          <t>https://jg-static.eeo.com.cn/article/info?id=e535e37376c4400391f9303a377ed2af&amp;channelUuid=</t>
        </is>
      </c>
    </row>
    <row r="123" ht="24" customHeight="1">
      <c r="B123" s="4" t="inlineStr">
        <is>
          <t>688286</t>
        </is>
      </c>
      <c r="C123" s="4" t="inlineStr">
        <is>
          <t>敏芯股份</t>
        </is>
      </c>
      <c r="D123" s="4" t="inlineStr">
        <is>
          <t>机器人：传感器</t>
        </is>
      </c>
      <c r="E123" s="4" t="inlineStr">
        <is>
          <t>迁移</t>
        </is>
      </c>
      <c r="F123" s="4" t="inlineStr">
        <is>
          <t>物理AI</t>
        </is>
      </c>
      <c r="G123" s="4" t="inlineStr">
        <is>
          <t>物理AI_传感器</t>
        </is>
      </c>
      <c r="H123" s="4" t="inlineStr">
        <is>
          <t>核心</t>
        </is>
      </c>
      <c r="I123" s="4" t="inlineStr">
        <is>
          <t>MEMS声学、压力和惯性传感器是公司明确主营并已批量销售，可直接承担声音、压力、姿态等物理环境感知，符合物理AI传感器定义。机器人六维力传感器和机器人IMU仍在研发，迁移依据是既有感知产品主业而非机器人业务已放量，故升为核心。</t>
        </is>
      </c>
      <c r="J123" s="4" t="inlineStr">
        <is>
          <t>苏州敏芯微电子技术股份有限公司2025年年度报告</t>
        </is>
      </c>
      <c r="K123" s="4" t="inlineStr">
        <is>
          <t>2026-04-29</t>
        </is>
      </c>
      <c r="L123" s="4" t="inlineStr">
        <is>
          <t>iFinD ifind_get_stock_info (as of 2026-10-27)；苏州敏芯微电子技术股份有限公司2025年年度报告</t>
        </is>
      </c>
      <c r="M123" s="5" t="inlineStr">
        <is>
          <t>http://file.finance.sina.com.cn/211.154.219.97:9494/MRGG/CNSESH_STOCK/2026/2026-4/2026-04-29/12262600.PDF</t>
        </is>
      </c>
    </row>
    <row r="124" ht="24" customHeight="1">
      <c r="B124" s="6" t="inlineStr">
        <is>
          <t>688306</t>
        </is>
      </c>
      <c r="C124" s="6" t="inlineStr">
        <is>
          <t>均普智能</t>
        </is>
      </c>
      <c r="D124" s="6" t="inlineStr">
        <is>
          <t>机器人：总成</t>
        </is>
      </c>
      <c r="E124" s="6" t="inlineStr">
        <is>
          <t>迁移</t>
        </is>
      </c>
      <c r="F124" s="6" t="inlineStr">
        <is>
          <t>机器人、物理AI</t>
        </is>
      </c>
      <c r="G124" s="6" t="inlineStr">
        <is>
          <t>自动化集成；物理AI_具身本体</t>
        </is>
      </c>
      <c r="H124" s="6" t="inlineStr">
        <is>
          <t>相关</t>
        </is>
      </c>
      <c r="I124" s="6" t="inlineStr">
        <is>
          <t>公司已推出贾维斯2.0、精灵G2等具身机器人，2025年单列具身机器人制造收入10810657.63元，证明本体已有实际商业交付而非研发预期。但智能制造装备收入25.34亿元仍为主要收入来源，因此保留机器人自动化集成核心标签，同时新增物理AI具身本体相关，避免把全部装备收入视作具身收入。</t>
        </is>
      </c>
      <c r="J124" s="6" t="inlineStr">
        <is>
          <t>均普智能：2025年年度报告</t>
        </is>
      </c>
      <c r="K124" s="6" t="inlineStr">
        <is>
          <t>2026-04-18</t>
        </is>
      </c>
      <c r="L124" s="6" t="inlineStr">
        <is>
          <t>iFinD ifind_get_stock_info (as of 2026-10-27)；均普智能：2025年年度报告</t>
        </is>
      </c>
      <c r="M124" s="7" t="inlineStr">
        <is>
          <t>https://vip.stock.finance.sina.com.cn/corp/view/vCB_AllBulletinDetail.php?stockid=688306&amp;id=12111614</t>
        </is>
      </c>
    </row>
    <row r="125" ht="24" customHeight="1">
      <c r="B125" s="4" t="inlineStr">
        <is>
          <t>688320</t>
        </is>
      </c>
      <c r="C125" s="4" t="inlineStr">
        <is>
          <t>禾川科技</t>
        </is>
      </c>
      <c r="D125" s="4" t="inlineStr">
        <is>
          <t>机器人：电机</t>
        </is>
      </c>
      <c r="E125" s="4" t="inlineStr">
        <is>
          <t>保留</t>
        </is>
      </c>
      <c r="F125" s="4" t="inlineStr">
        <is>
          <t>机器人</t>
        </is>
      </c>
      <c r="G125" s="4" t="inlineStr">
        <is>
          <t>电机</t>
        </is>
      </c>
      <c r="H125" s="4" t="inlineStr">
        <is>
          <t>核心</t>
        </is>
      </c>
      <c r="I125" s="4" t="inlineStr">
        <is>
          <t>伺服驱动器、伺服电机和编码器构成公司核心产品，已用于机器人、机械手等运动控制环节，伺服业务占核心业务70%以上，主营产品和机器人直接应用均有明确依据。人形机器人关节等后续迭代不改变工业自动化与电机主业，故保留核心且不另贴物理AI。</t>
        </is>
      </c>
      <c r="J125" s="4" t="inlineStr">
        <is>
          <t>浙江禾川科技股份有限公司2025年年度报告摘要</t>
        </is>
      </c>
      <c r="K125" s="4" t="inlineStr">
        <is>
          <t>2026-04-29</t>
        </is>
      </c>
      <c r="L125" s="4" t="inlineStr">
        <is>
          <t>iFinD ifind_get_stock_info (as of 2026-10-27)；浙江禾川科技股份有限公司2025年年度报告摘要</t>
        </is>
      </c>
      <c r="M125" s="5" t="inlineStr">
        <is>
          <t>http://static.cninfo.com.cn/finalpage/2026-04-29/1225224811.PDF</t>
        </is>
      </c>
    </row>
    <row r="126" ht="24" customHeight="1">
      <c r="B126" s="6" t="inlineStr">
        <is>
          <t>688322</t>
        </is>
      </c>
      <c r="C126" s="6" t="inlineStr">
        <is>
          <t>奥比中光-W</t>
        </is>
      </c>
      <c r="D126" s="6" t="inlineStr">
        <is>
          <t>机器人：视觉</t>
        </is>
      </c>
      <c r="E126" s="6" t="inlineStr">
        <is>
          <t>迁移</t>
        </is>
      </c>
      <c r="F126" s="6" t="inlineStr">
        <is>
          <t>物理AI</t>
        </is>
      </c>
      <c r="G126" s="6" t="inlineStr">
        <is>
          <t>物理AI_机器视觉</t>
        </is>
      </c>
      <c r="H126" s="6" t="inlineStr">
        <is>
          <t>核心</t>
        </is>
      </c>
      <c r="I126" s="6" t="inlineStr">
        <is>
          <t>Gemini、Femto等3D视觉相机是公司核心产品，可为机器人提供识别、定位、避障及路径规划所需空间感知，已与智元、天工、优必选等客户适配落地。2025年国内机器人业务翻倍，既有感知主业又有直接商业应用，故迁入物理AI机器视觉并保留核心。</t>
        </is>
      </c>
      <c r="J126" s="6" t="inlineStr">
        <is>
          <t>奥比中光科技集团股份有限公司2025年年度报告</t>
        </is>
      </c>
      <c r="K126" s="6" t="inlineStr">
        <is>
          <t>2026-04-20</t>
        </is>
      </c>
      <c r="L126" s="6" t="inlineStr">
        <is>
          <t>iFinD ifind_get_stock_info (as of 2026-10-27)；奥比中光科技集团股份有限公司2025年年度报告</t>
        </is>
      </c>
      <c r="M126" s="7" t="inlineStr">
        <is>
          <t>http://file.finance.sina.com.cn/211.154.219.97:9494/MRGG/CNSESH_STOCK/2026/2026-4/2026-04-20/12114662.PDF</t>
        </is>
      </c>
    </row>
    <row r="127" ht="24" customHeight="1">
      <c r="B127" s="4" t="inlineStr">
        <is>
          <t>688327</t>
        </is>
      </c>
      <c r="C127" s="4" t="inlineStr">
        <is>
          <t>云从科技-UW</t>
        </is>
      </c>
      <c r="D127" s="4" t="inlineStr">
        <is>
          <t>机器人：其他</t>
        </is>
      </c>
      <c r="E127" s="4" t="inlineStr">
        <is>
          <t>迁移</t>
        </is>
      </c>
      <c r="F127" s="4" t="inlineStr">
        <is>
          <t>物理AI</t>
        </is>
      </c>
      <c r="G127" s="4" t="inlineStr">
        <is>
          <t>物理AI_仿真训练</t>
        </is>
      </c>
      <c r="H127" s="4" t="inlineStr">
        <is>
          <t>相关</t>
        </is>
      </c>
      <c r="I127" s="4" t="inlineStr">
        <is>
          <t>公司已入股广东省具身智能训练场，并参与上海虚实融合训练场、麒麟训练场，工作覆盖数据采集、模型训练、测试验证和场景对接，与物理AI训练直接相关。但业务仍以训练验证、生态合作和场景探索为主，尚未成为成熟主营，因此仅列相关。</t>
        </is>
      </c>
      <c r="J127" s="4" t="inlineStr">
        <is>
          <t>云从科技集团股份有限公司2026年半年度报告</t>
        </is>
      </c>
      <c r="K127" s="4" t="inlineStr">
        <is>
          <t>2026-08-22</t>
        </is>
      </c>
      <c r="L127" s="4" t="inlineStr">
        <is>
          <t>iFinD ifind_get_stock_info (as of 2026-10-27)；云从科技集团股份有限公司2026年半年度报告</t>
        </is>
      </c>
      <c r="M127" s="5" t="inlineStr">
        <is>
          <t>http://file.finance.sina.com.cn/211.154.219.97:9494/MRGG/CNSESH_STOCK/2026/2026-8/2026-08-22/12519497.PDF</t>
        </is>
      </c>
    </row>
    <row r="128" ht="24" customHeight="1">
      <c r="B128" s="6" t="inlineStr">
        <is>
          <t>688386</t>
        </is>
      </c>
      <c r="C128" s="6" t="inlineStr">
        <is>
          <t>泛亚微透</t>
        </is>
      </c>
      <c r="D128" s="6" t="inlineStr">
        <is>
          <t>机器人：其他；机器人：其他</t>
        </is>
      </c>
      <c r="E128" s="6" t="inlineStr">
        <is>
          <t>纠错</t>
        </is>
      </c>
      <c r="F128" s="6" t="inlineStr">
        <is>
          <t>机器人</t>
        </is>
      </c>
      <c r="G128" s="6" t="inlineStr">
        <is>
          <t>线缆</t>
        </is>
      </c>
      <c r="H128" s="6" t="inlineStr">
        <is>
          <t>相关</t>
        </is>
      </c>
      <c r="I128" s="6" t="inlineStr">
        <is>
          <t>高耐弯折机器人线缆已通过3500万次测试，2026年对北美头部人形机器人客户小批量供货，电子皮肤手套亦有交付或订单，具备直接产品和商业化证据。但具身方向2026年收入预计不超过1000万元，仍是材料主业外的一块业务，故去重并纠错为线缆相关。</t>
        </is>
      </c>
      <c r="J128" s="6" t="inlineStr">
        <is>
          <t>泛亚微透：高耐弯折线缆已对北美头部人形机器人客户小批量供货</t>
        </is>
      </c>
      <c r="K128" s="6" t="inlineStr">
        <is>
          <t>2026-09-28</t>
        </is>
      </c>
      <c r="L128" s="6" t="inlineStr">
        <is>
          <t>iFinD ifind_get_stock_info (as of 2026-10-27)；泛亚微透：高耐弯折线缆已对北美头部人形机器人客户小批量供货</t>
        </is>
      </c>
      <c r="M128" s="7" t="inlineStr">
        <is>
          <t>https://news.futunn.com/post/1000273492</t>
        </is>
      </c>
    </row>
    <row r="129" ht="24" customHeight="1">
      <c r="B129" s="4" t="inlineStr">
        <is>
          <t>688400</t>
        </is>
      </c>
      <c r="C129" s="4" t="inlineStr">
        <is>
          <t>凌云光</t>
        </is>
      </c>
      <c r="D129" s="4" t="inlineStr">
        <is>
          <t>机器人：视觉</t>
        </is>
      </c>
      <c r="E129" s="4" t="inlineStr">
        <is>
          <t>迁移</t>
        </is>
      </c>
      <c r="F129" s="4" t="inlineStr">
        <is>
          <t>物理AI</t>
        </is>
      </c>
      <c r="G129" s="4" t="inlineStr">
        <is>
          <t>物理AI_机器视觉</t>
        </is>
      </c>
      <c r="H129" s="4" t="inlineStr">
        <is>
          <t>核心</t>
        </is>
      </c>
      <c r="I129" s="4" t="inlineStr">
        <is>
          <t>视觉器件、视觉系统和智能视觉装备用于工业识别、对位、测量、缺陷检测及机器人引导，是采集并理解物理环境信息的直接感知产品。2025年机器视觉收入23.46亿元，已形成明确主业；FZMotion动捕作为补充能力，不改变按机器视觉主业迁移并定核心的判断。</t>
        </is>
      </c>
      <c r="J129" s="4" t="inlineStr">
        <is>
          <t>凌云光技术股份有限公司2025年年度报告</t>
        </is>
      </c>
      <c r="K129" s="4" t="inlineStr">
        <is>
          <t>2026-04-29</t>
        </is>
      </c>
      <c r="L129" s="4" t="inlineStr">
        <is>
          <t>iFinD ifind_get_stock_info (as of 2026-10-27)；凌云光技术股份有限公司2025年年度报告</t>
        </is>
      </c>
      <c r="M129" s="5" t="inlineStr">
        <is>
          <t>http://file.finance.sina.com.cn/211.154.219.97:9494/MRGG/CNSESH_STOCK/2026/2026-4/2026-04-29/12269922.PDF</t>
        </is>
      </c>
    </row>
    <row r="130" ht="24" customHeight="1">
      <c r="B130" s="6" t="inlineStr">
        <is>
          <t>688507</t>
        </is>
      </c>
      <c r="C130" s="6" t="inlineStr">
        <is>
          <t>索辰科技</t>
        </is>
      </c>
      <c r="D130" s="6" t="inlineStr">
        <is>
          <t>机器人：其他</t>
        </is>
      </c>
      <c r="E130" s="6" t="inlineStr">
        <is>
          <t>迁移</t>
        </is>
      </c>
      <c r="F130" s="6" t="inlineStr">
        <is>
          <t>物理AI</t>
        </is>
      </c>
      <c r="G130" s="6" t="inlineStr">
        <is>
          <t>物理AI_仿真训练</t>
        </is>
      </c>
      <c r="H130" s="6" t="inlineStr">
        <is>
          <t>核心</t>
        </is>
      </c>
      <c r="I130" s="6" t="inlineStr">
        <is>
          <t>公司主营CAE与物理AI软件，物理AI模拟引擎、训练一体化平台和智能工坊可完成参数采样、批量仿真、模型训练及优化决策闭环，并已有机器人设计训练平台。产品直接服务物理世界建模与训练而非本体制造，且属于核心产品，故迁入仿真训练并维持核心。</t>
        </is>
      </c>
      <c r="J130" s="6" t="inlineStr">
        <is>
          <t>索辰科技：2025年年度报告</t>
        </is>
      </c>
      <c r="K130" s="6" t="inlineStr">
        <is>
          <t>2026-04-28</t>
        </is>
      </c>
      <c r="L130" s="6" t="inlineStr">
        <is>
          <t>iFinD ifind_get_stock_info (as of 2026-10-27)；索辰科技：2025年年度报告</t>
        </is>
      </c>
      <c r="M130" s="7" t="inlineStr">
        <is>
          <t>http://money.finance.sina.com.cn/corp/view/vCB_AllBulletinDetail.php?stockid=688507&amp;id=12212908</t>
        </is>
      </c>
    </row>
    <row r="131" ht="24" customHeight="1">
      <c r="B131" s="4" t="inlineStr">
        <is>
          <t>688577</t>
        </is>
      </c>
      <c r="C131" s="4" t="inlineStr">
        <is>
          <t>浙海德曼</t>
        </is>
      </c>
      <c r="D131" s="4" t="inlineStr">
        <is>
          <t>机器人：丝杠设备</t>
        </is>
      </c>
      <c r="E131" s="4" t="inlineStr">
        <is>
          <t>保留</t>
        </is>
      </c>
      <c r="F131" s="4" t="inlineStr">
        <is>
          <t>机器人</t>
        </is>
      </c>
      <c r="G131" s="4" t="inlineStr">
        <is>
          <t>丝杠设备</t>
        </is>
      </c>
      <c r="H131" s="4" t="inlineStr">
        <is>
          <t>相关</t>
        </is>
      </c>
      <c r="I131" s="4" t="inlineStr">
        <is>
          <t>数控车床仍是公司主业，但已开发反式行星滚柱丝杠螺母以车代磨专机，公开现场展示硬车加工过程，并取得机器人OEM订单，具备专用装备和实际项目依据。机器人丝杠设备仅是机床业务的一块应用，尚未构成主营，故保留相关而非摘除或升级。</t>
        </is>
      </c>
      <c r="J131" s="4" t="inlineStr">
        <is>
          <t>浙江海德曼智能装备股份有限公司投资者关系活动记录表</t>
        </is>
      </c>
      <c r="K131" s="4" t="inlineStr">
        <is>
          <t>2025-12-29</t>
        </is>
      </c>
      <c r="L131" s="4" t="inlineStr">
        <is>
          <t>iFinD ifind_get_stock_info (as of 2026-10-27)；浙江海德曼智能装备股份有限公司投资者关系活动记录表</t>
        </is>
      </c>
      <c r="M131" s="5" t="inlineStr">
        <is>
          <t>http://dataclouds.cninfo.com.cn/shgonggao/investor/2025/20251229/7f354ac861244cf9aba3bef81e13fc5.PDF</t>
        </is>
      </c>
    </row>
    <row r="132" ht="24" customHeight="1">
      <c r="B132" s="6" t="inlineStr">
        <is>
          <t>688582</t>
        </is>
      </c>
      <c r="C132" s="6" t="inlineStr">
        <is>
          <t>芯动联科</t>
        </is>
      </c>
      <c r="D132" s="6" t="inlineStr">
        <is>
          <t>机器人：传感器</t>
        </is>
      </c>
      <c r="E132" s="6" t="inlineStr">
        <is>
          <t>迁移</t>
        </is>
      </c>
      <c r="F132" s="6" t="inlineStr">
        <is>
          <t>物理AI</t>
        </is>
      </c>
      <c r="G132" s="6" t="inlineStr">
        <is>
          <t>物理AI_传感器</t>
        </is>
      </c>
      <c r="H132" s="6" t="inlineStr">
        <is>
          <t>核心</t>
        </is>
      </c>
      <c r="I132" s="6" t="inlineStr">
        <is>
          <t>MEMS陀螺仪、加速度计及IMU是公司明确主营并已稳定量产，用于姿态、运动和轨迹感知，直接对应物理AI惯性传感能力。工业级单轴陀螺已量产并小批发货，机器人专用低成本IMU仍在研发，因此依据既有传感器主业迁移为核心，不夸称机器人产品已放量。</t>
        </is>
      </c>
      <c r="J132" s="6" t="inlineStr">
        <is>
          <t>安徽芯动联科微系统股份有限公司2025年年度报告</t>
        </is>
      </c>
      <c r="K132" s="6" t="inlineStr">
        <is>
          <t>2026-03-24</t>
        </is>
      </c>
      <c r="L132" s="6" t="inlineStr">
        <is>
          <t>iFinD ifind_get_stock_info (as of 2026-10-27)；安徽芯动联科微系统股份有限公司2025年年度报告</t>
        </is>
      </c>
      <c r="M132" s="7" t="inlineStr">
        <is>
          <t>http://file.finance.sina.com.cn/211.154.219.97:9494/MRGG/CNSESH_STOCK/2026/2026-3/2026-03-24/12012353.PDF</t>
        </is>
      </c>
    </row>
    <row r="133" ht="24" customHeight="1">
      <c r="B133" s="4" t="inlineStr">
        <is>
          <t>688585</t>
        </is>
      </c>
      <c r="C133" s="4" t="inlineStr">
        <is>
          <t>上纬新材</t>
        </is>
      </c>
      <c r="D133" s="4" t="inlineStr">
        <is>
          <t>机器人：本体及应用</t>
        </is>
      </c>
      <c r="E133" s="4" t="inlineStr">
        <is>
          <t>摘除</t>
        </is>
      </c>
      <c r="F133" s="4" t="inlineStr">
        <is>
          <t>—</t>
        </is>
      </c>
      <c r="G133" s="4" t="inlineStr">
        <is>
          <t>—</t>
        </is>
      </c>
      <c r="H133" s="4" t="inlineStr">
        <is>
          <t>摘除</t>
        </is>
      </c>
      <c r="I133" s="4" t="inlineStr">
        <is>
          <t>公司2025年组建消费级具身机器人团队并形成小型人形样机，2026年推出启元Q1、T1，说明并非完全无产品证据。但机器人仍处研发阶段，尚未量产，也未形成收入和利润，新材料主业未改变，按研发预期和边缘标签应摘除的规则取消分类。</t>
        </is>
      </c>
      <c r="J133" s="4" t="inlineStr">
        <is>
          <t>上纬新材：2025年年度报告</t>
        </is>
      </c>
      <c r="K133" s="4" t="inlineStr">
        <is>
          <t>2026-03-31</t>
        </is>
      </c>
      <c r="L133" s="4" t="inlineStr">
        <is>
          <t>iFinD ifind_get_stock_info (as of 2026-10-27)；上纬新材：2025年年度报告</t>
        </is>
      </c>
      <c r="M133" s="5" t="inlineStr">
        <is>
          <t>https://vip.stock.finance.sina.com.cn/corp/view/vCB_AllBulletinDetail.php?stockid=688585&amp;id=12047836</t>
        </is>
      </c>
    </row>
    <row r="134" ht="24" customHeight="1">
      <c r="B134" s="6" t="inlineStr">
        <is>
          <t>688648</t>
        </is>
      </c>
      <c r="C134" s="6" t="inlineStr">
        <is>
          <t>中邮科技</t>
        </is>
      </c>
      <c r="D134" s="6" t="inlineStr">
        <is>
          <t>机器人：本体及应用；机器人：本体及应用</t>
        </is>
      </c>
      <c r="E134" s="6" t="inlineStr">
        <is>
          <t>纠错</t>
        </is>
      </c>
      <c r="F134" s="6" t="inlineStr">
        <is>
          <t>机器人</t>
        </is>
      </c>
      <c r="G134" s="6" t="inlineStr">
        <is>
          <t>物流系统</t>
        </is>
      </c>
      <c r="H134" s="6" t="inlineStr">
        <is>
          <t>核心</t>
        </is>
      </c>
      <c r="I134" s="6" t="inlineStr">
        <is>
          <t>公司交付智能分拣、传输、仓储系统及WMS、WCS软件，2025年智能物流系统收入11.28亿元，主营基础明确。机械臂自动供件样机正在推广，移动分拣车已投入运营，但业务实质是自动化物流系统而非通用具身本体，故去重并纠错为物流系统核心。</t>
        </is>
      </c>
      <c r="J134" s="6" t="inlineStr">
        <is>
          <t>中邮科技：2025年年度报告</t>
        </is>
      </c>
      <c r="K134" s="6" t="inlineStr">
        <is>
          <t>2026-04-29</t>
        </is>
      </c>
      <c r="L134" s="6" t="inlineStr">
        <is>
          <t>iFinD ifind_get_stock_info (as of 2026-10-27)；中邮科技：2025年年度报告</t>
        </is>
      </c>
      <c r="M134" s="7" t="inlineStr">
        <is>
          <t>https://vip.stock.finance.sina.com.cn/corp/view/vCB_AllBulletinDetail.php?stockid=688648&amp;id=12256472</t>
        </is>
      </c>
    </row>
    <row r="135" ht="24" customHeight="1">
      <c r="B135" s="4" t="inlineStr">
        <is>
          <t>688686</t>
        </is>
      </c>
      <c r="C135" s="4" t="inlineStr">
        <is>
          <t>奥普特</t>
        </is>
      </c>
      <c r="D135" s="4" t="inlineStr">
        <is>
          <t>机器人：视觉；物理AI：物理AI_机器视觉</t>
        </is>
      </c>
      <c r="E135" s="4" t="inlineStr">
        <is>
          <t>迁移</t>
        </is>
      </c>
      <c r="F135" s="4" t="inlineStr">
        <is>
          <t>物理AI</t>
        </is>
      </c>
      <c r="G135" s="4" t="inlineStr">
        <is>
          <t>物理AI_机器视觉</t>
        </is>
      </c>
      <c r="H135" s="4" t="inlineStr">
        <is>
          <t>核心</t>
        </is>
      </c>
      <c r="I135" s="4" t="inlineStr">
        <is>
          <t>光源、镜头、相机、3D传感器、视觉算法及工业AI均为公司明确主营，用于工业图像采集、识别和检测，直接提供物理环境视觉感知。2025年机器视觉核心部件收入约9.6亿元，机器人视觉也已有收入，故合并重复标签、迁入物理AI并由相关升为核心。</t>
        </is>
      </c>
      <c r="J135" s="4" t="inlineStr">
        <is>
          <t>奥普特：2025年年度报告</t>
        </is>
      </c>
      <c r="K135" s="4" t="inlineStr">
        <is>
          <t>2026-04-03</t>
        </is>
      </c>
      <c r="L135" s="4" t="inlineStr">
        <is>
          <t>iFinD ifind_get_stock_info (as of 2026-10-27)；奥普特：2025年年度报告</t>
        </is>
      </c>
      <c r="M135" s="5" t="inlineStr">
        <is>
          <t>https://wap.stockstar.com/detail/SN2026040300000077</t>
        </is>
      </c>
    </row>
    <row r="136" ht="24" customHeight="1">
      <c r="B136" s="6" t="inlineStr">
        <is>
          <t>688698</t>
        </is>
      </c>
      <c r="C136" s="6" t="inlineStr">
        <is>
          <t>伟创电气</t>
        </is>
      </c>
      <c r="D136" s="6" t="inlineStr">
        <is>
          <t>机器人：电机</t>
        </is>
      </c>
      <c r="E136" s="6" t="inlineStr">
        <is>
          <t>保留</t>
        </is>
      </c>
      <c r="F136" s="6" t="inlineStr">
        <is>
          <t>机器人</t>
        </is>
      </c>
      <c r="G136" s="6" t="inlineStr">
        <is>
          <t>电机</t>
        </is>
      </c>
      <c r="H136" s="6" t="inlineStr">
        <is>
          <t>相关</t>
        </is>
      </c>
      <c r="I136" s="6" t="inlineStr">
        <is>
          <t>变频器和通用伺服仍是公司基本盘，机器人方向已形成SD100、RB100、RB200、RB300驱动产品，以及空心杯、无框力矩电机和关节模组，具备直接产品基础。但机器人属于一核两新中的新业务板块，尚未成为主营，故保留电机相关且不因人形应用迁物理AI。</t>
        </is>
      </c>
      <c r="J136" s="6" t="inlineStr">
        <is>
          <t>苏州伟创电气科技股份有限公司2025年年度报告摘要</t>
        </is>
      </c>
      <c r="K136" s="6" t="inlineStr">
        <is>
          <t>2026-04-16</t>
        </is>
      </c>
      <c r="L136" s="6" t="inlineStr">
        <is>
          <t>iFinD ifind_get_stock_info (as of 2026-10-27)；苏州伟创电气科技股份有限公司2025年年度报告摘要</t>
        </is>
      </c>
      <c r="M136" s="7" t="inlineStr">
        <is>
          <t>https://static.cninfo.com.cn/finalpage/2026-04-16/1225107243.PDF</t>
        </is>
      </c>
    </row>
    <row r="137" ht="24" customHeight="1">
      <c r="B137" s="4" t="inlineStr">
        <is>
          <t>688722</t>
        </is>
      </c>
      <c r="C137" s="4" t="inlineStr">
        <is>
          <t>同益中</t>
        </is>
      </c>
      <c r="D137" s="4" t="inlineStr">
        <is>
          <t>机器人：腱绳材料</t>
        </is>
      </c>
      <c r="E137" s="4" t="inlineStr">
        <is>
          <t>纠错</t>
        </is>
      </c>
      <c r="F137" s="4" t="inlineStr">
        <is>
          <t>机器人</t>
        </is>
      </c>
      <c r="G137" s="4" t="inlineStr">
        <is>
          <t>腱绳材料</t>
        </is>
      </c>
      <c r="H137" s="4" t="inlineStr">
        <is>
          <t>相关</t>
        </is>
      </c>
      <c r="I137" s="4" t="inlineStr">
        <is>
          <t>超高分子量聚乙烯纤维及复合材料仍是公司主业，机器人方向已开发十余款腱绳，进入多家头部机器人企业供应商名录，并实现批量生产和小批量订单，已越过单纯研发预期。但腱绳尚属材料主业下的一块业务，不应列机器人核心，故降级为相关。</t>
        </is>
      </c>
      <c r="J137" s="4" t="inlineStr">
        <is>
          <t>同益中：2025年年度报告</t>
        </is>
      </c>
      <c r="K137" s="4" t="inlineStr">
        <is>
          <t>2026-03-31</t>
        </is>
      </c>
      <c r="L137" s="4" t="inlineStr">
        <is>
          <t>iFinD ifind_get_stock_info (as of 2026-10-27)；同益中：2025年年度报告</t>
        </is>
      </c>
      <c r="M137" s="5" t="inlineStr">
        <is>
          <t>http://money.finance.sina.com.cn/corp/view/vCB_AllBulletinDetail.php?stockid=688722&amp;id=12045183</t>
        </is>
      </c>
    </row>
    <row r="138" ht="24" customHeight="1">
      <c r="B138" s="6" t="inlineStr">
        <is>
          <t>688836</t>
        </is>
      </c>
      <c r="C138" s="6" t="inlineStr">
        <is>
          <t>宇树科技-W</t>
        </is>
      </c>
      <c r="D138" s="6" t="inlineStr">
        <is>
          <t>机器人：本体及应用</t>
        </is>
      </c>
      <c r="E138" s="6" t="inlineStr">
        <is>
          <t>迁移</t>
        </is>
      </c>
      <c r="F138" s="6" t="inlineStr">
        <is>
          <t>物理AI</t>
        </is>
      </c>
      <c r="G138" s="6" t="inlineStr">
        <is>
          <t>物理AI_具身本体</t>
        </is>
      </c>
      <c r="H138" s="6" t="inlineStr">
        <is>
          <t>核心</t>
        </is>
      </c>
      <c r="I138" s="6" t="inlineStr">
        <is>
          <t>人形机器人、四足机器人及具身智能模型构成公司明确主营，产品已规模销售。2025年人形机器人收入86783.19万元、四足机器人收入69762.56万元，两类本体合计占主营约93.4%，既有具身产品直接性又有高度主营集中度，故迁入物理AI具身本体并保留核心。</t>
        </is>
      </c>
      <c r="J138" s="6" t="inlineStr">
        <is>
          <t>宇树科技股份有限公司首次公开发行股票并在科创板上市招股说明书</t>
        </is>
      </c>
      <c r="K138" s="6" t="inlineStr">
        <is>
          <t>2026年</t>
        </is>
      </c>
      <c r="L138" s="6" t="inlineStr">
        <is>
          <t>iFinD ifind_get_stock_info (as of 2026-10-27)；宇树科技股份有限公司首次公开发行股票并在科创板上市招股说明书</t>
        </is>
      </c>
      <c r="M138" s="7" t="inlineStr">
        <is>
          <t>https://dataclouds.cninfo.com.cn/sjother2/documents/2026/2026-05-25/3d7fc0538abe281340a95c9c77a90525.pdf</t>
        </is>
      </c>
    </row>
    <row r="139" ht="24" customHeight="1">
      <c r="B139" s="4" t="inlineStr">
        <is>
          <t>920418</t>
        </is>
      </c>
      <c r="C139" s="4" t="inlineStr">
        <is>
          <t>苏轴股份</t>
        </is>
      </c>
      <c r="D139" s="4" t="inlineStr">
        <is>
          <t>机器人：轴承</t>
        </is>
      </c>
      <c r="E139" s="4" t="inlineStr">
        <is>
          <t>保留</t>
        </is>
      </c>
      <c r="F139" s="4" t="inlineStr">
        <is>
          <t>机器人</t>
        </is>
      </c>
      <c r="G139" s="4" t="inlineStr">
        <is>
          <t>轴承</t>
        </is>
      </c>
      <c r="H139" s="4" t="inlineStr">
        <is>
          <t>相关</t>
        </is>
      </c>
      <c r="I139" s="4" t="inlineStr">
        <is>
          <t>滚针轴承和滚动体是公司主营，机器人专用谐波减速器薄壁交叉滚子轴承已完成开发，RV减速机滚针保持架组件已小批供货，具备直接产品及交付证据。机器人专用轴承仍是整体轴承业务的一部分，尚未构成公司主业，因此保留轴承标签并维持相关。</t>
        </is>
      </c>
      <c r="J139" s="4" t="inlineStr">
        <is>
          <t>苏轴股份：2025年年度报告</t>
        </is>
      </c>
      <c r="K139" s="4" t="inlineStr">
        <is>
          <t>2026-04-07</t>
        </is>
      </c>
      <c r="L139" s="4" t="inlineStr">
        <is>
          <t>iFinD ifind_get_stock_info (as of 2026-10-27)；苏轴股份：2025年年度报告</t>
        </is>
      </c>
      <c r="M139" s="5" t="inlineStr">
        <is>
          <t>http://money.finance.sina.com.cn/corp/view/vCB_AllBulletinDetail.php?stockid=920418&amp;id=12066065</t>
        </is>
      </c>
    </row>
    <row r="140" ht="24" customHeight="1">
      <c r="B140" s="6" t="inlineStr">
        <is>
          <t>920593</t>
        </is>
      </c>
      <c r="C140" s="6" t="inlineStr">
        <is>
          <t>鼎智科技</t>
        </is>
      </c>
      <c r="D140" s="6" t="inlineStr">
        <is>
          <t>机器人：电机</t>
        </is>
      </c>
      <c r="E140" s="6" t="inlineStr">
        <is>
          <t>纠错</t>
        </is>
      </c>
      <c r="F140" s="6" t="inlineStr">
        <is>
          <t>机器人</t>
        </is>
      </c>
      <c r="G140" s="6" t="inlineStr">
        <is>
          <t>执行器</t>
        </is>
      </c>
      <c r="H140" s="6" t="inlineStr">
        <is>
          <t>核心</t>
        </is>
      </c>
      <c r="I140" s="6" t="inlineStr">
        <is>
          <t>线性执行器是公司第一大产品，2025年收入1.429亿元，用于精密直线运动和机器人执行环节，机器人项目正由样件逐步转入批量生产，直流电机及组件中的机器人单项收入增长687.23%。执行器比泛称电机更准确反映主营产品，故纠错概念并保留核心。</t>
        </is>
      </c>
      <c r="J140" s="6" t="inlineStr">
        <is>
          <t>鼎智科技：2025年年度报告</t>
        </is>
      </c>
      <c r="K140" s="6" t="inlineStr">
        <is>
          <t>2026-04-28</t>
        </is>
      </c>
      <c r="L140" s="6" t="inlineStr">
        <is>
          <t>iFinD ifind_get_stock_info (as of 2026-10-27)；鼎智科技：2025年年度报告</t>
        </is>
      </c>
      <c r="M140" s="7" t="inlineStr">
        <is>
          <t>http://money.finance.sina.com.cn/corp/view/vCB_AllBulletinDetail.php?stockid=920593&amp;id=12262335</t>
        </is>
      </c>
    </row>
    <row r="141" ht="24" customHeight="1">
      <c r="B141" s="4" t="inlineStr">
        <is>
          <t>920885</t>
        </is>
      </c>
      <c r="C141" s="4" t="inlineStr">
        <is>
          <t>星辰科技</t>
        </is>
      </c>
      <c r="D141" s="4" t="inlineStr">
        <is>
          <t>机器人：伺服系统</t>
        </is>
      </c>
      <c r="E141" s="4" t="inlineStr">
        <is>
          <t>保留</t>
        </is>
      </c>
      <c r="F141" s="4" t="inlineStr">
        <is>
          <t>机器人</t>
        </is>
      </c>
      <c r="G141" s="4" t="inlineStr">
        <is>
          <t>伺服系统</t>
        </is>
      </c>
      <c r="H141" s="4" t="inlineStr">
        <is>
          <t>相关</t>
        </is>
      </c>
      <c r="I141" s="4" t="inlineStr">
        <is>
          <t>随动控制总成、伺服驱动器和伺服电机是公司主营，产品覆盖军工、新能源和工业控制等运动控制场景，与机器人伺服系统存在直接产品关系。但特种机器人伺服电机仍处样机及研发应用阶段，机器人只是多个下游之一，故保留相关而不升级为核心。</t>
        </is>
      </c>
      <c r="J141" s="4" t="inlineStr">
        <is>
          <t>星辰科技：2025年年度报告</t>
        </is>
      </c>
      <c r="K141" s="4" t="inlineStr">
        <is>
          <t>2026-04-16</t>
        </is>
      </c>
      <c r="L141" s="4" t="inlineStr">
        <is>
          <t>iFinD ifind_get_stock_info (as of 2026-10-27)；星辰科技：2025年年度报告</t>
        </is>
      </c>
      <c r="M141" s="5" t="inlineStr">
        <is>
          <t>https://money.finance.sina.com.cn/corp/view/vCB_AllBulletinDetail.php?stockid=920885&amp;id=12101644</t>
        </is>
      </c>
    </row>
  </sheetData>
  <autoFilter ref="B4:M141"/>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8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8" customWidth="1" min="4" max="4"/>
    <col width="12" customWidth="1" min="5" max="5"/>
    <col width="16" customWidth="1" min="6" max="6"/>
    <col width="42"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机器人 · 保留与纠错股池</t>
        </is>
      </c>
    </row>
    <row r="3">
      <c r="B3" s="2" t="inlineStr">
        <is>
          <t>硬件零部件不因人形机器人应用自动迁入物理AI；系统集成、本体与零部件分开。</t>
        </is>
      </c>
    </row>
    <row r="4" ht="26" customHeight="1">
      <c r="B4" s="3" t="inlineStr">
        <is>
          <t>代码</t>
        </is>
      </c>
      <c r="C4" s="3" t="inlineStr">
        <is>
          <t>名称</t>
        </is>
      </c>
      <c r="D4" s="3" t="inlineStr">
        <is>
          <t>旧分类与概念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000559</t>
        </is>
      </c>
      <c r="C5" s="4" t="inlineStr">
        <is>
          <t>万向钱潮</t>
        </is>
      </c>
      <c r="D5" s="4" t="inlineStr">
        <is>
          <t>机器人：零部件</t>
        </is>
      </c>
      <c r="E5" s="4" t="inlineStr">
        <is>
          <t>纠错</t>
        </is>
      </c>
      <c r="F5" s="4" t="inlineStr">
        <is>
          <t>机器人</t>
        </is>
      </c>
      <c r="G5" s="4" t="inlineStr">
        <is>
          <t>丝杠、轴承、减速器</t>
        </is>
      </c>
      <c r="H5" s="4" t="inlineStr">
        <is>
          <t>相关</t>
        </is>
      </c>
      <c r="I5" s="4" t="inlineStr">
        <is>
          <t>主营仍为汽车底盘及传动零部件，但已将精密轴、轴承技术延伸至人形机器人行星滚柱丝杠、关节万向节和专用轴承；已具备10万套滚柱丝杠及1000万套关节万向节产能，减速器仍在研发，属于有产能和送样基础的新业务，故定相关并细化零部件标签。</t>
        </is>
      </c>
      <c r="J5" s="4" t="inlineStr">
        <is>
          <t>万向钱潮：2026年计划建成机器人专用轴承产能120万套</t>
        </is>
      </c>
      <c r="K5" s="4" t="inlineStr">
        <is>
          <t>2025-12-23</t>
        </is>
      </c>
      <c r="L5" s="4" t="inlineStr">
        <is>
          <t>iFinD ifind_get_stock_info (as of 2026-10-27)；万向钱潮：2026年计划建成机器人专用轴承产能120万套</t>
        </is>
      </c>
      <c r="M5" s="5" t="inlineStr">
        <is>
          <t>https://finance.sina.com.cn/stock/bxjj/2025-12-23/doc-inhcuqen0790186.shtml</t>
        </is>
      </c>
    </row>
    <row r="6" ht="24" customHeight="1">
      <c r="B6" s="6" t="inlineStr">
        <is>
          <t>000678</t>
        </is>
      </c>
      <c r="C6" s="6" t="inlineStr">
        <is>
          <t>襄阳轴承</t>
        </is>
      </c>
      <c r="D6" s="6" t="inlineStr">
        <is>
          <t>机器人：轴承</t>
        </is>
      </c>
      <c r="E6" s="6" t="inlineStr">
        <is>
          <t>纠错</t>
        </is>
      </c>
      <c r="F6" s="6" t="inlineStr">
        <is>
          <t>机器人</t>
        </is>
      </c>
      <c r="G6" s="6" t="inlineStr">
        <is>
          <t>轴承</t>
        </is>
      </c>
      <c r="H6" s="6" t="inlineStr">
        <is>
          <t>相关</t>
        </is>
      </c>
      <c r="I6" s="6" t="inlineStr">
        <is>
          <t>主营为汽车轴承、等速万向节和轮毂轴承单元，部分精密轴承已用于谐波及RV减速器并形成16.11万元实际收入。虽然金额很小且仍处市场拓展阶段，但已越过纯研发与送样阶段，按有真实销售可保留的口径判为相关，不升级为核心。</t>
        </is>
      </c>
      <c r="J6" s="6" t="inlineStr">
        <is>
          <t>襄阳轴承股票交易异常波动公告</t>
        </is>
      </c>
      <c r="K6" s="6" t="inlineStr">
        <is>
          <t>2026-10-23</t>
        </is>
      </c>
      <c r="L6" s="6" t="inlineStr">
        <is>
          <t>iFinD ifind_get_stock_info (as of 2026-10-27)；襄阳轴承股票交易异常波动公告</t>
        </is>
      </c>
      <c r="M6" s="7" t="inlineStr">
        <is>
          <t>https://www.cfi.net.cn/p20261023002762.html</t>
        </is>
      </c>
    </row>
    <row r="7" ht="24" customHeight="1">
      <c r="B7" s="4" t="inlineStr">
        <is>
          <t>000700</t>
        </is>
      </c>
      <c r="C7" s="4" t="inlineStr">
        <is>
          <t>模塑科技</t>
        </is>
      </c>
      <c r="D7" s="4" t="inlineStr">
        <is>
          <t>机器人：零部件</t>
        </is>
      </c>
      <c r="E7" s="4" t="inlineStr">
        <is>
          <t>纠错</t>
        </is>
      </c>
      <c r="F7" s="4" t="inlineStr">
        <is>
          <t>机器人</t>
        </is>
      </c>
      <c r="G7" s="4" t="inlineStr">
        <is>
          <t>结构件</t>
        </is>
      </c>
      <c r="H7" s="4" t="inlineStr">
        <is>
          <t>相关</t>
        </is>
      </c>
      <c r="I7" s="4" t="inlineStr">
        <is>
          <t>主营汽车保险杠等外饰件，公司将塑料外饰成型能力延伸至人形机器人头部、躯干等外覆盖件，产品直接构成机器人本体外部结构；已签订采购框架协议并取得小批量订单，越过纯研发阶段，但尚非主要收入来源，故定相关并改称结构件。</t>
        </is>
      </c>
      <c r="J7" s="4" t="inlineStr">
        <is>
          <t>模塑科技获4家机构调研：人形机器人外覆盖件获小批量订单</t>
        </is>
      </c>
      <c r="K7" s="4" t="inlineStr">
        <is>
          <t>2025-12-23</t>
        </is>
      </c>
      <c r="L7" s="4" t="inlineStr">
        <is>
          <t>iFinD ifind_get_stock_info (as of 2026-10-27)；模塑科技获4家机构调研：人形机器人外覆盖件获小批量订单</t>
        </is>
      </c>
      <c r="M7" s="5" t="inlineStr">
        <is>
          <t>https://finance.sina.com.cn/stock/aigc/jgdy/2025-12-23/doc-inhcuqen0803427.shtml</t>
        </is>
      </c>
    </row>
    <row r="8" ht="24" customHeight="1">
      <c r="B8" s="6" t="inlineStr">
        <is>
          <t>000837</t>
        </is>
      </c>
      <c r="C8" s="6" t="inlineStr">
        <is>
          <t>秦川机床</t>
        </is>
      </c>
      <c r="D8" s="6" t="inlineStr">
        <is>
          <t>机器人：丝杠</t>
        </is>
      </c>
      <c r="E8" s="6" t="inlineStr">
        <is>
          <t>新增</t>
        </is>
      </c>
      <c r="F8" s="6" t="inlineStr">
        <is>
          <t>机器人</t>
        </is>
      </c>
      <c r="G8" s="6" t="inlineStr">
        <is>
          <t>丝杠、减速器</t>
        </is>
      </c>
      <c r="H8" s="6" t="inlineStr">
        <is>
          <t>相关</t>
        </is>
      </c>
      <c r="I8" s="6" t="inlineStr">
        <is>
          <t>主营精密数控机床、滚动功能部件和复杂刀具，BX系列产品直接用于工业机器人关节减速，滚珠丝杠及行星滚柱丝杠用于线性传动；关节减速器已形成系列化产品，丝杠具有小批量生产验证基础，属于机床主业之外的实际产品业务，故保留丝杠并新增减速器。</t>
        </is>
      </c>
      <c r="J8" s="6" t="inlineStr">
        <is>
          <t>秦川机器人关节减速器亮相CIIF2025上海工博会</t>
        </is>
      </c>
      <c r="K8" s="6" t="inlineStr">
        <is>
          <t>2025-09-24</t>
        </is>
      </c>
      <c r="L8" s="6" t="inlineStr">
        <is>
          <t>iFinD ifind_get_stock_info (as of 2026-10-27)；秦川机器人关节减速器亮相CIIF2025上海工博会</t>
        </is>
      </c>
      <c r="M8" s="7" t="inlineStr">
        <is>
          <t>https://www.qinchuan.com/show-28-1539-1.html</t>
        </is>
      </c>
    </row>
    <row r="9" ht="24" customHeight="1">
      <c r="B9" s="4" t="inlineStr">
        <is>
          <t>000887</t>
        </is>
      </c>
      <c r="C9" s="4" t="inlineStr">
        <is>
          <t>中鼎股份</t>
        </is>
      </c>
      <c r="D9" s="4" t="inlineStr">
        <is>
          <t>机器人：减速器</t>
        </is>
      </c>
      <c r="E9" s="4" t="inlineStr">
        <is>
          <t>保留</t>
        </is>
      </c>
      <c r="F9" s="4" t="inlineStr">
        <is>
          <t>机器人</t>
        </is>
      </c>
      <c r="G9" s="4" t="inlineStr">
        <is>
          <t>减速器</t>
        </is>
      </c>
      <c r="H9" s="4" t="inlineStr">
        <is>
          <t>相关</t>
        </is>
      </c>
      <c r="I9" s="4" t="inlineStr">
        <is>
          <t>主营汽车密封、减震、热管理及轻量化系统，机器人业务通过子公司提供谐波、行星减速器，直接用于人形机器人关节传动；已取得众擎、傅利叶及其他头部客户定点，截至2026年上半年订单约30万颗、年产能15万颗，商业化和订单证据明确，故定相关。</t>
        </is>
      </c>
      <c r="J9" s="4" t="inlineStr">
        <is>
          <t>中鼎股份投资者关系活动记录表</t>
        </is>
      </c>
      <c r="K9" s="4" t="inlineStr">
        <is>
          <t>2026-10-21</t>
        </is>
      </c>
      <c r="L9" s="4" t="inlineStr">
        <is>
          <t>iFinD ifind_get_stock_info (as of 2026-10-27)；中鼎股份投资者关系活动记录表</t>
        </is>
      </c>
      <c r="M9" s="5" t="inlineStr">
        <is>
          <t>http://static.cninfo.com.cn/finalpage/2026-10-21/1225614608.PDF</t>
        </is>
      </c>
    </row>
    <row r="10" ht="24" customHeight="1">
      <c r="B10" s="6" t="inlineStr">
        <is>
          <t>001306</t>
        </is>
      </c>
      <c r="C10" s="6" t="inlineStr">
        <is>
          <t>夏厦精密</t>
        </is>
      </c>
      <c r="D10" s="6" t="inlineStr">
        <is>
          <t>机器人：减速器</t>
        </is>
      </c>
      <c r="E10" s="6" t="inlineStr">
        <is>
          <t>纠错</t>
        </is>
      </c>
      <c r="F10" s="6" t="inlineStr">
        <is>
          <t>机器人</t>
        </is>
      </c>
      <c r="G10" s="6" t="inlineStr">
        <is>
          <t>减速器</t>
        </is>
      </c>
      <c r="H10" s="6" t="inlineStr">
        <is>
          <t>相关</t>
        </is>
      </c>
      <c r="I10" s="6" t="inlineStr">
        <is>
          <t>主营小模数齿轮、减速机及配件，相关产品可作为工业机器人关键传动部件，并已拓展云深处等机器人客户；但公司披露机器人领域在手及协议订单规模仍较小，汽车、电动工具齿轮仍是主要业务，因此保留减速器标签，但不按机器人核心主营定级。</t>
        </is>
      </c>
      <c r="J10" s="6" t="inlineStr">
        <is>
          <t>机器人“扎堆”上春晚，背后概念股抢先看</t>
        </is>
      </c>
      <c r="K10" s="6" t="inlineStr">
        <is>
          <t>2026-02-16</t>
        </is>
      </c>
      <c r="L10" s="6" t="inlineStr">
        <is>
          <t>iFinD ifind_get_stock_info (as of 2026-10-27)；机器人“扎堆”上春晚，背后概念股抢先看</t>
        </is>
      </c>
      <c r="M10" s="7" t="inlineStr">
        <is>
          <t>https://www.mrjjxw.com/articles/2026-02-16/4263911.html</t>
        </is>
      </c>
    </row>
    <row r="11" ht="24" customHeight="1">
      <c r="B11" s="4" t="inlineStr">
        <is>
          <t>002009</t>
        </is>
      </c>
      <c r="C11" s="4" t="inlineStr">
        <is>
          <t>天奇股份</t>
        </is>
      </c>
      <c r="D11" s="4" t="inlineStr">
        <is>
          <t>机器人：本体及应用；物理AI：物理AI_数据采集</t>
        </is>
      </c>
      <c r="E11" s="4" t="inlineStr">
        <is>
          <t>保留</t>
        </is>
      </c>
      <c r="F11" s="4" t="inlineStr">
        <is>
          <t>机器人</t>
        </is>
      </c>
      <c r="G11" s="4" t="inlineStr">
        <is>
          <t>本体及应用</t>
        </is>
      </c>
      <c r="H11" s="4" t="inlineStr">
        <is>
          <t>相关</t>
        </is>
      </c>
      <c r="I11" s="4" t="inlineStr">
        <is>
          <t>智能自动化装备及机器人用于汽车制造等工业场景，构成机器人应用业务；具身智能板块建设工业数据采集与实训中心，采集多模态真机数据并开展模型训练，中心已正式投入运行。装备交付和训练数据服务均有实际项目支撑，故保留双分类并定相关。</t>
        </is>
      </c>
      <c r="J11" s="4" t="inlineStr">
        <is>
          <t>天奇自动化工程股份有限公司2025年年度报告摘要</t>
        </is>
      </c>
      <c r="K11" s="4" t="inlineStr">
        <is>
          <t>2026-04-28</t>
        </is>
      </c>
      <c r="L11" s="4" t="inlineStr">
        <is>
          <t>iFinD ifind_get_stock_info (as of 2026-10-27)；天奇自动化工程股份有限公司2025年年度报告摘要</t>
        </is>
      </c>
      <c r="M11" s="5" t="inlineStr">
        <is>
          <t>https://static.cninfo.com.cn/finalpage/2026-04-28/1225218333.PDF</t>
        </is>
      </c>
    </row>
    <row r="12" ht="24" customHeight="1">
      <c r="B12" s="6" t="inlineStr">
        <is>
          <t>002031</t>
        </is>
      </c>
      <c r="C12" s="6" t="inlineStr">
        <is>
          <t>巨轮智能</t>
        </is>
      </c>
      <c r="D12" s="6" t="inlineStr">
        <is>
          <t>机器人：减速器</t>
        </is>
      </c>
      <c r="E12" s="6" t="inlineStr">
        <is>
          <t>新增</t>
        </is>
      </c>
      <c r="F12" s="6" t="inlineStr">
        <is>
          <t>机器人</t>
        </is>
      </c>
      <c r="G12" s="6" t="inlineStr">
        <is>
          <t>减速器、本体及应用</t>
        </is>
      </c>
      <c r="H12" s="6" t="inlineStr">
        <is>
          <t>相关</t>
        </is>
      </c>
      <c r="I12" s="6" t="inlineStr">
        <is>
          <t>主营轮胎模具、液压式硫化机及工业机器人与智能装备，RV减速器直接用于工业机器人关节；2025年RV减速器销售收入837.03万元、占营收1%，虽占比较小但已形成真实销售，并非单纯研发预期，因此定相关，并在减速器之外补充本体及应用。</t>
        </is>
      </c>
      <c r="J12" s="6" t="inlineStr">
        <is>
          <t>巨轮智能装备股份有限公司股票交易异常波动公告</t>
        </is>
      </c>
      <c r="K12" s="6" t="inlineStr">
        <is>
          <t>2026-05-11</t>
        </is>
      </c>
      <c r="L12" s="6" t="inlineStr">
        <is>
          <t>iFinD ifind_get_stock_info (as of 2026-10-27)；巨轮智能装备股份有限公司股票交易异常波动公告</t>
        </is>
      </c>
      <c r="M12" s="7" t="inlineStr">
        <is>
          <t>https://disc.static.szse.cn/download/disc/disk03/finalpage/2026-05-11/e39dccaf-bf1a-4f56-8459-00346cde53c7.PDF</t>
        </is>
      </c>
    </row>
    <row r="13" ht="24" customHeight="1">
      <c r="B13" s="4" t="inlineStr">
        <is>
          <t>002046</t>
        </is>
      </c>
      <c r="C13" s="4" t="inlineStr">
        <is>
          <t>国机精工</t>
        </is>
      </c>
      <c r="D13" s="4" t="inlineStr">
        <is>
          <t>机器人：丝杠设备</t>
        </is>
      </c>
      <c r="E13" s="4" t="inlineStr">
        <is>
          <t>纠错</t>
        </is>
      </c>
      <c r="F13" s="4" t="inlineStr">
        <is>
          <t>机器人</t>
        </is>
      </c>
      <c r="G13" s="4" t="inlineStr">
        <is>
          <t>轴承</t>
        </is>
      </c>
      <c r="H13" s="4" t="inlineStr">
        <is>
          <t>相关</t>
        </is>
      </c>
      <c r="I13" s="4" t="inlineStr">
        <is>
          <t>主营特种及精密轴承、超硬材料和高端装备，公司明确不具备滚柱丝杠生产能力，旧丝杠设备标签不准确；实际机器人产品包括RV减速器薄壁轴承、谐波减速器柔性轴承及交叉滚子轴承，2025年已实现小批量生产，故纠错为机器人轴承并定相关。</t>
        </is>
      </c>
      <c r="J13" s="4" t="inlineStr">
        <is>
          <t>国机精工：2025年营业收入30.19亿元，机器人轴承实现小批量生产</t>
        </is>
      </c>
      <c r="K13" s="4" t="inlineStr">
        <is>
          <t>2026-04-13</t>
        </is>
      </c>
      <c r="L13" s="4" t="inlineStr">
        <is>
          <t>iFinD ifind_get_stock_info (as of 2026-10-27)；国机精工：2025年营业收入30.19亿元，机器人轴承实现小批量生产</t>
        </is>
      </c>
      <c r="M13" s="5" t="inlineStr">
        <is>
          <t>https://static.weeklyonstock.com/26/0413/AB2618495176185.html</t>
        </is>
      </c>
    </row>
    <row r="14" ht="24" customHeight="1">
      <c r="B14" s="6" t="inlineStr">
        <is>
          <t>002050</t>
        </is>
      </c>
      <c r="C14" s="6" t="inlineStr">
        <is>
          <t>三花智控</t>
        </is>
      </c>
      <c r="D14" s="6" t="inlineStr">
        <is>
          <t>机器人：总成</t>
        </is>
      </c>
      <c r="E14" s="6" t="inlineStr">
        <is>
          <t>保留</t>
        </is>
      </c>
      <c r="F14" s="6" t="inlineStr">
        <is>
          <t>机器人</t>
        </is>
      </c>
      <c r="G14" s="6" t="inlineStr">
        <is>
          <t>总成</t>
        </is>
      </c>
      <c r="H14" s="6" t="inlineStr">
        <is>
          <t>相关</t>
        </is>
      </c>
      <c r="I14" s="6" t="inlineStr">
        <is>
          <t>主营制冷空调控制部件和新能源汽车热管理，机器人业务为仿生机器人机电执行器，将驱动、传动等部件集成为关节执行总成；2026年上半年核心产品已推进批量交付和产线爬坡。其本质是机器人硬件执行环节，不属于感知或训练类物理AI，故保留机器人总成。</t>
        </is>
      </c>
      <c r="J14" s="6" t="inlineStr">
        <is>
          <t>三花智控2026年半年度报告</t>
        </is>
      </c>
      <c r="K14" s="6" t="inlineStr">
        <is>
          <t>2026-08-27</t>
        </is>
      </c>
      <c r="L14" s="6" t="inlineStr">
        <is>
          <t>iFinD ifind_get_stock_info (as of 2026-10-27)；三花智控2026年半年度报告</t>
        </is>
      </c>
      <c r="M14" s="7" t="inlineStr">
        <is>
          <t>https://money.finance.sina.com.cn/corp/view/vCB_AllBulletinDetail.php?stockid=002050&amp;id=12550185</t>
        </is>
      </c>
    </row>
    <row r="15" ht="24" customHeight="1">
      <c r="B15" s="4" t="inlineStr">
        <is>
          <t>002126</t>
        </is>
      </c>
      <c r="C15" s="4" t="inlineStr">
        <is>
          <t>银轮股份</t>
        </is>
      </c>
      <c r="D15" s="4" t="inlineStr">
        <is>
          <t>机器人：其他</t>
        </is>
      </c>
      <c r="E15" s="4" t="inlineStr">
        <is>
          <t>纠错</t>
        </is>
      </c>
      <c r="F15" s="4" t="inlineStr">
        <is>
          <t>机器人</t>
        </is>
      </c>
      <c r="G15" s="4" t="inlineStr">
        <is>
          <t>总成</t>
        </is>
      </c>
      <c r="H15" s="4" t="inlineStr">
        <is>
          <t>相关</t>
        </is>
      </c>
      <c r="I15" s="4" t="inlineStr">
        <is>
          <t>主营汽车、工程机械及数字能源热管理，机器人业务已延伸至旋转关节、线性关节、灵巧手和热管理模组，多个品类获得客户定点；2026年上半年关节电机、关节模组和大小脑热管理产品实现小批量生产，已有明确产品与客户，故将笼统的其他纠错为总成。</t>
        </is>
      </c>
      <c r="J15" s="4" t="inlineStr">
        <is>
          <t>银轮股份2026年半年报点评：具身智能多品类实现小批量生产</t>
        </is>
      </c>
      <c r="K15" s="4" t="inlineStr">
        <is>
          <t>2026-08-28</t>
        </is>
      </c>
      <c r="L15" s="4" t="inlineStr">
        <is>
          <t>iFinD ifind_get_stock_info (as of 2026-10-27)；银轮股份2026年半年报点评：具身智能多品类实现小批量生产</t>
        </is>
      </c>
      <c r="M15" s="5" t="inlineStr">
        <is>
          <t>https://news.futunn.com/post/78459582/yinlun-co-ltd-002126-2026-semi-annual-report-commentary-strengthening</t>
        </is>
      </c>
    </row>
    <row r="16" ht="24" customHeight="1">
      <c r="B16" s="6" t="inlineStr">
        <is>
          <t>002139</t>
        </is>
      </c>
      <c r="C16" s="6" t="inlineStr">
        <is>
          <t>拓邦股份</t>
        </is>
      </c>
      <c r="D16" s="6" t="inlineStr">
        <is>
          <t>机器人：电机</t>
        </is>
      </c>
      <c r="E16" s="6" t="inlineStr">
        <is>
          <t>迁移</t>
        </is>
      </c>
      <c r="F16" s="6" t="inlineStr">
        <is>
          <t>机器人</t>
        </is>
      </c>
      <c r="G16" s="6" t="inlineStr">
        <is>
          <t>电机</t>
        </is>
      </c>
      <c r="H16" s="6" t="inlineStr">
        <is>
          <t>相关</t>
        </is>
      </c>
      <c r="I16" s="6" t="inlineStr">
        <is>
          <t>智能控制器是核心主业，机器人方向已形成伺服驱动、电机和运动控制平台；空心杯电机及灵驱微擎用于灵巧手执行，并与国内头部客户形成量产订单意向。电机属于机器人硬件，驱动与运动控制直接承担动作决策执行，故保留电机并迁移新增物理AI智能控制。</t>
        </is>
      </c>
      <c r="J16" s="6" t="inlineStr">
        <is>
          <t>深圳拓邦股份有限公司投资者关系活动记录：空心杯电机及灵驱微擎量产订单意向</t>
        </is>
      </c>
      <c r="K16" s="6" t="inlineStr">
        <is>
          <t>2026-04-13</t>
        </is>
      </c>
      <c r="L16" s="6" t="inlineStr">
        <is>
          <t>iFinD ifind_get_stock_info (as of 2026-10-27)；深圳拓邦股份有限公司投资者关系活动记录：空心杯电机及灵驱微擎量产订单意向</t>
        </is>
      </c>
      <c r="M16" s="7" t="inlineStr">
        <is>
          <t>http://file.finance.sina.com.cn/cn/diaoyan/jgdy/2026/2026-04/2026-04-13/10177134_1.PDF</t>
        </is>
      </c>
    </row>
    <row r="17" ht="24" customHeight="1">
      <c r="B17" s="4" t="inlineStr">
        <is>
          <t>002164</t>
        </is>
      </c>
      <c r="C17" s="4" t="inlineStr">
        <is>
          <t>宁波东力</t>
        </is>
      </c>
      <c r="D17" s="4" t="inlineStr">
        <is>
          <t>机器人：减速器</t>
        </is>
      </c>
      <c r="E17" s="4" t="inlineStr">
        <is>
          <t>纠错</t>
        </is>
      </c>
      <c r="F17" s="4" t="inlineStr">
        <is>
          <t>机器人</t>
        </is>
      </c>
      <c r="G17" s="4" t="inlineStr">
        <is>
          <t>减速器</t>
        </is>
      </c>
      <c r="H17" s="4" t="inlineStr">
        <is>
          <t>相关</t>
        </is>
      </c>
      <c r="I17" s="4" t="inlineStr">
        <is>
          <t>主营工业通用及重载齿轮箱、电机和门控系统，机器人产品为谐波减速器、精密行星减速器及关节模组，直接用于关节传动；2026年上半年已完成批量试样和供货并初步形成收入，但传统传动设备仍是主体，新产能仍在建设，故保留减速器并定相关。</t>
        </is>
      </c>
      <c r="J17" s="4" t="inlineStr">
        <is>
          <t>宁波东力拟定增10亿元加码精密减速器</t>
        </is>
      </c>
      <c r="K17" s="4" t="inlineStr">
        <is>
          <t>2026-08-28</t>
        </is>
      </c>
      <c r="L17" s="4" t="inlineStr">
        <is>
          <t>iFinD ifind_get_stock_info (as of 2026-10-27)；宁波东力拟定增10亿元加码精密减速器</t>
        </is>
      </c>
      <c r="M17" s="5" t="inlineStr">
        <is>
          <t>https://www.sohu.com/a/1068901550_115124</t>
        </is>
      </c>
    </row>
    <row r="18" ht="24" customHeight="1">
      <c r="B18" s="6" t="inlineStr">
        <is>
          <t>002347</t>
        </is>
      </c>
      <c r="C18" s="6" t="inlineStr">
        <is>
          <t>泰尔股份</t>
        </is>
      </c>
      <c r="D18" s="6" t="inlineStr">
        <is>
          <t>机器人：本体及应用</t>
        </is>
      </c>
      <c r="E18" s="6" t="inlineStr">
        <is>
          <t>纠错</t>
        </is>
      </c>
      <c r="F18" s="6" t="inlineStr">
        <is>
          <t>机器人</t>
        </is>
      </c>
      <c r="G18" s="6" t="inlineStr">
        <is>
          <t>本体及应用</t>
        </is>
      </c>
      <c r="H18" s="6" t="inlineStr">
        <is>
          <t>相关</t>
        </is>
      </c>
      <c r="I18" s="6" t="inlineStr">
        <is>
          <t>主营冶金装备、核心备件和智慧运维，机器人产品包括包装、焊挂牌、取样贴标及拆带机器人，直接服务于冶金生产现场自动化；2026年上半年相关业务收入2172.52万元、占营收3.82%，已有实际销售但占比较低，因此保留本体及应用并定相关。</t>
        </is>
      </c>
      <c r="J18" s="6" t="inlineStr">
        <is>
          <t>泰尔股份股票交易异常波动公告</t>
        </is>
      </c>
      <c r="K18" s="6" t="inlineStr">
        <is>
          <t>2026-10-22</t>
        </is>
      </c>
      <c r="L18" s="6" t="inlineStr">
        <is>
          <t>iFinD ifind_get_stock_info (as of 2026-10-27)；泰尔股份股票交易异常波动公告</t>
        </is>
      </c>
      <c r="M18" s="7" t="inlineStr">
        <is>
          <t>https://stock.stockstar.com/notice/SN2026102200000539.shtml</t>
        </is>
      </c>
    </row>
    <row r="19" ht="24" customHeight="1">
      <c r="B19" s="4" t="inlineStr">
        <is>
          <t>002403</t>
        </is>
      </c>
      <c r="C19" s="4" t="inlineStr">
        <is>
          <t>爱仕达</t>
        </is>
      </c>
      <c r="D19" s="4" t="inlineStr">
        <is>
          <t>机器人：本体及应用</t>
        </is>
      </c>
      <c r="E19" s="4" t="inlineStr">
        <is>
          <t>保留</t>
        </is>
      </c>
      <c r="F19" s="4" t="inlineStr">
        <is>
          <t>机器人</t>
        </is>
      </c>
      <c r="G19" s="4" t="inlineStr">
        <is>
          <t>本体及应用</t>
        </is>
      </c>
      <c r="H19" s="4" t="inlineStr">
        <is>
          <t>相关</t>
        </is>
      </c>
      <c r="I19" s="4" t="inlineStr">
        <is>
          <t>主营炊具和小家电，控股子公司钱江机器人生产焊接、切割、搬运码垛等工业机器人本体及解决方案；鸿路钢构框架协议期内实际采购920台，证明已有持续交付。机器人仍为一个业务板块，具身智能合作收入尚小，因此保留机器人本体及应用并定相关。</t>
        </is>
      </c>
      <c r="J19" s="4" t="inlineStr">
        <is>
          <t>爱仕达：关于控股子公司签署设备采购框架合作协议的进展公告</t>
        </is>
      </c>
      <c r="K19" s="4" t="inlineStr">
        <is>
          <t>2026-09-03</t>
        </is>
      </c>
      <c r="L19" s="4" t="inlineStr">
        <is>
          <t>iFinD ifind_get_stock_info (as of 2026-10-27)；爱仕达：关于控股子公司签署设备采购框架合作协议的进展公告</t>
        </is>
      </c>
      <c r="M19" s="5" t="inlineStr">
        <is>
          <t>https://money.finance.sina.com.cn/corp/view/vCB_AllBulletinDetail.php?stockid=002403&amp;id=12580391</t>
        </is>
      </c>
    </row>
    <row r="20" ht="24" customHeight="1">
      <c r="B20" s="6" t="inlineStr">
        <is>
          <t>002472</t>
        </is>
      </c>
      <c r="C20" s="6" t="inlineStr">
        <is>
          <t>双环传动</t>
        </is>
      </c>
      <c r="D20" s="6" t="inlineStr">
        <is>
          <t>机器人：减速器</t>
        </is>
      </c>
      <c r="E20" s="6" t="inlineStr">
        <is>
          <t>纠错</t>
        </is>
      </c>
      <c r="F20" s="6" t="inlineStr">
        <is>
          <t>机器人</t>
        </is>
      </c>
      <c r="G20" s="6" t="inlineStr">
        <is>
          <t>减速器</t>
        </is>
      </c>
      <c r="H20" s="6" t="inlineStr">
        <is>
          <t>相关</t>
        </is>
      </c>
      <c r="I20" s="6" t="inlineStr">
        <is>
          <t>上市公司主营机械传动齿轮，控股子公司环动科技专门研发、生产和销售工业及协作机器人关节高精密RV减速器；环动科技2025年营收4.38亿元、产能利用率较高，业务真实且已规模化，但相对上市公司汽车齿轮基本盘仍属一个业务板块，故保留并定相关。</t>
        </is>
      </c>
      <c r="J20" s="6" t="inlineStr">
        <is>
          <t>环动科技科创板IPO终止，2025年营收4.38亿元</t>
        </is>
      </c>
      <c r="K20" s="6" t="inlineStr">
        <is>
          <t>2026-09-23</t>
        </is>
      </c>
      <c r="L20" s="6" t="inlineStr">
        <is>
          <t>iFinD ifind_get_stock_info (as of 2026-10-27)；环动科技科创板IPO终止，2025年营收4.38亿元</t>
        </is>
      </c>
      <c r="M20" s="7" t="inlineStr">
        <is>
          <t>https://www.sohu.com/a/1079794494_122029351</t>
        </is>
      </c>
    </row>
    <row r="21" ht="24" customHeight="1">
      <c r="B21" s="4" t="inlineStr">
        <is>
          <t>002520</t>
        </is>
      </c>
      <c r="C21" s="4" t="inlineStr">
        <is>
          <t>日发精机</t>
        </is>
      </c>
      <c r="D21" s="4" t="inlineStr">
        <is>
          <t>机器人：丝杠设备</t>
        </is>
      </c>
      <c r="E21" s="4" t="inlineStr">
        <is>
          <t>纠错</t>
        </is>
      </c>
      <c r="F21" s="4" t="inlineStr">
        <is>
          <t>机器人</t>
        </is>
      </c>
      <c r="G21" s="4" t="inlineStr">
        <is>
          <t>丝杠设备</t>
        </is>
      </c>
      <c r="H21" s="4" t="inlineStr">
        <is>
          <t>相关</t>
        </is>
      </c>
      <c r="I21" s="4" t="inlineStr">
        <is>
          <t>主营数字化智能机床、柔性产线及航空航天智能装备，SK76系列数控内螺纹磨床等用于行星滚柱丝杠副精密加工，直接对应机器人传动零件制造装备；首台丝杠加工设备已于2025年8月交付，具有实际交付证据，但机器人相关装备仍属机床业务一角，故定相关。</t>
        </is>
      </c>
      <c r="J21" s="4" t="inlineStr">
        <is>
          <t>日发精机2025年年度报告</t>
        </is>
      </c>
      <c r="K21" s="4" t="inlineStr">
        <is>
          <t>2026-04-29</t>
        </is>
      </c>
      <c r="L21" s="4" t="inlineStr">
        <is>
          <t>iFinD ifind_get_stock_info (as of 2026-10-27)；日发精机2025年年度报告</t>
        </is>
      </c>
      <c r="M21" s="5" t="inlineStr">
        <is>
          <t>https://money.finance.sina.com.cn/corp/view/vCB_AllBulletinDetail.php?stockid=002520&amp;id=12265476</t>
        </is>
      </c>
    </row>
    <row r="22" ht="24" customHeight="1">
      <c r="B22" s="6" t="inlineStr">
        <is>
          <t>002527</t>
        </is>
      </c>
      <c r="C22" s="6" t="inlineStr">
        <is>
          <t>新时达</t>
        </is>
      </c>
      <c r="D22" s="6" t="inlineStr">
        <is>
          <t>机器人：本体及应用</t>
        </is>
      </c>
      <c r="E22" s="6" t="inlineStr">
        <is>
          <t>迁移</t>
        </is>
      </c>
      <c r="F22" s="6" t="inlineStr">
        <is>
          <t>机器人</t>
        </is>
      </c>
      <c r="G22" s="6" t="inlineStr">
        <is>
          <t>本体及应用</t>
        </is>
      </c>
      <c r="H22" s="6" t="inlineStr">
        <is>
          <t>相关</t>
        </is>
      </c>
      <c r="I22" s="6" t="inlineStr">
        <is>
          <t>2025年机器人产品及系统收入8.495亿元、占24.03%，2026年上半年占24.31%，传统机器人业务仍有实质收入。SYNDA R1已具备自主导航、多模态感知，并能协同环境感知、任务决策与高精度运控，符合具身智能特征；但具身产品尚非收入主体，故保留传统机器人标签并新增物理AI具身本体，判相关。</t>
        </is>
      </c>
      <c r="J22" s="6" t="inlineStr">
        <is>
          <t>新时达：2026年半年度报告</t>
        </is>
      </c>
      <c r="K22" s="6" t="inlineStr">
        <is>
          <t>2026-08-28</t>
        </is>
      </c>
      <c r="L22" s="6" t="inlineStr">
        <is>
          <t>iFinD ifind_get_stock_info (as of 2026-10-27)；新时达：2026年半年度报告</t>
        </is>
      </c>
      <c r="M22" s="7" t="inlineStr">
        <is>
          <t>https://money.finance.sina.com.cn/corp/view/vCB_AllBulletinDetail.php?stockid=002527&amp;id=12558223</t>
        </is>
      </c>
    </row>
    <row r="23" ht="24" customHeight="1">
      <c r="B23" s="4" t="inlineStr">
        <is>
          <t>002553</t>
        </is>
      </c>
      <c r="C23" s="4" t="inlineStr">
        <is>
          <t>南方精工</t>
        </is>
      </c>
      <c r="D23" s="4" t="inlineStr">
        <is>
          <t>机器人：轴承</t>
        </is>
      </c>
      <c r="E23" s="4" t="inlineStr">
        <is>
          <t>保留</t>
        </is>
      </c>
      <c r="F23" s="4" t="inlineStr">
        <is>
          <t>机器人</t>
        </is>
      </c>
      <c r="G23" s="4" t="inlineStr">
        <is>
          <t>轴承</t>
        </is>
      </c>
      <c r="H23" s="4" t="inlineStr">
        <is>
          <t>相关</t>
        </is>
      </c>
      <c r="I23" s="4" t="inlineStr">
        <is>
          <t>公司精密轴承已实际用于工业机器人，2025年该领域收入2319.23万元、占营业收入2.71%，同比增长77%，产品、应用环节及销售均可核验。机器人轴承已经商业化而非停留在研发阶段，但收入占比较低、尚未构成主业，因此保留机器人轴承并判相关。</t>
        </is>
      </c>
      <c r="J23" s="4" t="inlineStr">
        <is>
          <t>南方精工：2025年年度报告</t>
        </is>
      </c>
      <c r="K23" s="4" t="inlineStr">
        <is>
          <t>2026-04-15</t>
        </is>
      </c>
      <c r="L23" s="4" t="inlineStr">
        <is>
          <t>iFinD ifind_get_stock_info (as of 2026-10-27)；南方精工：2025年年度报告</t>
        </is>
      </c>
      <c r="M23" s="5" t="inlineStr">
        <is>
          <t>https://money.finance.sina.com.cn/corp/view/vCB_AllBulletinDetail.php?stockid=002553&amp;id=12089145</t>
        </is>
      </c>
    </row>
    <row r="24" ht="24" customHeight="1">
      <c r="B24" s="6" t="inlineStr">
        <is>
          <t>002698</t>
        </is>
      </c>
      <c r="C24" s="6" t="inlineStr">
        <is>
          <t>博实股份</t>
        </is>
      </c>
      <c r="D24" s="6" t="inlineStr">
        <is>
          <t>机器人：本体及应用</t>
        </is>
      </c>
      <c r="E24" s="6" t="inlineStr">
        <is>
          <t>保留</t>
        </is>
      </c>
      <c r="F24" s="6" t="inlineStr">
        <is>
          <t>机器人</t>
        </is>
      </c>
      <c r="G24" s="6" t="inlineStr">
        <is>
          <t>本体及应用</t>
        </is>
      </c>
      <c r="H24" s="6" t="inlineStr">
        <is>
          <t>核心</t>
        </is>
      </c>
      <c r="I24" s="6" t="inlineStr">
        <is>
          <t>固体物料及橡胶后处理智能装备是公司主业，高温出炉、捣炉、巡检机器人已在电石等工业工况实际交付。2025年机器人及相关装备收入3314.54万元，虽有所下滑，仍属于具有明确产品、工业应用场景和工程交付的装备业务，因此保留传统机器人本体及应用并判核心。</t>
        </is>
      </c>
      <c r="J24" s="6" t="inlineStr">
        <is>
          <t>博实股份：2025年年度报告</t>
        </is>
      </c>
      <c r="K24" s="6" t="inlineStr">
        <is>
          <t>2026-04-28</t>
        </is>
      </c>
      <c r="L24" s="6" t="inlineStr">
        <is>
          <t>iFinD ifind_get_stock_info (as of 2026-10-27)；博实股份：2025年年度报告</t>
        </is>
      </c>
      <c r="M24" s="7" t="inlineStr">
        <is>
          <t>http://money.finance.sina.com.cn/corp/view/vCB_AllBulletinDetail.php?stockid=002698&amp;id=12208634</t>
        </is>
      </c>
    </row>
    <row r="25" ht="24" customHeight="1">
      <c r="B25" s="4" t="inlineStr">
        <is>
          <t>002747</t>
        </is>
      </c>
      <c r="C25" s="4" t="inlineStr">
        <is>
          <t>埃斯顿</t>
        </is>
      </c>
      <c r="D25" s="4" t="inlineStr">
        <is>
          <t>机器人：本体及应用</t>
        </is>
      </c>
      <c r="E25" s="4" t="inlineStr">
        <is>
          <t>纠错</t>
        </is>
      </c>
      <c r="F25" s="4" t="inlineStr">
        <is>
          <t>机器人</t>
        </is>
      </c>
      <c r="G25" s="4" t="inlineStr">
        <is>
          <t>本体及应用</t>
        </is>
      </c>
      <c r="H25" s="4" t="inlineStr">
        <is>
          <t>核心</t>
        </is>
      </c>
      <c r="I25" s="4" t="inlineStr">
        <is>
          <t>2025年工业机器人及智能制造收入39.968亿元、占81.77%，已形成96款覆盖3—1200kg负载的产品并批量应用，机器人产品、收入和规模化交付均明确。具身智能主要体现为未来部署规划，尚不足以支持迁入物理AI；公司本体及智能制造主业突出，故保留并定为核心。</t>
        </is>
      </c>
      <c r="J25" s="4" t="inlineStr">
        <is>
          <t>埃斯顿：2025年年度报告</t>
        </is>
      </c>
      <c r="K25" s="4" t="inlineStr">
        <is>
          <t>2026-03-31</t>
        </is>
      </c>
      <c r="L25" s="4" t="inlineStr">
        <is>
          <t>iFinD ifind_get_stock_info (as of 2026-10-27)；埃斯顿：2025年年度报告</t>
        </is>
      </c>
      <c r="M25" s="5" t="inlineStr">
        <is>
          <t>http://money.finance.sina.com.cn/corp/view/vCB_AllBulletinDetail.php?stockid=002747&amp;id=12045910</t>
        </is>
      </c>
    </row>
    <row r="26" ht="24" customHeight="1">
      <c r="B26" s="6" t="inlineStr">
        <is>
          <t>002765</t>
        </is>
      </c>
      <c r="C26" s="6" t="inlineStr">
        <is>
          <t>蓝黛科技</t>
        </is>
      </c>
      <c r="D26" s="6" t="inlineStr">
        <is>
          <t>机器人：减速器</t>
        </is>
      </c>
      <c r="E26" s="6" t="inlineStr">
        <is>
          <t>纠错</t>
        </is>
      </c>
      <c r="F26" s="6" t="inlineStr">
        <is>
          <t>机器人</t>
        </is>
      </c>
      <c r="G26" s="6" t="inlineStr">
        <is>
          <t>关节模组</t>
        </is>
      </c>
      <c r="H26" s="6" t="inlineStr">
        <is>
          <t>相关</t>
        </is>
      </c>
      <c r="I26" s="6" t="inlineStr">
        <is>
          <t>旧减速器标签容易与公司新能源汽车减速器业务混淆。2025年机器人一体化关节模组已经量产出货，相关收入约4000万元、占1.04%，实际交付产品更准确地对应关节模组而非独立减速器；业务已商业化但收入占比仍低，因此纠错为关节模组并判相关。</t>
        </is>
      </c>
      <c r="J26" s="6" t="inlineStr">
        <is>
          <t>蓝黛科技集团股份有限公司2025年年度报告</t>
        </is>
      </c>
      <c r="K26" s="6" t="inlineStr">
        <is>
          <t>2026-03-30</t>
        </is>
      </c>
      <c r="L26" s="6" t="inlineStr">
        <is>
          <t>iFinD ifind_get_stock_info (as of 2026-10-27)；蓝黛科技集团股份有限公司2025年年度报告</t>
        </is>
      </c>
      <c r="M26" s="7" t="inlineStr">
        <is>
          <t>https://static.cninfo.com.cn/finalpage/2026-03-30/1225045182.PDF</t>
        </is>
      </c>
    </row>
    <row r="27" ht="24" customHeight="1">
      <c r="B27" s="4" t="inlineStr">
        <is>
          <t>002892</t>
        </is>
      </c>
      <c r="C27" s="4" t="inlineStr">
        <is>
          <t>科力尔</t>
        </is>
      </c>
      <c r="D27" s="4" t="inlineStr">
        <is>
          <t>机器人：电机</t>
        </is>
      </c>
      <c r="E27" s="4" t="inlineStr">
        <is>
          <t>保留</t>
        </is>
      </c>
      <c r="F27" s="4" t="inlineStr">
        <is>
          <t>机器人</t>
        </is>
      </c>
      <c r="G27" s="4" t="inlineStr">
        <is>
          <t>电机</t>
        </is>
      </c>
      <c r="H27" s="4" t="inlineStr">
        <is>
          <t>相关</t>
        </is>
      </c>
      <c r="I27" s="4" t="inlineStr">
        <is>
          <t>步进电机、伺服电机、编码器和驱动器可用于机器人及自动化设备的运动控制环节，2025年运动控制产品收入2.679亿元、占14.65%，已有实际商业销售。智能家居类收入仍占73.43%，机器人相关电机及控制产品尚非公司主体业务，因此保留机器人电机并判相关。</t>
        </is>
      </c>
      <c r="J27" s="4" t="inlineStr">
        <is>
          <t>科力尔：2025年年度报告</t>
        </is>
      </c>
      <c r="K27" s="4" t="inlineStr">
        <is>
          <t>2026-04-27</t>
        </is>
      </c>
      <c r="L27" s="4" t="inlineStr">
        <is>
          <t>iFinD ifind_get_stock_info (as of 2026-10-27)；科力尔：2025年年度报告</t>
        </is>
      </c>
      <c r="M27" s="5" t="inlineStr">
        <is>
          <t>https://money.finance.sina.com.cn/corp/view/vCB_AllBulletinDetail.php?stockid=002892&amp;id=12205083</t>
        </is>
      </c>
    </row>
    <row r="28" ht="24" customHeight="1">
      <c r="B28" s="6" t="inlineStr">
        <is>
          <t>002896</t>
        </is>
      </c>
      <c r="C28" s="6" t="inlineStr">
        <is>
          <t>中大力德</t>
        </is>
      </c>
      <c r="D28" s="6" t="inlineStr">
        <is>
          <t>机器人：减速器</t>
        </is>
      </c>
      <c r="E28" s="6" t="inlineStr">
        <is>
          <t>保留</t>
        </is>
      </c>
      <c r="F28" s="6" t="inlineStr">
        <is>
          <t>机器人</t>
        </is>
      </c>
      <c r="G28" s="6" t="inlineStr">
        <is>
          <t>减速器</t>
        </is>
      </c>
      <c r="H28" s="6" t="inlineStr">
        <is>
          <t>核心</t>
        </is>
      </c>
      <c r="I28" s="6" t="inlineStr">
        <is>
          <t>2025年精密减速器收入2.524亿元、占24.24%，智能执行单元收入3.917亿元、占37.63%。行星、RV、谐波减速器均已批量生产，并形成减速器、电机、驱动一体化产品，主营产品、批量生产和收入均直接对应机器人核心传动与执行环节，故维持核心。</t>
        </is>
      </c>
      <c r="J28" s="6" t="inlineStr">
        <is>
          <t>中大力德：2025年年度报告</t>
        </is>
      </c>
      <c r="K28" s="6" t="inlineStr">
        <is>
          <t>2026-04-16</t>
        </is>
      </c>
      <c r="L28" s="6" t="inlineStr">
        <is>
          <t>iFinD ifind_get_stock_info (as of 2026-10-27)；中大力德：2025年年度报告</t>
        </is>
      </c>
      <c r="M28" s="7" t="inlineStr">
        <is>
          <t>https://money.finance.sina.com.cn/corp/view/vCB_AllBulletinDetail.php?stockid=002896&amp;id=12096358</t>
        </is>
      </c>
    </row>
    <row r="29" ht="24" customHeight="1">
      <c r="B29" s="4" t="inlineStr">
        <is>
          <t>002979</t>
        </is>
      </c>
      <c r="C29" s="4" t="inlineStr">
        <is>
          <t>雷赛智能</t>
        </is>
      </c>
      <c r="D29" s="4" t="inlineStr">
        <is>
          <t>机器人：电机</t>
        </is>
      </c>
      <c r="E29" s="4" t="inlineStr">
        <is>
          <t>保留</t>
        </is>
      </c>
      <c r="F29" s="4" t="inlineStr">
        <is>
          <t>机器人</t>
        </is>
      </c>
      <c r="G29" s="4" t="inlineStr">
        <is>
          <t>电机</t>
        </is>
      </c>
      <c r="H29" s="4" t="inlineStr">
        <is>
          <t>核心</t>
        </is>
      </c>
      <c r="I29" s="4" t="inlineStr">
        <is>
          <t>2025年无框力矩电机交付超过12万台，关节模组和高自由度灵巧手已获数十家客户订单并批量供货，运动控制四大产品构成明确主业。产品虽用于人形机器人，但本质仍是驱动、电机和执行部件供应，不因此迁入物理AI；规模化交付充分，故保留核心。</t>
        </is>
      </c>
      <c r="J29" s="4" t="inlineStr">
        <is>
          <t>雷赛智能：2025年年度报告</t>
        </is>
      </c>
      <c r="K29" s="4" t="inlineStr">
        <is>
          <t>2026-04-23</t>
        </is>
      </c>
      <c r="L29" s="4" t="inlineStr">
        <is>
          <t>iFinD ifind_get_stock_info (as of 2026-10-27)；雷赛智能：2025年年度报告</t>
        </is>
      </c>
      <c r="M29" s="5" t="inlineStr">
        <is>
          <t>http://money.finance.sina.com.cn/corp/view/vCB_AllBulletinDetail.php?stockid=002979&amp;id=12150989</t>
        </is>
      </c>
    </row>
    <row r="30" ht="24" customHeight="1">
      <c r="B30" s="6" t="inlineStr">
        <is>
          <t>003021</t>
        </is>
      </c>
      <c r="C30" s="6" t="inlineStr">
        <is>
          <t>兆威机电</t>
        </is>
      </c>
      <c r="D30" s="6" t="inlineStr">
        <is>
          <t>机器人：灵巧手</t>
        </is>
      </c>
      <c r="E30" s="6" t="inlineStr">
        <is>
          <t>纠错</t>
        </is>
      </c>
      <c r="F30" s="6" t="inlineStr">
        <is>
          <t>机器人</t>
        </is>
      </c>
      <c r="G30" s="6" t="inlineStr">
        <is>
          <t>灵巧手</t>
        </is>
      </c>
      <c r="H30" s="6" t="inlineStr">
        <is>
          <t>相关</t>
        </is>
      </c>
      <c r="I30" s="6" t="inlineStr">
        <is>
          <t>灵巧手及驱动模组已有真实产品，DM17等型号已量产上架，2025年机器人相关收入约2387万元，但占总收入比例很小；2026年上半年仍未形成规模收入。产品已越过纯研发阶段并实现交付，故保留机器人灵巧手，但业务体量和收入贡献不足以支持核心，判为相关。</t>
        </is>
      </c>
      <c r="J30" s="6" t="inlineStr">
        <is>
          <t>人形机器人概念火爆！兆威机电“5天3板”后提示风险</t>
        </is>
      </c>
      <c r="K30" s="6" t="inlineStr">
        <is>
          <t>2026-10-23</t>
        </is>
      </c>
      <c r="L30" s="6" t="inlineStr">
        <is>
          <t>iFinD ifind_get_stock_info (as of 2026-10-27)；人形机器人概念火爆！兆威机电“5天3板”后提示风险</t>
        </is>
      </c>
      <c r="M30" s="7" t="inlineStr">
        <is>
          <t>https://m.10jqka.com.cn/20261023/c681040644.shtml</t>
        </is>
      </c>
    </row>
    <row r="31" ht="24" customHeight="1">
      <c r="B31" s="4" t="inlineStr">
        <is>
          <t>003033</t>
        </is>
      </c>
      <c r="C31" s="4" t="inlineStr">
        <is>
          <t>征和工业</t>
        </is>
      </c>
      <c r="D31" s="4" t="inlineStr">
        <is>
          <t>机器人：腱绳材料</t>
        </is>
      </c>
      <c r="E31" s="4" t="inlineStr">
        <is>
          <t>纠错</t>
        </is>
      </c>
      <c r="F31" s="4" t="inlineStr">
        <is>
          <t>机器人</t>
        </is>
      </c>
      <c r="G31" s="4" t="inlineStr">
        <is>
          <t>微型链/灵巧手</t>
        </is>
      </c>
      <c r="H31" s="4" t="inlineStr">
        <is>
          <t>相关</t>
        </is>
      </c>
      <c r="I31" s="4" t="inlineStr">
        <is>
          <t>公司实际技术路线是微型链传动，并非旧标签所称腱绳材料。2025年已完成五指灵巧手样机并于12月实现首销，微型链、差分模组及灵巧手取得多笔订单和收入，已有初步商业化；但尚未建设专业量产线，规模交付能力仍待验证，故纠错后判相关。</t>
        </is>
      </c>
      <c r="J31" s="4" t="inlineStr">
        <is>
          <t>关于青岛征和工业股份有限公司申请向特定对象发行股票的审核问询函回复</t>
        </is>
      </c>
      <c r="K31" s="4" t="inlineStr">
        <is>
          <t>2026-05-22</t>
        </is>
      </c>
      <c r="L31" s="4" t="inlineStr">
        <is>
          <t>iFinD ifind_get_stock_info (as of 2026-10-27)；关于青岛征和工业股份有限公司申请向特定对象发行股票的审核问询函回复</t>
        </is>
      </c>
      <c r="M31" s="5" t="inlineStr">
        <is>
          <t>https://static.cninfo.com.cn/finalpage/2026-05-22/1225323355.PDF</t>
        </is>
      </c>
    </row>
    <row r="32" ht="24" customHeight="1">
      <c r="B32" s="6" t="inlineStr">
        <is>
          <t>300024</t>
        </is>
      </c>
      <c r="C32" s="6" t="inlineStr">
        <is>
          <t>机器人</t>
        </is>
      </c>
      <c r="D32" s="6" t="inlineStr">
        <is>
          <t>机器人：本体及应用</t>
        </is>
      </c>
      <c r="E32" s="6" t="inlineStr">
        <is>
          <t>迁移</t>
        </is>
      </c>
      <c r="F32" s="6" t="inlineStr">
        <is>
          <t>机器人</t>
        </is>
      </c>
      <c r="G32" s="6" t="inlineStr">
        <is>
          <t>本体及应用</t>
        </is>
      </c>
      <c r="H32" s="6" t="inlineStr">
        <is>
          <t>相关</t>
        </is>
      </c>
      <c r="I32" s="6" t="inlineStr">
        <is>
          <t>传统工业机器人和自动化业务仍占主要位置，但公司已披露“松羿”轮式、“松行”双足及智能类人双臂平台；双臂平台具备自主环境感知与任务推理，轮式产品配置多模态传感，直接对应具身智能。2025年仍属前沿技术与成果储备，尚未形成主业收入，故保留传统机器人并新增物理AI具身本体，判相关。</t>
        </is>
      </c>
      <c r="J32" s="6" t="inlineStr">
        <is>
          <t>机器人：2025年年度报告</t>
        </is>
      </c>
      <c r="K32" s="6" t="inlineStr">
        <is>
          <t>2026-04-24</t>
        </is>
      </c>
      <c r="L32" s="6" t="inlineStr">
        <is>
          <t>iFinD ifind_get_stock_info (as of 2026-10-27)；机器人：2025年年度报告</t>
        </is>
      </c>
      <c r="M32" s="7" t="inlineStr">
        <is>
          <t>http://money.finance.sina.com.cn/corp/view/vCB_AllBulletinDetail.php?stockid=300024&amp;id=12171947</t>
        </is>
      </c>
    </row>
    <row r="33" ht="24" customHeight="1">
      <c r="B33" s="4" t="inlineStr">
        <is>
          <t>300100</t>
        </is>
      </c>
      <c r="C33" s="4" t="inlineStr">
        <is>
          <t>双林股份</t>
        </is>
      </c>
      <c r="D33" s="4" t="inlineStr">
        <is>
          <t>机器人：丝杠</t>
        </is>
      </c>
      <c r="E33" s="4" t="inlineStr">
        <is>
          <t>保留</t>
        </is>
      </c>
      <c r="F33" s="4" t="inlineStr">
        <is>
          <t>机器人</t>
        </is>
      </c>
      <c r="G33" s="4" t="inlineStr">
        <is>
          <t>丝杠</t>
        </is>
      </c>
      <c r="H33" s="4" t="inlineStr">
        <is>
          <t>相关</t>
        </is>
      </c>
      <c r="I33" s="4" t="inlineStr">
        <is>
          <t>2025年反向式行星滚柱丝杠试制1500套，处于送样、尚未定点阶段；2026年上半年一期10万套产线已具备量产条件，并获得头部客户定点，但目前对收入影响仍小。产品明确用于机器人直线执行环节，量产能力和客户验证持续推进，但商业贡献有限，故保留相关。</t>
        </is>
      </c>
      <c r="J33" s="4" t="inlineStr">
        <is>
          <t>双林股份有限公司投资者关系活动记录表</t>
        </is>
      </c>
      <c r="K33" s="4" t="inlineStr">
        <is>
          <t>2026-08-25</t>
        </is>
      </c>
      <c r="L33" s="4" t="inlineStr">
        <is>
          <t>iFinD ifind_get_stock_info (as of 2026-10-27)；双林股份有限公司投资者关系活动记录表</t>
        </is>
      </c>
      <c r="M33" s="5" t="inlineStr">
        <is>
          <t>http://file.finance.sina.com.cn/211.154.219.97:9494/MRGG/CNSESZ_STOCK/2026/2026-8/2026-08-25/12534038.PDF</t>
        </is>
      </c>
    </row>
    <row r="34" ht="24" customHeight="1">
      <c r="B34" s="6" t="inlineStr">
        <is>
          <t>300124</t>
        </is>
      </c>
      <c r="C34" s="6" t="inlineStr">
        <is>
          <t>汇川技术</t>
        </is>
      </c>
      <c r="D34" s="6" t="inlineStr">
        <is>
          <t>机器人：电机</t>
        </is>
      </c>
      <c r="E34" s="6" t="inlineStr">
        <is>
          <t>保留</t>
        </is>
      </c>
      <c r="F34" s="6" t="inlineStr">
        <is>
          <t>机器人</t>
        </is>
      </c>
      <c r="G34" s="6" t="inlineStr">
        <is>
          <t>电机</t>
        </is>
      </c>
      <c r="H34" s="6" t="inlineStr">
        <is>
          <t>核心</t>
        </is>
      </c>
      <c r="I34" s="6" t="inlineStr">
        <is>
          <t>2025年伺服系统收入约68.5亿元、通用自动化收入169亿元，工业机器人、机器视觉及人形机器人零部件均已有实际产品，SCARA市占率约28%。传统工控、伺服和机器人产品主业明确，并具备大规模商业化基础；即使覆盖人形机器人部件，也不改变其机器人核心供应商定位。</t>
        </is>
      </c>
      <c r="J34" s="6" t="inlineStr">
        <is>
          <t>汇川技术：2025年年度报告</t>
        </is>
      </c>
      <c r="K34" s="6" t="inlineStr">
        <is>
          <t>2026-04-28</t>
        </is>
      </c>
      <c r="L34" s="6" t="inlineStr">
        <is>
          <t>iFinD ifind_get_stock_info (as of 2026-10-27)；汇川技术：2025年年度报告</t>
        </is>
      </c>
      <c r="M34" s="7" t="inlineStr">
        <is>
          <t>https://money.finance.sina.com.cn/corp/view/vCB_AllBulletinDetail.php?stockid=300124&amp;id=12222830</t>
        </is>
      </c>
    </row>
    <row r="35" ht="24" customHeight="1">
      <c r="B35" s="4" t="inlineStr">
        <is>
          <t>300307</t>
        </is>
      </c>
      <c r="C35" s="4" t="inlineStr">
        <is>
          <t>慈星股份</t>
        </is>
      </c>
      <c r="D35" s="4" t="inlineStr">
        <is>
          <t>机器人：本体及应用</t>
        </is>
      </c>
      <c r="E35" s="4" t="inlineStr">
        <is>
          <t>纠错</t>
        </is>
      </c>
      <c r="F35" s="4" t="inlineStr">
        <is>
          <t>机器人</t>
        </is>
      </c>
      <c r="G35" s="4" t="inlineStr">
        <is>
          <t>自动化集成</t>
        </is>
      </c>
      <c r="H35" s="4" t="inlineStr">
        <is>
          <t>相关</t>
        </is>
      </c>
      <c r="I35" s="4" t="inlineStr">
        <is>
          <t>2025年自动化设备与项目集成收入2659.87万元、占1.37%，说明相关业务已有真实销售，但电脑针织横机收入仍占89.88%。公司披露的业务实质是自动化设备及项目集成，并非机器人本体制造，旧本体口径过宽；业务已商业化但占比较低，故纠错为自动化集成并判相关。</t>
        </is>
      </c>
      <c r="J35" s="4" t="inlineStr">
        <is>
          <t>宁波慈星股份有限公司2025年年度报告</t>
        </is>
      </c>
      <c r="K35" s="4" t="inlineStr">
        <is>
          <t>2026-03-31</t>
        </is>
      </c>
      <c r="L35" s="4" t="inlineStr">
        <is>
          <t>iFinD ifind_get_stock_info (as of 2026-10-27)；宁波慈星股份有限公司2025年年度报告</t>
        </is>
      </c>
      <c r="M35" s="5" t="inlineStr">
        <is>
          <t>http://file.finance.sina.com.cn/211.154.219.97:9494/MRGG/CNSESZ_STOCK/2026/2026-3/2026-03-31/12039267.PDF</t>
        </is>
      </c>
    </row>
    <row r="36" ht="24" customHeight="1">
      <c r="B36" s="6" t="inlineStr">
        <is>
          <t>300421</t>
        </is>
      </c>
      <c r="C36" s="6" t="inlineStr">
        <is>
          <t>力星股份</t>
        </is>
      </c>
      <c r="D36" s="6" t="inlineStr">
        <is>
          <t>机器人：轴承</t>
        </is>
      </c>
      <c r="E36" s="6" t="inlineStr">
        <is>
          <t>纠错</t>
        </is>
      </c>
      <c r="F36" s="6" t="inlineStr">
        <is>
          <t>机器人</t>
        </is>
      </c>
      <c r="G36" s="6" t="inlineStr">
        <is>
          <t>滚动体</t>
        </is>
      </c>
      <c r="H36" s="6" t="inlineStr">
        <is>
          <t>相关</t>
        </is>
      </c>
      <c r="I36" s="6" t="inlineStr">
        <is>
          <t>公司主营高精度钢球、滚子及氮化硅陶瓷球，产品是轴承和滚珠/滚柱丝杠内部的滚动体，而非轴承总成；已有面向机器人应用的开发与实际产品基础，但机器人收入未单独披露，当前仍只是精密滚动体的一项下游业务，因此纠正概念并维持相关。</t>
        </is>
      </c>
      <c r="J36" s="6" t="inlineStr">
        <is>
          <t>力星股份：2025年年度报告</t>
        </is>
      </c>
      <c r="K36" s="6" t="inlineStr">
        <is>
          <t>2026-04-29</t>
        </is>
      </c>
      <c r="L36" s="6" t="inlineStr">
        <is>
          <t>iFinD ifind_get_stock_info (as of 2026-10-27)；力星股份：2025年年度报告</t>
        </is>
      </c>
      <c r="M36" s="7" t="inlineStr">
        <is>
          <t>https://money.finance.sina.com.cn/corp/view/vCB_AllBulletinDetail.php?stockid=300421&amp;id=12241483</t>
        </is>
      </c>
    </row>
    <row r="37" ht="24" customHeight="1">
      <c r="B37" s="4" t="inlineStr">
        <is>
          <t>300432</t>
        </is>
      </c>
      <c r="C37" s="4" t="inlineStr">
        <is>
          <t>富临精工</t>
        </is>
      </c>
      <c r="D37" s="4" t="inlineStr">
        <is>
          <t>机器人：减速器</t>
        </is>
      </c>
      <c r="E37" s="4" t="inlineStr">
        <is>
          <t>纠错</t>
        </is>
      </c>
      <c r="F37" s="4" t="inlineStr">
        <is>
          <t>机器人</t>
        </is>
      </c>
      <c r="G37" s="4" t="inlineStr">
        <is>
          <t>关节模组</t>
        </is>
      </c>
      <c r="H37" s="4" t="inlineStr">
        <is>
          <t>相关</t>
        </is>
      </c>
      <c r="I37" s="4" t="inlineStr">
        <is>
          <t>公司原有主业为汽车零部件及锂电材料，机器人产品为集成减速器、电机、角度传感器和电控的行星/谐波电关节，直接用于机器人关节驱动，不能与车载减速器混同；已完成预研交付、客户定点和小批量交付，但仍属一项新拓业务，故改为关节模组并定相关。</t>
        </is>
      </c>
      <c r="J37" s="4" t="inlineStr">
        <is>
          <t>富临精工：2025年年度报告</t>
        </is>
      </c>
      <c r="K37" s="4" t="inlineStr">
        <is>
          <t>2026-04-29</t>
        </is>
      </c>
      <c r="L37" s="4" t="inlineStr">
        <is>
          <t>iFinD ifind_get_stock_info (as of 2026-10-27)；富临精工：2025年年度报告</t>
        </is>
      </c>
      <c r="M37" s="5" t="inlineStr">
        <is>
          <t>http://money.finance.sina.com.cn/corp/view/vCB_AllBulletinDetail.php?stockid=300432&amp;id=12268128</t>
        </is>
      </c>
    </row>
    <row r="38" ht="24" customHeight="1">
      <c r="B38" s="6" t="inlineStr">
        <is>
          <t>300488</t>
        </is>
      </c>
      <c r="C38" s="6" t="inlineStr">
        <is>
          <t>恒锋工具</t>
        </is>
      </c>
      <c r="D38" s="6" t="inlineStr">
        <is>
          <t>机器人：加工刀具</t>
        </is>
      </c>
      <c r="E38" s="6" t="inlineStr">
        <is>
          <t>保留</t>
        </is>
      </c>
      <c r="F38" s="6" t="inlineStr">
        <is>
          <t>机器人</t>
        </is>
      </c>
      <c r="G38" s="6" t="inlineStr">
        <is>
          <t>加工刀具</t>
        </is>
      </c>
      <c r="H38" s="6" t="inlineStr">
        <is>
          <t>相关</t>
        </is>
      </c>
      <c r="I38" s="6" t="inlineStr">
        <is>
          <t>公司主营精密复杂刃量具，机器人关联产品是丝杠、减速器零部件加工所需刀具及量检具，属于上游制造耗材而非机器人零件本体；2025年已有小部分产品小批量供货，2026年披露相关订单约2000万元，但相对整体营收仍较小，具备真实业务基础而不足以定核心。</t>
        </is>
      </c>
      <c r="J38" s="6" t="inlineStr">
        <is>
          <t>恒锋工具股份有限公司2026年9月22日投资者关系活动记录表</t>
        </is>
      </c>
      <c r="K38" s="6" t="inlineStr">
        <is>
          <t>2026-09-22</t>
        </is>
      </c>
      <c r="L38" s="6" t="inlineStr">
        <is>
          <t>iFinD ifind_get_stock_info (as of 2026-10-27)；恒锋工具股份有限公司2026年9月22日投资者关系活动记录表</t>
        </is>
      </c>
      <c r="M38" s="7" t="inlineStr">
        <is>
          <t>http://file.finance.sina.com.cn/211.154.219.97:9494/MRGG/CNSESZ_STOCK/2026/2026-9/2026-09-23/12617417.PDF</t>
        </is>
      </c>
    </row>
    <row r="39" ht="24" customHeight="1">
      <c r="B39" s="4" t="inlineStr">
        <is>
          <t>300503</t>
        </is>
      </c>
      <c r="C39" s="4" t="inlineStr">
        <is>
          <t>昊志机电</t>
        </is>
      </c>
      <c r="D39" s="4" t="inlineStr">
        <is>
          <t>机器人：电机</t>
        </is>
      </c>
      <c r="E39" s="4" t="inlineStr">
        <is>
          <t>纠错</t>
        </is>
      </c>
      <c r="F39" s="4" t="inlineStr">
        <is>
          <t>机器人</t>
        </is>
      </c>
      <c r="G39" s="4" t="inlineStr">
        <is>
          <t>关节模组</t>
        </is>
      </c>
      <c r="H39" s="4" t="inlineStr">
        <is>
          <t>相关</t>
        </is>
      </c>
      <c r="I39" s="4" t="inlineStr">
        <is>
          <t>公司在主轴业务之外形成谐波减速器、无框电机、编码器、六维力传感器、关节模组和末端执行器产品矩阵，直接覆盖机器人关节驱动与执行环节；已向部分人形机器人客户送样测试并实现初步销售，但收入规模尚小、仍非公司主体收入，故由单一电机纠正为关节模组并定相关。</t>
        </is>
      </c>
      <c r="J39" s="4" t="inlineStr">
        <is>
          <t>昊志机电：已向部分人形机器人厂商送样测试并实现初步销售</t>
        </is>
      </c>
      <c r="K39" s="4" t="inlineStr">
        <is>
          <t>2025-08-14</t>
        </is>
      </c>
      <c r="L39" s="4" t="inlineStr">
        <is>
          <t>iFinD ifind_get_stock_info (as of 2026-10-27)；昊志机电：已向部分人形机器人厂商送样测试并实现初步销售</t>
        </is>
      </c>
      <c r="M39" s="5" t="inlineStr">
        <is>
          <t>https://www.cls.cn/detail/2115690</t>
        </is>
      </c>
    </row>
    <row r="40" ht="24" customHeight="1">
      <c r="B40" s="6" t="inlineStr">
        <is>
          <t>300580</t>
        </is>
      </c>
      <c r="C40" s="6" t="inlineStr">
        <is>
          <t>贝斯特</t>
        </is>
      </c>
      <c r="D40" s="6" t="inlineStr">
        <is>
          <t>机器人：丝杠</t>
        </is>
      </c>
      <c r="E40" s="6" t="inlineStr">
        <is>
          <t>纠错</t>
        </is>
      </c>
      <c r="F40" s="6" t="inlineStr">
        <is>
          <t>机器人</t>
        </is>
      </c>
      <c r="G40" s="6" t="inlineStr">
        <is>
          <t>丝杠</t>
        </is>
      </c>
      <c r="H40" s="6" t="inlineStr">
        <is>
          <t>相关</t>
        </is>
      </c>
      <c r="I40" s="6" t="inlineStr">
        <is>
          <t>全资子公司宇华精机布局滚珠/滚柱丝杠、导轨、微型丝杠和直线执行器，可用于机器人直线运动与执行机构；机床滚珠丝杠和导轨已取得批量订单，但人形机器人行星滚柱丝杠主要仍处样品、客户对接阶段，不能把机床端批量直接视为人形机器人放量，故由核心降为相关。</t>
        </is>
      </c>
      <c r="J40" s="6" t="inlineStr">
        <is>
          <t>贝斯特：2025年半年度报告</t>
        </is>
      </c>
      <c r="K40" s="6" t="inlineStr">
        <is>
          <t>2025-08-15</t>
        </is>
      </c>
      <c r="L40" s="6" t="inlineStr">
        <is>
          <t>iFinD ifind_get_stock_info (as of 2026-10-27)；贝斯特：2025年半年度报告</t>
        </is>
      </c>
      <c r="M40" s="7" t="inlineStr">
        <is>
          <t>https://vip.stock.finance.sina.com.cn/corp/view/vCB_AllBulletinDetail.php?stockid=300580&amp;id=11301531</t>
        </is>
      </c>
    </row>
    <row r="41" ht="24" customHeight="1">
      <c r="B41" s="4" t="inlineStr">
        <is>
          <t>300607</t>
        </is>
      </c>
      <c r="C41" s="4" t="inlineStr">
        <is>
          <t>拓斯达</t>
        </is>
      </c>
      <c r="D41" s="4" t="inlineStr">
        <is>
          <t>机器人：本体及应用</t>
        </is>
      </c>
      <c r="E41" s="4" t="inlineStr">
        <is>
          <t>迁移</t>
        </is>
      </c>
      <c r="F41" s="4" t="inlineStr">
        <is>
          <t>机器人</t>
        </is>
      </c>
      <c r="G41" s="4" t="inlineStr">
        <is>
          <t>本体及应用</t>
        </is>
      </c>
      <c r="H41" s="4" t="inlineStr">
        <is>
          <t>核心</t>
        </is>
      </c>
      <c r="I41" s="4" t="inlineStr">
        <is>
          <t>公司机器人及智能装备属于明确主营，2025年机器人产品出货约1.2万台，并已推出“小拓”人形机器人、“星仔”四足机器人及X5感算控平台，面向自主巡检和工业自主作业；产品具备环境感知、决策控制与本体执行闭环，且已有规模出货基础。保留传统机器人本体核心，同时新增物理AI具身本体相关，避免把传统工业机器人收入直接当作具身收入。</t>
        </is>
      </c>
      <c r="J41" s="4" t="inlineStr">
        <is>
          <t>拓斯达：2025年年度报告</t>
        </is>
      </c>
      <c r="K41" s="4" t="inlineStr">
        <is>
          <t>2026-03-31</t>
        </is>
      </c>
      <c r="L41" s="4" t="inlineStr">
        <is>
          <t>iFinD ifind_get_stock_info (as of 2026-10-27)；拓斯达：2025年年度报告</t>
        </is>
      </c>
      <c r="M41" s="5" t="inlineStr">
        <is>
          <t>https://money.finance.sina.com.cn/corp/view/vCB_AllBulletinDetail.php?stockid=300607&amp;id=12043515</t>
        </is>
      </c>
    </row>
    <row r="42" ht="24" customHeight="1">
      <c r="B42" s="6" t="inlineStr">
        <is>
          <t>300611</t>
        </is>
      </c>
      <c r="C42" s="6" t="inlineStr">
        <is>
          <t>美力科技</t>
        </is>
      </c>
      <c r="D42" s="6" t="inlineStr">
        <is>
          <t>机器人：结构件</t>
        </is>
      </c>
      <c r="E42" s="6" t="inlineStr">
        <is>
          <t>纠错</t>
        </is>
      </c>
      <c r="F42" s="6" t="inlineStr">
        <is>
          <t>机器人</t>
        </is>
      </c>
      <c r="G42" s="6" t="inlineStr">
        <is>
          <t>弹性元件</t>
        </is>
      </c>
      <c r="H42" s="6" t="inlineStr">
        <is>
          <t>相关</t>
        </is>
      </c>
      <c r="I42" s="6" t="inlineStr">
        <is>
          <t>公司主营汽车弹簧，机器人相关产品为拉簧、扭簧和卡簧等弹性元件，直接用于灵巧手及关节的弹性复位、连接和传动；2025年已取得小批量订单，说明不再只是研发预期，但汽车弹簧仍贡献主要收入，机器人业务尚未规模化，故由边缘升为相关并使用更准确的弹性元件概念。</t>
        </is>
      </c>
      <c r="J42" s="6" t="inlineStr">
        <is>
          <t>半年报业绩创历史同期新高，人形机器人业务已有小批量订单</t>
        </is>
      </c>
      <c r="K42" s="6" t="inlineStr">
        <is>
          <t>2025-08-12</t>
        </is>
      </c>
      <c r="L42" s="6" t="inlineStr">
        <is>
          <t>iFinD ifind_get_stock_info (as of 2026-10-27)；半年报业绩创历史同期新高，人形机器人业务已有小批量订单</t>
        </is>
      </c>
      <c r="M42" s="7" t="inlineStr">
        <is>
          <t>https://finance.ifeng.com/c/8llfufvz3nN</t>
        </is>
      </c>
    </row>
    <row r="43" ht="24" customHeight="1">
      <c r="B43" s="4" t="inlineStr">
        <is>
          <t>300660</t>
        </is>
      </c>
      <c r="C43" s="4" t="inlineStr">
        <is>
          <t>江苏雷利</t>
        </is>
      </c>
      <c r="D43" s="4" t="inlineStr">
        <is>
          <t>机器人：电机</t>
        </is>
      </c>
      <c r="E43" s="4" t="inlineStr">
        <is>
          <t>保留</t>
        </is>
      </c>
      <c r="F43" s="4" t="inlineStr">
        <is>
          <t>机器人</t>
        </is>
      </c>
      <c r="G43" s="4" t="inlineStr">
        <is>
          <t>电机</t>
        </is>
      </c>
      <c r="H43" s="4" t="inlineStr">
        <is>
          <t>相关</t>
        </is>
      </c>
      <c r="I43" s="4" t="inlineStr">
        <is>
          <t>公司空心杯电机、无框电机及丝杠可直接用于机器人关节和执行器，16mm空心杯电机已批量生产，行星滚柱丝杠仍处送样阶段；空心杯批量不能等同人形机器人批量供货，机器人客户仍在拓展、收入亦未单列，在微特电机主业下仅属一项应用业务，故保留电机并定相关。</t>
        </is>
      </c>
      <c r="J43" s="4" t="inlineStr">
        <is>
          <t>江苏雷利：16mm空心杯电机已批量生产 行星滚柱丝杠正在送样</t>
        </is>
      </c>
      <c r="K43" s="4" t="inlineStr">
        <is>
          <t>2024-08-08</t>
        </is>
      </c>
      <c r="L43" s="4" t="inlineStr">
        <is>
          <t>iFinD ifind_get_stock_info (as of 2026-10-27)；江苏雷利：16mm空心杯电机已批量生产 行星滚柱丝杠正在送样</t>
        </is>
      </c>
      <c r="M43" s="5" t="inlineStr">
        <is>
          <t>https://www.cls.cn/detail/1758223</t>
        </is>
      </c>
    </row>
    <row r="44" ht="24" customHeight="1">
      <c r="B44" s="6" t="inlineStr">
        <is>
          <t>300680</t>
        </is>
      </c>
      <c r="C44" s="6" t="inlineStr">
        <is>
          <t>隆盛科技</t>
        </is>
      </c>
      <c r="D44" s="6" t="inlineStr">
        <is>
          <t>机器人：电机</t>
        </is>
      </c>
      <c r="E44" s="6" t="inlineStr">
        <is>
          <t>纠错</t>
        </is>
      </c>
      <c r="F44" s="6" t="inlineStr">
        <is>
          <t>机器人</t>
        </is>
      </c>
      <c r="G44" s="6" t="inlineStr">
        <is>
          <t>灵巧手</t>
        </is>
      </c>
      <c r="H44" s="6" t="inlineStr">
        <is>
          <t>相关</t>
        </is>
      </c>
      <c r="I44" s="6" t="inlineStr">
        <is>
          <t>公司在汽车零部件主业之外布局灵巧手、谐波减速器、关节模组和驱动电机部件，自研“兰森”机器人面向制造业场景，已有真实产品和项目推进；但机器人业务收入贡献仍小，主要可核验落地集中在灵巧手及执行硬件，尚不足以将整机或电机标签定为核心，也不因此扩张为物理AI。</t>
        </is>
      </c>
      <c r="J44" s="6" t="inlineStr">
        <is>
          <t>隆盛科技：2025年年度报告摘要</t>
        </is>
      </c>
      <c r="K44" s="6" t="inlineStr">
        <is>
          <t>2026-10-16</t>
        </is>
      </c>
      <c r="L44" s="6" t="inlineStr">
        <is>
          <t>iFinD ifind_get_stock_info (as of 2026-10-27)；隆盛科技：2025年年度报告摘要</t>
        </is>
      </c>
      <c r="M44" s="7" t="inlineStr">
        <is>
          <t>https://money.finance.sina.com.cn/corp/view/vCB_AllBulletinDetail.php?stockid=300680&amp;id=12222599</t>
        </is>
      </c>
    </row>
    <row r="45" ht="24" customHeight="1">
      <c r="B45" s="4" t="inlineStr">
        <is>
          <t>300718</t>
        </is>
      </c>
      <c r="C45" s="4" t="inlineStr">
        <is>
          <t>长盛轴承</t>
        </is>
      </c>
      <c r="D45" s="4" t="inlineStr">
        <is>
          <t>机器人：轴承</t>
        </is>
      </c>
      <c r="E45" s="4" t="inlineStr">
        <is>
          <t>纠错</t>
        </is>
      </c>
      <c r="F45" s="4" t="inlineStr">
        <is>
          <t>机器人</t>
        </is>
      </c>
      <c r="G45" s="4" t="inlineStr">
        <is>
          <t>轴承</t>
        </is>
      </c>
      <c r="H45" s="4" t="inlineStr">
        <is>
          <t>相关</t>
        </is>
      </c>
      <c r="I45" s="4" t="inlineStr">
        <is>
          <t>公司自润滑轴承可直接用于机器人关节，已与宇树科技签订合作协议、取得订单并实现小批量生产销售，具备真实供货关系；但相关收入占主营收入不足1%，机器人丝杠应用仍处研发阶段，客户合作和小批量收入尚不足以把机器人轴承列为主业核心，故由核心降为相关。</t>
        </is>
      </c>
      <c r="J45" s="4" t="inlineStr">
        <is>
          <t>长盛轴承：与宇树科技已签订合作协议并取得订单</t>
        </is>
      </c>
      <c r="K45" s="4" t="inlineStr">
        <is>
          <t>2025-02-18</t>
        </is>
      </c>
      <c r="L45" s="4" t="inlineStr">
        <is>
          <t>iFinD ifind_get_stock_info (as of 2026-10-27)；长盛轴承：与宇树科技已签订合作协议并取得订单</t>
        </is>
      </c>
      <c r="M45" s="5" t="inlineStr">
        <is>
          <t>https://news.futunn.com/flash/18453297/zhejiang-changsheng-sliding-bearings-a-cooperation-agreement-has-been-signed</t>
        </is>
      </c>
    </row>
    <row r="46" ht="24" customHeight="1">
      <c r="B46" s="6" t="inlineStr">
        <is>
          <t>300809</t>
        </is>
      </c>
      <c r="C46" s="6" t="inlineStr">
        <is>
          <t>华辰装备</t>
        </is>
      </c>
      <c r="D46" s="6" t="inlineStr">
        <is>
          <t>机器人：丝杠设备</t>
        </is>
      </c>
      <c r="E46" s="6" t="inlineStr">
        <is>
          <t>保留</t>
        </is>
      </c>
      <c r="F46" s="6" t="inlineStr">
        <is>
          <t>机器人</t>
        </is>
      </c>
      <c r="G46" s="6" t="inlineStr">
        <is>
          <t>丝杠设备</t>
        </is>
      </c>
      <c r="H46" s="6" t="inlineStr">
        <is>
          <t>相关</t>
        </is>
      </c>
      <c r="I46" s="6" t="inlineStr">
        <is>
          <t>公司主营高端磨削装备，机器人关联产品为精密内外螺纹磨床，直接用于行星滚柱丝杠等零件的螺纹加工，本身是制造设备而非丝杠；已与福立旺签订100台设备订单，具有明确商业订单和交付基础，但属于新拓展的上游设备业务，占公司整体业务仍有限，故保留相关。</t>
        </is>
      </c>
      <c r="J46" s="6" t="inlineStr">
        <is>
          <t>华辰装备2026年5月8日投资者关系活动记录表</t>
        </is>
      </c>
      <c r="K46" s="6" t="inlineStr">
        <is>
          <t>2026-05-08</t>
        </is>
      </c>
      <c r="L46" s="6" t="inlineStr">
        <is>
          <t>iFinD ifind_get_stock_info (as of 2026-10-27)；华辰装备2026年5月8日投资者关系活动记录表</t>
        </is>
      </c>
      <c r="M46" s="7" t="inlineStr">
        <is>
          <t>http://file.finance.sina.com.cn/cn/diaoyan/jgdy/2026/2026-05/2026-05-08/10179452_1.PDF</t>
        </is>
      </c>
    </row>
    <row r="47" ht="24" customHeight="1">
      <c r="B47" s="4" t="inlineStr">
        <is>
          <t>300918</t>
        </is>
      </c>
      <c r="C47" s="4" t="inlineStr">
        <is>
          <t>南山智尚</t>
        </is>
      </c>
      <c r="D47" s="4" t="inlineStr">
        <is>
          <t>机器人：腱绳材料</t>
        </is>
      </c>
      <c r="E47" s="4" t="inlineStr">
        <is>
          <t>纠错</t>
        </is>
      </c>
      <c r="F47" s="4" t="inlineStr">
        <is>
          <t>机器人</t>
        </is>
      </c>
      <c r="G47" s="4" t="inlineStr">
        <is>
          <t>腱绳材料</t>
        </is>
      </c>
      <c r="H47" s="4" t="inlineStr">
        <is>
          <t>相关</t>
        </is>
      </c>
      <c r="I47" s="4" t="inlineStr">
        <is>
          <t>公司在纤维材料主业基础上自研高强传动腱绳，可直接用于机器人灵巧手腱绳传动，2025年已披露国内外小批量订单，2026年仍处多家客户送样认证和小批量订单阶段；已有真实产品和订单但尚未形成规模收益，不能表述为规模量产，也不足以列核心，故降为相关。</t>
        </is>
      </c>
      <c r="J47" s="4" t="inlineStr">
        <is>
          <t>南山智尚：2025年半年度报告</t>
        </is>
      </c>
      <c r="K47" s="4" t="inlineStr">
        <is>
          <t>2025-08-27</t>
        </is>
      </c>
      <c r="L47" s="4" t="inlineStr">
        <is>
          <t>iFinD ifind_get_stock_info (as of 2026-10-27)；南山智尚：2025年半年度报告</t>
        </is>
      </c>
      <c r="M47" s="5" t="inlineStr">
        <is>
          <t>http://money.finance.sina.com.cn/corp/view/vCB_AllBulletinDetail.php?stockid=300918&amp;id=11373364</t>
        </is>
      </c>
    </row>
    <row r="48" ht="24" customHeight="1">
      <c r="B48" s="6" t="inlineStr">
        <is>
          <t>300953</t>
        </is>
      </c>
      <c r="C48" s="6" t="inlineStr">
        <is>
          <t>震裕科技</t>
        </is>
      </c>
      <c r="D48" s="6" t="inlineStr">
        <is>
          <t>机器人：丝杠</t>
        </is>
      </c>
      <c r="E48" s="6" t="inlineStr">
        <is>
          <t>纠错</t>
        </is>
      </c>
      <c r="F48" s="6" t="inlineStr">
        <is>
          <t>机器人</t>
        </is>
      </c>
      <c r="G48" s="6" t="inlineStr">
        <is>
          <t>执行器</t>
        </is>
      </c>
      <c r="H48" s="6" t="inlineStr">
        <is>
          <t>相关</t>
        </is>
      </c>
      <c r="I48" s="6" t="inlineStr">
        <is>
          <t>公司在精密结构件主业之外开发反向式行星滚柱丝杠、线性执行器及灵巧手微型传动组件，直接用于机器人直线运动和灵巧执行；产品已通过客户验证并小批量交付，且建成两条自动化产线，但2025年相关收入约占0.15%，产线建设不能替代收入规模，故纠正为执行器并定相关。</t>
        </is>
      </c>
      <c r="J48" s="6" t="inlineStr">
        <is>
          <t>震裕科技：2025年半年度报告</t>
        </is>
      </c>
      <c r="K48" s="6" t="inlineStr">
        <is>
          <t>2025-08-28</t>
        </is>
      </c>
      <c r="L48" s="6" t="inlineStr">
        <is>
          <t>iFinD ifind_get_stock_info (as of 2026-10-27)；震裕科技：2025年半年度报告</t>
        </is>
      </c>
      <c r="M48" s="7" t="inlineStr">
        <is>
          <t>http://money.finance.sina.com.cn/corp/view/vCB_AllBulletinDetail.php?stockid=300953&amp;id=11393226</t>
        </is>
      </c>
    </row>
    <row r="49" ht="24" customHeight="1">
      <c r="B49" s="4" t="inlineStr">
        <is>
          <t>300984</t>
        </is>
      </c>
      <c r="C49" s="4" t="inlineStr">
        <is>
          <t>金沃股份</t>
        </is>
      </c>
      <c r="D49" s="4" t="inlineStr">
        <is>
          <t>机器人：轴承</t>
        </is>
      </c>
      <c r="E49" s="4" t="inlineStr">
        <is>
          <t>纠错</t>
        </is>
      </c>
      <c r="F49" s="4" t="inlineStr">
        <is>
          <t>机器人</t>
        </is>
      </c>
      <c r="G49" s="4" t="inlineStr">
        <is>
          <t>丝杠零部件</t>
        </is>
      </c>
      <c r="H49" s="4" t="inlineStr">
        <is>
          <t>相关</t>
        </is>
      </c>
      <c r="I49" s="4" t="inlineStr">
        <is>
          <t>公司原有主业为轴承套圈，机器人新产品则是行星滚柱/滚珠丝杠所需螺母、滚柱和主丝杠，直接用于直线传动机构，旧轴承标签不能准确覆盖该逻辑；2025年相关产线基本到位并推进产业化，但未见明确人形机器人批量订单，且轴承套圈仍占主业95%以上，故改为丝杠零部件并定相关。</t>
        </is>
      </c>
      <c r="J49" s="4" t="inlineStr">
        <is>
          <t>金沃股份去年净利增长84.42% 将加大丝杠业务投入</t>
        </is>
      </c>
      <c r="K49" s="4" t="inlineStr">
        <is>
          <t>2026-04-13</t>
        </is>
      </c>
      <c r="L49" s="4" t="inlineStr">
        <is>
          <t>iFinD ifind_get_stock_info (as of 2026-10-27)；金沃股份去年净利增长84.42% 将加大丝杠业务投入</t>
        </is>
      </c>
      <c r="M49" s="5" t="inlineStr">
        <is>
          <t>https://news.qq.com/rain/a/20260413A07YI700</t>
        </is>
      </c>
    </row>
    <row r="50" ht="24" customHeight="1">
      <c r="B50" s="6" t="inlineStr">
        <is>
          <t>301000</t>
        </is>
      </c>
      <c r="C50" s="6" t="inlineStr">
        <is>
          <t>肇民科技</t>
        </is>
      </c>
      <c r="D50" s="6" t="inlineStr">
        <is>
          <t>机器人：结构件</t>
        </is>
      </c>
      <c r="E50" s="6" t="inlineStr">
        <is>
          <t>保留</t>
        </is>
      </c>
      <c r="F50" s="6" t="inlineStr">
        <is>
          <t>机器人</t>
        </is>
      </c>
      <c r="G50" s="6" t="inlineStr">
        <is>
          <t>结构件</t>
        </is>
      </c>
      <c r="H50" s="6" t="inlineStr">
        <is>
          <t>相关</t>
        </is>
      </c>
      <c r="I50" s="6" t="inlineStr">
        <is>
          <t>公司以精密注塑件为主业，与客户共同开发PEEK、PPS机器人零件，产品可直接用于躯干和灵巧手结构，已有多个新品且业务推进顺利；但机器人业务营收仍较小，汽车注塑件的成熟量产不能作为机器人产品量产证明，因此保留结构件概念并定相关，而非核心。</t>
        </is>
      </c>
      <c r="J50" s="6" t="inlineStr">
        <is>
          <t>上海肇民新材料科技股份有限公司投资者关系活动记录表</t>
        </is>
      </c>
      <c r="K50" s="6" t="inlineStr">
        <is>
          <t>2026-05-18</t>
        </is>
      </c>
      <c r="L50" s="6" t="inlineStr">
        <is>
          <t>iFinD ifind_get_stock_info (as of 2026-10-27)；上海肇民新材料科技股份有限公司投资者关系活动记录表</t>
        </is>
      </c>
      <c r="M50" s="7" t="inlineStr">
        <is>
          <t>http://file.finance.sina.com.cn/cn/diaoyan/jgdy/2026/2026-05/2026-05-18/10181389_1.PDF</t>
        </is>
      </c>
    </row>
    <row r="51" ht="24" customHeight="1">
      <c r="B51" s="4" t="inlineStr">
        <is>
          <t>301023</t>
        </is>
      </c>
      <c r="C51" s="4" t="inlineStr">
        <is>
          <t>奕帆传动</t>
        </is>
      </c>
      <c r="D51" s="4" t="inlineStr">
        <is>
          <t>机器人：微特减速电机</t>
        </is>
      </c>
      <c r="E51" s="4" t="inlineStr">
        <is>
          <t>纠错</t>
        </is>
      </c>
      <c r="F51" s="4" t="inlineStr">
        <is>
          <t>机器人</t>
        </is>
      </c>
      <c r="G51" s="4" t="inlineStr">
        <is>
          <t>微特减速电机</t>
        </is>
      </c>
      <c r="H51" s="4" t="inlineStr">
        <is>
          <t>相关</t>
        </is>
      </c>
      <c r="I51" s="4" t="inlineStr">
        <is>
          <t>微特减速电机是公司明确主营产品，太阳能清洗机器人用双级行星减速电机已小批量供货，产品与机器人驱动环节存在直接关系；但机器人只是微特减速电机多个下游应用之一，相关收入未单列，不能把产品本身属于主营直接推导为机器人业务核心，故维持准确概念并将判词降为相关。</t>
        </is>
      </c>
      <c r="J51" s="4" t="inlineStr">
        <is>
          <t>奕帆传动：2025年半年度报告</t>
        </is>
      </c>
      <c r="K51" s="4" t="inlineStr">
        <is>
          <t>2025-08-23</t>
        </is>
      </c>
      <c r="L51" s="4" t="inlineStr">
        <is>
          <t>iFinD ifind_get_stock_info (as of 2026-10-27)；奕帆传动：2025年半年度报告</t>
        </is>
      </c>
      <c r="M51" s="5" t="inlineStr">
        <is>
          <t>http://static.cninfo.com.cn/finalpage/2025-08-23/1224556702.PDF</t>
        </is>
      </c>
    </row>
    <row r="52" ht="24" customHeight="1">
      <c r="B52" s="6" t="inlineStr">
        <is>
          <t>301199</t>
        </is>
      </c>
      <c r="C52" s="6" t="inlineStr">
        <is>
          <t>迈赫股份</t>
        </is>
      </c>
      <c r="D52" s="6" t="inlineStr">
        <is>
          <t>机器人：本体及应用</t>
        </is>
      </c>
      <c r="E52" s="6" t="inlineStr">
        <is>
          <t>纠错</t>
        </is>
      </c>
      <c r="F52" s="6" t="inlineStr">
        <is>
          <t>机器人</t>
        </is>
      </c>
      <c r="G52" s="6" t="inlineStr">
        <is>
          <t>自动化集成</t>
        </is>
      </c>
      <c r="H52" s="6" t="inlineStr">
        <is>
          <t>核心</t>
        </is>
      </c>
      <c r="I52" s="6" t="inlineStr">
        <is>
          <t>公司专业从事基于机器人和物联网技术的高端智能装备系统，向汽车等客户提供焊装、涂装等定制系统，完成设计、制造集成、安装调试和终验交付；2025年智能装备系统及动力能源供应系统收入占96.31%，系统集成为明确主营，但其并非人形机器人本体厂，故纠正概念并定核心。</t>
        </is>
      </c>
      <c r="J52" s="6" t="inlineStr">
        <is>
          <t>迈赫机器人自动化股份有限公司2025年年度报告</t>
        </is>
      </c>
      <c r="K52" s="6" t="inlineStr">
        <is>
          <t>2026-04-29</t>
        </is>
      </c>
      <c r="L52" s="6" t="inlineStr">
        <is>
          <t>iFinD ifind_get_stock_info (as of 2026-10-27)；迈赫机器人自动化股份有限公司2025年年度报告</t>
        </is>
      </c>
      <c r="M52" s="7" t="inlineStr">
        <is>
          <t>http://file.finance.sina.com.cn/211.154.219.97:9494/MRGG/CNSESZ_STOCK/2026/2026-4/2026-04-29/12239400.PDF</t>
        </is>
      </c>
    </row>
    <row r="53" ht="24" customHeight="1">
      <c r="B53" s="4" t="inlineStr">
        <is>
          <t>301261</t>
        </is>
      </c>
      <c r="C53" s="4" t="inlineStr">
        <is>
          <t>恒工精密</t>
        </is>
      </c>
      <c r="D53" s="4" t="inlineStr">
        <is>
          <t>机器人：减速器</t>
        </is>
      </c>
      <c r="E53" s="4" t="inlineStr">
        <is>
          <t>纠错</t>
        </is>
      </c>
      <c r="F53" s="4" t="inlineStr">
        <is>
          <t>机器人</t>
        </is>
      </c>
      <c r="G53" s="4" t="inlineStr">
        <is>
          <t>减速器零部件</t>
        </is>
      </c>
      <c r="H53" s="4" t="inlineStr">
        <is>
          <t>相关</t>
        </is>
      </c>
      <c r="I53" s="4" t="inlineStr">
        <is>
          <t>公司主营连续铸铁件和精密机加工件，机器人产品包括RV减速器摆线轮、针齿壳、行星架及谐波减速器刚轮，是减速器核心工作部件而非完整减速器；RV部件已在北京智同批量应用，谐波刚轮经客户验证后小批量交付，但连续铸铁和机加工仍为主体业务，故纠正概念并定相关。</t>
        </is>
      </c>
      <c r="J53" s="4" t="inlineStr">
        <is>
          <t>河北恒工精密装备股份有限公司2025年年度报告</t>
        </is>
      </c>
      <c r="K53" s="4" t="inlineStr">
        <is>
          <t>2026-04-28</t>
        </is>
      </c>
      <c r="L53" s="4" t="inlineStr">
        <is>
          <t>iFinD ifind_get_stock_info (as of 2026-10-27)；河北恒工精密装备股份有限公司2025年年度报告</t>
        </is>
      </c>
      <c r="M53" s="5" t="inlineStr">
        <is>
          <t>http://file.finance.sina.com.cn/211.154.219.97:9494/MRGG/CNSESZ_STOCK/2026/2026-4/2026-04-28/12217775.PDF</t>
        </is>
      </c>
    </row>
    <row r="54" ht="24" customHeight="1">
      <c r="B54" s="6" t="inlineStr">
        <is>
          <t>301368</t>
        </is>
      </c>
      <c r="C54" s="6" t="inlineStr">
        <is>
          <t>丰立智能</t>
        </is>
      </c>
      <c r="D54" s="6" t="inlineStr">
        <is>
          <t>机器人：减速器</t>
        </is>
      </c>
      <c r="E54" s="6" t="inlineStr">
        <is>
          <t>纠错</t>
        </is>
      </c>
      <c r="F54" s="6" t="inlineStr">
        <is>
          <t>机器人</t>
        </is>
      </c>
      <c r="G54" s="6" t="inlineStr">
        <is>
          <t>减速器</t>
        </is>
      </c>
      <c r="H54" s="6" t="inlineStr">
        <is>
          <t>相关</t>
        </is>
      </c>
      <c r="I54" s="6" t="inlineStr">
        <is>
          <t>公司开发谐波、行星和小微减速器，分别用于机器人腰部以上、腰部以下及手指关节，并已与多类客户合作、实现小批量生产交货；但2025年报明确机器人业务营收占比极低，精密减速器及零部件总收入还包含非机器人应用，不能据此认定机器人减速器为核心主业，故由核心降为相关。</t>
        </is>
      </c>
      <c r="J54" s="6" t="inlineStr">
        <is>
          <t>丰立智能：2025年年度报告</t>
        </is>
      </c>
      <c r="K54" s="6" t="inlineStr">
        <is>
          <t>2026-04-22</t>
        </is>
      </c>
      <c r="L54" s="6" t="inlineStr">
        <is>
          <t>iFinD ifind_get_stock_info (as of 2026-10-27)；丰立智能：2025年年度报告</t>
        </is>
      </c>
      <c r="M54" s="7" t="inlineStr">
        <is>
          <t>http://money.finance.sina.com.cn/corp/view/vCB_AllBulletinDetail.php?stockid=301368&amp;id=12133798</t>
        </is>
      </c>
    </row>
    <row r="55" ht="24" customHeight="1">
      <c r="B55" s="4" t="inlineStr">
        <is>
          <t>301550</t>
        </is>
      </c>
      <c r="C55" s="4" t="inlineStr">
        <is>
          <t>斯菱智驱</t>
        </is>
      </c>
      <c r="D55" s="4" t="inlineStr">
        <is>
          <t>机器人：减速器</t>
        </is>
      </c>
      <c r="E55" s="4" t="inlineStr">
        <is>
          <t>纠错</t>
        </is>
      </c>
      <c r="F55" s="4" t="inlineStr">
        <is>
          <t>机器人</t>
        </is>
      </c>
      <c r="G55" s="4" t="inlineStr">
        <is>
          <t>减速器</t>
        </is>
      </c>
      <c r="H55" s="4" t="inlineStr">
        <is>
          <t>相关</t>
        </is>
      </c>
      <c r="I55" s="4" t="inlineStr">
        <is>
          <t>公司原以汽车轮毂轴承等汽车零部件为主，谐波减速器及配套专用轴承已于2025年投产，2026年进一步实现小批量交付，可直接用于机器人关节传动，已超出研发和产能规划阶段。机器人减速器目前仍是汽车零部件基本盘之外的一块新业务，故由边缘上调为相关，不判核心。</t>
        </is>
      </c>
      <c r="J55" s="4" t="inlineStr">
        <is>
          <t>斯菱智驱谐波减速器实现小批量交付</t>
        </is>
      </c>
      <c r="K55" s="4" t="inlineStr">
        <is>
          <t>2026-09-03</t>
        </is>
      </c>
      <c r="L55" s="4" t="inlineStr">
        <is>
          <t>iFinD ifind_get_stock_info (as of 2026-10-27)；斯菱智驱谐波减速器实现小批量交付</t>
        </is>
      </c>
      <c r="M55" s="5" t="inlineStr">
        <is>
          <t>https://robot.ofweek.com/2026-09/ART-8321201-12003-30701415.html</t>
        </is>
      </c>
    </row>
    <row r="56" ht="24" customHeight="1">
      <c r="B56" s="6" t="inlineStr">
        <is>
          <t>301596</t>
        </is>
      </c>
      <c r="C56" s="6" t="inlineStr">
        <is>
          <t>瑞迪智驱</t>
        </is>
      </c>
      <c r="D56" s="6" t="inlineStr">
        <is>
          <t>机器人：减速器</t>
        </is>
      </c>
      <c r="E56" s="6" t="inlineStr">
        <is>
          <t>保留</t>
        </is>
      </c>
      <c r="F56" s="6" t="inlineStr">
        <is>
          <t>机器人</t>
        </is>
      </c>
      <c r="G56" s="6" t="inlineStr">
        <is>
          <t>减速器</t>
        </is>
      </c>
      <c r="H56" s="6" t="inlineStr">
        <is>
          <t>相关</t>
        </is>
      </c>
      <c r="I56" s="6" t="inlineStr">
        <is>
          <t>公司谐波减速机可直接用于工业、协作及人形机器人关节模组，2025年实现收入5453.96万元、占营业收入8.44%，已有可量化销售而非送样预期。谐波减速机与电磁制动器、精密传动件等业务共同经营，尚未成为公司全部主营，因此维持机器人减速器相关而非核心。</t>
        </is>
      </c>
      <c r="J56" s="6" t="inlineStr">
        <is>
          <t>瑞迪智驱：2025年年度报告</t>
        </is>
      </c>
      <c r="K56" s="6" t="inlineStr">
        <is>
          <t>2026-04-23</t>
        </is>
      </c>
      <c r="L56" s="6" t="inlineStr">
        <is>
          <t>iFinD ifind_get_stock_info (as of 2026-10-27)；瑞迪智驱：2025年年度报告</t>
        </is>
      </c>
      <c r="M56" s="7" t="inlineStr">
        <is>
          <t>https://money.finance.sina.com.cn/corp/view/vCB_AllBulletinDetail.php?stockid=301596&amp;id=12140003</t>
        </is>
      </c>
    </row>
    <row r="57" ht="24" customHeight="1">
      <c r="B57" s="4" t="inlineStr">
        <is>
          <t>600215</t>
        </is>
      </c>
      <c r="C57" s="4" t="inlineStr">
        <is>
          <t>派斯林</t>
        </is>
      </c>
      <c r="D57" s="4" t="inlineStr">
        <is>
          <t>机器人：本体及应用</t>
        </is>
      </c>
      <c r="E57" s="4" t="inlineStr">
        <is>
          <t>纠错</t>
        </is>
      </c>
      <c r="F57" s="4" t="inlineStr">
        <is>
          <t>机器人</t>
        </is>
      </c>
      <c r="G57" s="4" t="inlineStr">
        <is>
          <t>自动化集成</t>
        </is>
      </c>
      <c r="H57" s="4" t="inlineStr">
        <is>
          <t>核心</t>
        </is>
      </c>
      <c r="I57" s="4" t="inlineStr">
        <is>
          <t>公司主营汽车焊装、智能仓储等工业自动化产线的规划、设计、制造、安装调试及售后，业务包含机器人模拟仿真和系统集成，自动化项目交付即公司主业。其直接价值在机器人自动化产线集成，而非制造机器人本体，故将本体及应用纠正为自动化集成，并由相关上调为核心。</t>
        </is>
      </c>
      <c r="J57" s="4" t="inlineStr">
        <is>
          <t>派斯林：2025年年度报告摘要</t>
        </is>
      </c>
      <c r="K57" s="4" t="inlineStr">
        <is>
          <t>2026-04-30</t>
        </is>
      </c>
      <c r="L57" s="4" t="inlineStr">
        <is>
          <t>iFinD ifind_get_stock_info (as of 2026-10-27)；派斯林：2025年年度报告摘要</t>
        </is>
      </c>
      <c r="M57" s="5" t="inlineStr">
        <is>
          <t>https://www.cfi.net.cn/p20260430000284.html</t>
        </is>
      </c>
    </row>
    <row r="58" ht="24" customHeight="1">
      <c r="B58" s="6" t="inlineStr">
        <is>
          <t>600580</t>
        </is>
      </c>
      <c r="C58" s="6" t="inlineStr">
        <is>
          <t>卧龙电驱</t>
        </is>
      </c>
      <c r="D58" s="6" t="inlineStr">
        <is>
          <t>机器人：电机</t>
        </is>
      </c>
      <c r="E58" s="6" t="inlineStr">
        <is>
          <t>保留</t>
        </is>
      </c>
      <c r="F58" s="6" t="inlineStr">
        <is>
          <t>机器人</t>
        </is>
      </c>
      <c r="G58" s="6" t="inlineStr">
        <is>
          <t>电机</t>
        </is>
      </c>
      <c r="H58" s="6" t="inlineStr">
        <is>
          <t>相关</t>
        </is>
      </c>
      <c r="I58" s="6" t="inlineStr">
        <is>
          <t>公司主营电机及控制产品，年报业务板块已列机器人组件及系统应用，电机、驱动与控制产品可直接进入机器人动力和关节环节，并非纯概念映射。机器人组件仅公司众多应用板块之一，不能因电机整体属于主营就将整个公司判为机器人核心，故维持电机相关。</t>
        </is>
      </c>
      <c r="J58" s="6" t="inlineStr">
        <is>
          <t>卧龙电驱：2025年年度报告</t>
        </is>
      </c>
      <c r="K58" s="6" t="inlineStr">
        <is>
          <t>2026-03-21</t>
        </is>
      </c>
      <c r="L58" s="6" t="inlineStr">
        <is>
          <t>iFinD ifind_get_stock_info (as of 2026-10-27)；卧龙电驱：2025年年度报告</t>
        </is>
      </c>
      <c r="M58" s="7" t="inlineStr">
        <is>
          <t>https://money.finance.sina.com.cn/corp/view/vCB_AllBulletinDetail.php?stockid=600580&amp;id=12008255</t>
        </is>
      </c>
    </row>
    <row r="59" ht="24" customHeight="1">
      <c r="B59" s="4" t="inlineStr">
        <is>
          <t>601100</t>
        </is>
      </c>
      <c r="C59" s="4" t="inlineStr">
        <is>
          <t>恒立液压</t>
        </is>
      </c>
      <c r="D59" s="4" t="inlineStr">
        <is>
          <t>机器人：丝杠</t>
        </is>
      </c>
      <c r="E59" s="4" t="inlineStr">
        <is>
          <t>纠错</t>
        </is>
      </c>
      <c r="F59" s="4" t="inlineStr">
        <is>
          <t>机器人</t>
        </is>
      </c>
      <c r="G59" s="4" t="inlineStr">
        <is>
          <t>丝杠</t>
        </is>
      </c>
      <c r="H59" s="4" t="inlineStr">
        <is>
          <t>相关</t>
        </is>
      </c>
      <c r="I59" s="4" t="inlineStr">
        <is>
          <t>公司线性驱动器、滚珠及行星滚柱丝杠、一体化电动执行器已形成量产能力，行星丝杠执行器可直接用于机器人线性关节，具备明确产品和产业化基础。高压油缸、泵阀等液压件仍是主营基本盘，机器人丝杠及执行器属于新板块，因此由核心降级为相关。</t>
        </is>
      </c>
      <c r="J59" s="4" t="inlineStr">
        <is>
          <t>恒立液压线性驱动器产能及量产情况</t>
        </is>
      </c>
      <c r="K59" s="4" t="inlineStr">
        <is>
          <t>2025-08-29</t>
        </is>
      </c>
      <c r="L59" s="4" t="inlineStr">
        <is>
          <t>iFinD ifind_get_stock_info (as of 2026-10-27)；恒立液压线性驱动器产能及量产情况</t>
        </is>
      </c>
      <c r="M59" s="5" t="inlineStr">
        <is>
          <t>https://www.sgpjbg.com.cn/labels/hengliyeyaxianxingqudongqichanneng/1/6877271.html</t>
        </is>
      </c>
    </row>
    <row r="60" ht="24" customHeight="1">
      <c r="B60" s="6" t="inlineStr">
        <is>
          <t>601689</t>
        </is>
      </c>
      <c r="C60" s="6" t="inlineStr">
        <is>
          <t>拓普集团</t>
        </is>
      </c>
      <c r="D60" s="6" t="inlineStr">
        <is>
          <t>机器人：总成</t>
        </is>
      </c>
      <c r="E60" s="6" t="inlineStr">
        <is>
          <t>纠错</t>
        </is>
      </c>
      <c r="F60" s="6" t="inlineStr">
        <is>
          <t>机器人</t>
        </is>
      </c>
      <c r="G60" s="6" t="inlineStr">
        <is>
          <t>总成</t>
        </is>
      </c>
      <c r="H60" s="6" t="inlineStr">
        <is>
          <t>相关</t>
        </is>
      </c>
      <c r="I60" s="6" t="inlineStr">
        <is>
          <t>公司机器人产品覆盖直线及旋转执行器、灵巧手电机及总成、传感器和结构件，年报已披露完整产品布局，可直接对应机器人执行与总成环节。汽车NVH、底盘、热管理等仍构成公司主体，机器人执行器只是新业务一块，因此保留总成标签但由核心降级为相关。</t>
        </is>
      </c>
      <c r="J60" s="6" t="inlineStr">
        <is>
          <t>拓普集团：2025年年度报告</t>
        </is>
      </c>
      <c r="K60" s="6" t="inlineStr">
        <is>
          <t>2026-03-11</t>
        </is>
      </c>
      <c r="L60" s="6" t="inlineStr">
        <is>
          <t>iFinD ifind_get_stock_info (as of 2026-10-27)；拓普集团：2025年年度报告</t>
        </is>
      </c>
      <c r="M60" s="7" t="inlineStr">
        <is>
          <t>https://www.tuopu.com/wp-content/uploads/2026/03/%E6%8B%93%E6%99%AE%E9%9B%86%E5%9B%A22025%E5%B9%B4%E5%B9%B4%E5%BA%A6%E6%8A%A5%E5%91%8A.pdf</t>
        </is>
      </c>
    </row>
    <row r="61" ht="24" customHeight="1">
      <c r="B61" s="4" t="inlineStr">
        <is>
          <t>603028</t>
        </is>
      </c>
      <c r="C61" s="4" t="inlineStr">
        <is>
          <t>赛福天</t>
        </is>
      </c>
      <c r="D61" s="4" t="inlineStr">
        <is>
          <t>机器人：腱绳材料</t>
        </is>
      </c>
      <c r="E61" s="4" t="inlineStr">
        <is>
          <t>纠错</t>
        </is>
      </c>
      <c r="F61" s="4" t="inlineStr">
        <is>
          <t>机器人</t>
        </is>
      </c>
      <c r="G61" s="4" t="inlineStr">
        <is>
          <t>腱绳材料</t>
        </is>
      </c>
      <c r="H61" s="4" t="inlineStr">
        <is>
          <t>相关</t>
        </is>
      </c>
      <c r="I61" s="4" t="inlineStr">
        <is>
          <t>公司机器人钢丝绳可用于手臂、大腿等部位的精密传动，已与上海交大机器人团队签订合同订单，样品送测多家企业，并与卓益得开展战略合作，具备真实产品、订单和客户验证。该业务规模尚小，公司另有钢丝绳及光伏等业务，故由核心降级为相关而非摘除。</t>
        </is>
      </c>
      <c r="J61" s="4" t="inlineStr">
        <is>
          <t>赛福天：2025年年度报告</t>
        </is>
      </c>
      <c r="K61" s="4" t="inlineStr">
        <is>
          <t>2026-04-23</t>
        </is>
      </c>
      <c r="L61" s="4" t="inlineStr">
        <is>
          <t>iFinD ifind_get_stock_info (as of 2026-10-27)；赛福天：2025年年度报告</t>
        </is>
      </c>
      <c r="M61" s="5" t="inlineStr">
        <is>
          <t>https://static.cninfo.com.cn/finalpage/2026-04-23/1225147705.PDF</t>
        </is>
      </c>
    </row>
    <row r="62" ht="24" customHeight="1">
      <c r="B62" s="6" t="inlineStr">
        <is>
          <t>603081</t>
        </is>
      </c>
      <c r="C62" s="6" t="inlineStr">
        <is>
          <t>大丰实业</t>
        </is>
      </c>
      <c r="D62" s="6" t="inlineStr">
        <is>
          <t>机器人：本体及应用</t>
        </is>
      </c>
      <c r="E62" s="6" t="inlineStr">
        <is>
          <t>纠错</t>
        </is>
      </c>
      <c r="F62" s="6" t="inlineStr">
        <is>
          <t>机器人</t>
        </is>
      </c>
      <c r="G62" s="6" t="inlineStr">
        <is>
          <t>场景应用</t>
        </is>
      </c>
      <c r="H62" s="6" t="inlineStr">
        <is>
          <t>相关</t>
        </is>
      </c>
      <c r="I62" s="6" t="inlineStr">
        <is>
          <t>公司控股51%的硅基方舟与智元合作，机器人已在浙BA和今夕共西溪完成真实演艺应用，并组建人机互动乐队，属于已经落地的文旅场景项目，强于单纯参股或研发预期。公司未证明机器人本体制造能力，且场景运营仅为一块业务，故改标场景应用并由边缘上调为相关。</t>
        </is>
      </c>
      <c r="J62" s="6" t="inlineStr">
        <is>
          <t>大丰实业：2025年年度报告</t>
        </is>
      </c>
      <c r="K62" s="6" t="inlineStr">
        <is>
          <t>2026-04-21</t>
        </is>
      </c>
      <c r="L62" s="6" t="inlineStr">
        <is>
          <t>iFinD ifind_get_stock_info (as of 2026-10-27)；大丰实业：2025年年度报告</t>
        </is>
      </c>
      <c r="M62" s="7" t="inlineStr">
        <is>
          <t>https://money.finance.sina.com.cn/corp/view/vCB_AllBulletinDetail.php?stockid=603081&amp;id=12119104</t>
        </is>
      </c>
    </row>
    <row r="63" ht="24" customHeight="1">
      <c r="B63" s="4" t="inlineStr">
        <is>
          <t>603082</t>
        </is>
      </c>
      <c r="C63" s="4" t="inlineStr">
        <is>
          <t>北自科技</t>
        </is>
      </c>
      <c r="D63" s="4" t="inlineStr">
        <is>
          <t>机器人：本体及应用</t>
        </is>
      </c>
      <c r="E63" s="4" t="inlineStr">
        <is>
          <t>纠错</t>
        </is>
      </c>
      <c r="F63" s="4" t="inlineStr">
        <is>
          <t>机器人</t>
        </is>
      </c>
      <c r="G63" s="4" t="inlineStr">
        <is>
          <t>自动化集成</t>
        </is>
      </c>
      <c r="H63" s="4" t="inlineStr">
        <is>
          <t>核心</t>
        </is>
      </c>
      <c r="I63" s="4" t="inlineStr">
        <is>
          <t>公司主营以自动化立体仓库为核心的智能物流系统研发、设计、制造与集成，交付堆垛机、穿梭车、输送分拣等系统，自动化集成属于明确主业。AGV子系统存在外购嵌入，不能据此写成自研机器人本体，故将本体及应用纠正为自动化集成，核心判词保持不变。</t>
        </is>
      </c>
      <c r="J63" s="4" t="inlineStr">
        <is>
          <t>北自科技：2025年年度报告摘要</t>
        </is>
      </c>
      <c r="K63" s="4" t="inlineStr">
        <is>
          <t>2026-04-02</t>
        </is>
      </c>
      <c r="L63" s="4" t="inlineStr">
        <is>
          <t>iFinD ifind_get_stock_info (as of 2026-10-27)；北自科技：2025年年度报告摘要</t>
        </is>
      </c>
      <c r="M63" s="5" t="inlineStr">
        <is>
          <t>http://static.cninfo.com.cn/finalpage/2026-04-02/1225072317.PDF</t>
        </is>
      </c>
    </row>
    <row r="64" ht="24" customHeight="1">
      <c r="B64" s="6" t="inlineStr">
        <is>
          <t>603119</t>
        </is>
      </c>
      <c r="C64" s="6" t="inlineStr">
        <is>
          <t>浙江荣泰</t>
        </is>
      </c>
      <c r="D64" s="6" t="inlineStr">
        <is>
          <t>机器人：结构件</t>
        </is>
      </c>
      <c r="E64" s="6" t="inlineStr">
        <is>
          <t>纠错</t>
        </is>
      </c>
      <c r="F64" s="6" t="inlineStr">
        <is>
          <t>机器人</t>
        </is>
      </c>
      <c r="G64" s="6" t="inlineStr">
        <is>
          <t>结构件</t>
        </is>
      </c>
      <c r="H64" s="6" t="inlineStr">
        <is>
          <t>相关</t>
        </is>
      </c>
      <c r="I64" s="6" t="inlineStr">
        <is>
          <t>公司2025年收购狄兹精密51%后，新增电机、直线驱动执行器、传动组件及配套精密结构件，可直接服务机器人传动和执行结构，机器人相关新增收入8967.45万元，已形成真实业务。该板块与云母绝缘材料主业并存，不再是材料能力的弱映射，故由边缘上调为相关。</t>
        </is>
      </c>
      <c r="J64" s="6" t="inlineStr">
        <is>
          <t>浙江荣泰：2025年年度报告</t>
        </is>
      </c>
      <c r="K64" s="6" t="inlineStr">
        <is>
          <t>2026-04-01</t>
        </is>
      </c>
      <c r="L64" s="6" t="inlineStr">
        <is>
          <t>iFinD ifind_get_stock_info (as of 2026-10-27)；浙江荣泰：2025年年度报告</t>
        </is>
      </c>
      <c r="M64" s="7" t="inlineStr">
        <is>
          <t>http://file.finance.sina.com.cn/211.154.219.97:9494/MRGG/CNSESH_STOCK/2026/2026-4/2026-04-01/12051277.PDF</t>
        </is>
      </c>
    </row>
    <row r="65" ht="24" customHeight="1">
      <c r="B65" s="4" t="inlineStr">
        <is>
          <t>603305</t>
        </is>
      </c>
      <c r="C65" s="4" t="inlineStr">
        <is>
          <t>旭升集团</t>
        </is>
      </c>
      <c r="D65" s="4" t="inlineStr">
        <is>
          <t>机器人：结构件</t>
        </is>
      </c>
      <c r="E65" s="4" t="inlineStr">
        <is>
          <t>纠错</t>
        </is>
      </c>
      <c r="F65" s="4" t="inlineStr">
        <is>
          <t>机器人</t>
        </is>
      </c>
      <c r="G65" s="4" t="inlineStr">
        <is>
          <t>结构件</t>
        </is>
      </c>
      <c r="H65" s="4" t="inlineStr">
        <is>
          <t>相关</t>
        </is>
      </c>
      <c r="I65" s="4" t="inlineStr">
        <is>
          <t>公司执行器壳体、躯干结构件和胸腔类零部件已完成开发，并在客户验证、样件交付和小批量生产方面取得进展，可直接用于机器人承载及执行器结构环节，不再只是研发预期。汽车轻量化仍为主业，机器人结构件仅一块业务，因此由边缘上调为相关而非核心。</t>
        </is>
      </c>
      <c r="J65" s="4" t="inlineStr">
        <is>
          <t>旭升集团：2025年年度报告</t>
        </is>
      </c>
      <c r="K65" s="4" t="inlineStr">
        <is>
          <t>2026-04-23</t>
        </is>
      </c>
      <c r="L65" s="4" t="inlineStr">
        <is>
          <t>iFinD ifind_get_stock_info (as of 2026-10-27)；旭升集团：2025年年度报告</t>
        </is>
      </c>
      <c r="M65" s="5" t="inlineStr">
        <is>
          <t>https://money.finance.sina.com.cn/corp/view/vCB_AllBulletinDetail.php?stockid=603305&amp;id=12142301</t>
        </is>
      </c>
    </row>
    <row r="66" ht="24" customHeight="1">
      <c r="B66" s="6" t="inlineStr">
        <is>
          <t>603350</t>
        </is>
      </c>
      <c r="C66" s="6" t="inlineStr">
        <is>
          <t>安乃达</t>
        </is>
      </c>
      <c r="D66" s="6" t="inlineStr">
        <is>
          <t>机器人：电机</t>
        </is>
      </c>
      <c r="E66" s="6" t="inlineStr">
        <is>
          <t>纠错</t>
        </is>
      </c>
      <c r="F66" s="6" t="inlineStr">
        <is>
          <t>机器人</t>
        </is>
      </c>
      <c r="G66" s="6" t="inlineStr">
        <is>
          <t>电机</t>
        </is>
      </c>
      <c r="H66" s="6" t="inlineStr">
        <is>
          <t>相关</t>
        </is>
      </c>
      <c r="I66" s="6" t="inlineStr">
        <is>
          <t>公司已为清洁、割草、扫雪和捡球等机器人提供定制电机及驱动系统，2026年重点拓展商用清洁机器人底盘电机，产品与机器人动力环节直接对应。1.26亿元为智能出行等全部新兴领域电机销售合计，并非机器人单项收入；公司亦明确暂无人形关节模组计划，因此由边缘升为相关，不列核心。</t>
        </is>
      </c>
      <c r="J66" s="6" t="inlineStr">
        <is>
          <t>安乃达2025年年度报告</t>
        </is>
      </c>
      <c r="K66" s="6" t="inlineStr">
        <is>
          <t>2026-04-10</t>
        </is>
      </c>
      <c r="L66" s="6" t="inlineStr">
        <is>
          <t>iFinD ifind_get_stock_info (as of 2026-10-27)；安乃达2025年年度报告</t>
        </is>
      </c>
      <c r="M66" s="7" t="inlineStr">
        <is>
          <t>https://money.finance.sina.com.cn/corp/view/vCB_AllBulletinDetail.php?stockid=603350&amp;id=12072828</t>
        </is>
      </c>
    </row>
    <row r="67" ht="24" customHeight="1">
      <c r="B67" s="4" t="inlineStr">
        <is>
          <t>603370</t>
        </is>
      </c>
      <c r="C67" s="4" t="inlineStr">
        <is>
          <t>华新精科</t>
        </is>
      </c>
      <c r="D67" s="4" t="inlineStr">
        <is>
          <t>机器人：精密铁芯</t>
        </is>
      </c>
      <c r="E67" s="4" t="inlineStr">
        <is>
          <t>保留</t>
        </is>
      </c>
      <c r="F67" s="4" t="inlineStr">
        <is>
          <t>机器人</t>
        </is>
      </c>
      <c r="G67" s="4" t="inlineStr">
        <is>
          <t>精密铁芯</t>
        </is>
      </c>
      <c r="H67" s="4" t="inlineStr">
        <is>
          <t>相关</t>
        </is>
      </c>
      <c r="I67" s="4" t="inlineStr">
        <is>
          <t>无框力矩电机和空心杯电机铁芯分别用于机器人关节与灵巧手，属于机器人执行器的真实核心部件。2026年上半年具身智能业务累计取得12个定点，但绝大多数仍处方案确认或试样阶段，尚未规模量产且收入贡献有限；机器人仅构成精密铁芯业务的一部分，故保留相关判词。</t>
        </is>
      </c>
      <c r="J67" s="4" t="inlineStr">
        <is>
          <t>华新精科2026年半年度报告</t>
        </is>
      </c>
      <c r="K67" s="4" t="inlineStr">
        <is>
          <t>2026-08-25</t>
        </is>
      </c>
      <c r="L67" s="4" t="inlineStr">
        <is>
          <t>iFinD ifind_get_stock_info (as of 2026-10-27)；华新精科2026年半年度报告</t>
        </is>
      </c>
      <c r="M67" s="5" t="inlineStr">
        <is>
          <t>http://money.finance.sina.com.cn/corp/view/vCB_AllBulletinDetail.php?stockid=603370&amp;id=12527932</t>
        </is>
      </c>
    </row>
    <row r="68" ht="24" customHeight="1">
      <c r="B68" s="6" t="inlineStr">
        <is>
          <t>603416</t>
        </is>
      </c>
      <c r="C68" s="6" t="inlineStr">
        <is>
          <t>信捷电气</t>
        </is>
      </c>
      <c r="D68" s="6" t="inlineStr">
        <is>
          <t>机器人：电机</t>
        </is>
      </c>
      <c r="E68" s="6" t="inlineStr">
        <is>
          <t>纠错</t>
        </is>
      </c>
      <c r="F68" s="6" t="inlineStr">
        <is>
          <t>机器人</t>
        </is>
      </c>
      <c r="G68" s="6" t="inlineStr">
        <is>
          <t>工业自动化</t>
        </is>
      </c>
      <c r="H68" s="6" t="inlineStr">
        <is>
          <t>相关</t>
        </is>
      </c>
      <c r="I68" s="6" t="inlineStr">
        <is>
          <t>PLC和伺服系统构成公司工控基本盘，SCARA、桌面及工业六轴机器人与机器视觉已形成独立机器人板块，2025年智能装备（机器人）收入0.68亿元，业务覆盖明显超过单一电机。人形无框、空心杯电机仍属拓展，普通PLC和伺服不能泛化为物理AI智能控制，故重分类为机器人工业自动化并维持相关。</t>
        </is>
      </c>
      <c r="J68" s="6" t="inlineStr">
        <is>
          <t>信捷电气2025年年度报告</t>
        </is>
      </c>
      <c r="K68" s="6" t="inlineStr">
        <is>
          <t>2026-04-17</t>
        </is>
      </c>
      <c r="L68" s="6" t="inlineStr">
        <is>
          <t>iFinD ifind_get_stock_info (as of 2026-10-27)；信捷电气2025年年度报告</t>
        </is>
      </c>
      <c r="M68" s="7" t="inlineStr">
        <is>
          <t>http://big5.sse.com.cn/site/cht/www.sse.com.cn/disclosure/listedinfo/announcement/c/new/2026-04-17/603416_20260417_1MLC.pdf</t>
        </is>
      </c>
    </row>
    <row r="69" ht="24" customHeight="1">
      <c r="B69" s="4" t="inlineStr">
        <is>
          <t>603667</t>
        </is>
      </c>
      <c r="C69" s="4" t="inlineStr">
        <is>
          <t>五洲新春</t>
        </is>
      </c>
      <c r="D69" s="4" t="inlineStr">
        <is>
          <t>机器人：丝杠</t>
        </is>
      </c>
      <c r="E69" s="4" t="inlineStr">
        <is>
          <t>纠错</t>
        </is>
      </c>
      <c r="F69" s="4" t="inlineStr">
        <is>
          <t>机器人</t>
        </is>
      </c>
      <c r="G69" s="4" t="inlineStr">
        <is>
          <t>丝杠</t>
        </is>
      </c>
      <c r="H69" s="4" t="inlineStr">
        <is>
          <t>相关</t>
        </is>
      </c>
      <c r="I69" s="4" t="inlineStr">
        <is>
          <t>行星滚柱、滚珠及微型丝杠已进入送样、客户验证和小批量供货阶段，属于机器人执行器的真实零部件业务；但公司基本盘仍为轴承、精密零部件、汽车安全及热管理产品。扩产规划不能等同现有收入，机器人丝杠尚未成为主营核心，因此保留丝杠标签并将判词由核心降为相关。</t>
        </is>
      </c>
      <c r="J69" s="4" t="inlineStr">
        <is>
          <t>五洲新春2025年年度报告摘要</t>
        </is>
      </c>
      <c r="K69" s="4" t="inlineStr">
        <is>
          <t>2026-04-28</t>
        </is>
      </c>
      <c r="L69" s="4" t="inlineStr">
        <is>
          <t>iFinD ifind_get_stock_info (as of 2026-10-27)；五洲新春2025年年度报告摘要</t>
        </is>
      </c>
      <c r="M69" s="5" t="inlineStr">
        <is>
          <t>https://static.cninfo.com.cn/finalpage/2026-04-28/1225214497.PDF</t>
        </is>
      </c>
    </row>
    <row r="70" ht="24" customHeight="1">
      <c r="B70" s="6" t="inlineStr">
        <is>
          <t>603728</t>
        </is>
      </c>
      <c r="C70" s="6" t="inlineStr">
        <is>
          <t>鸣志电器</t>
        </is>
      </c>
      <c r="D70" s="6" t="inlineStr">
        <is>
          <t>机器人：电机</t>
        </is>
      </c>
      <c r="E70" s="6" t="inlineStr">
        <is>
          <t>保留</t>
        </is>
      </c>
      <c r="F70" s="6" t="inlineStr">
        <is>
          <t>机器人</t>
        </is>
      </c>
      <c r="G70" s="6" t="inlineStr">
        <is>
          <t>电机</t>
        </is>
      </c>
      <c r="H70" s="6" t="inlineStr">
        <is>
          <t>核心</t>
        </is>
      </c>
      <c r="I70" s="6" t="inlineStr">
        <is>
          <t>控制电机及驱动系统是公司明确主营，2025年占收入83.02%；空心杯、无框、伺服电机及模组用于灵巧手、关节和轮式底盘，直接对应机器人动力执行环节并具备批量供货能力。2025年机器人应用收入同比增长22%，2026年上半年又同比约增58%，主营产品和商业化证据均支持核心判词。</t>
        </is>
      </c>
      <c r="J70" s="6" t="inlineStr">
        <is>
          <t>鸣志电器2025年年度报告</t>
        </is>
      </c>
      <c r="K70" s="6" t="inlineStr">
        <is>
          <t>2026-04-24</t>
        </is>
      </c>
      <c r="L70" s="6" t="inlineStr">
        <is>
          <t>iFinD ifind_get_stock_info (as of 2026-10-27)；鸣志电器2025年年度报告</t>
        </is>
      </c>
      <c r="M70" s="7" t="inlineStr">
        <is>
          <t>http://file.finance.sina.com.cn/211.154.219.97:9494/MRGG/CNSESH_STOCK/2026/2026-4/2026-04-25/12191548.PDF</t>
        </is>
      </c>
    </row>
    <row r="71" ht="24" customHeight="1">
      <c r="B71" s="4" t="inlineStr">
        <is>
          <t>603809</t>
        </is>
      </c>
      <c r="C71" s="4" t="inlineStr">
        <is>
          <t>豪能股份</t>
        </is>
      </c>
      <c r="D71" s="4" t="inlineStr">
        <is>
          <t>机器人：减速器</t>
        </is>
      </c>
      <c r="E71" s="4" t="inlineStr">
        <is>
          <t>纠错</t>
        </is>
      </c>
      <c r="F71" s="4" t="inlineStr">
        <is>
          <t>机器人</t>
        </is>
      </c>
      <c r="G71" s="4" t="inlineStr">
        <is>
          <t>减速器</t>
        </is>
      </c>
      <c r="H71" s="4" t="inlineStr">
        <is>
          <t>相关</t>
        </is>
      </c>
      <c r="I71" s="4" t="inlineStr">
        <is>
          <t>公司已推出高精密行星、摆线关节减速器系列，并推进关节总成及相应产线，产品与机器人关节直接对应，不再只是汽车差速器技术的间接想象。2026年上半年机器人产能和业务贡献仍较小，汽车零部件与航空业务仍占主导，因此由边缘升为相关，但尚不能列为核心。</t>
        </is>
      </c>
      <c r="J71" s="4" t="inlineStr">
        <is>
          <t>豪能股份2026年半年度报告</t>
        </is>
      </c>
      <c r="K71" s="4" t="inlineStr">
        <is>
          <t>2026-08-14</t>
        </is>
      </c>
      <c r="L71" s="4" t="inlineStr">
        <is>
          <t>iFinD ifind_get_stock_info (as of 2026-10-27)；豪能股份2026年半年度报告</t>
        </is>
      </c>
      <c r="M71" s="5" t="inlineStr">
        <is>
          <t>https://stockmc.xueqiu.com/202608/603809_20260815_9ZIF.pdf</t>
        </is>
      </c>
    </row>
    <row r="72" ht="24" customHeight="1">
      <c r="B72" s="6" t="inlineStr">
        <is>
          <t>603915</t>
        </is>
      </c>
      <c r="C72" s="6" t="inlineStr">
        <is>
          <t>国茂股份</t>
        </is>
      </c>
      <c r="D72" s="6" t="inlineStr">
        <is>
          <t>机器人：减速器</t>
        </is>
      </c>
      <c r="E72" s="6" t="inlineStr">
        <is>
          <t>纠错</t>
        </is>
      </c>
      <c r="F72" s="6" t="inlineStr">
        <is>
          <t>机器人</t>
        </is>
      </c>
      <c r="G72" s="6" t="inlineStr">
        <is>
          <t>减速器</t>
        </is>
      </c>
      <c r="H72" s="6" t="inlineStr">
        <is>
          <t>相关</t>
        </is>
      </c>
      <c r="I72" s="6" t="inlineStr">
        <is>
          <t>摩多利精密行星减速器已切入AGV和机器人应用，国茂精密谐波减速器亦与主机厂开展对接、试制和试机，存在真实产品及客户验证；但年报明确相关收入占比很小，通用工业减速机主营不能直接等同机器人核心业务，因此保留机器人减速器标签，将判词由核心降为相关。</t>
        </is>
      </c>
      <c r="J72" s="6" t="inlineStr">
        <is>
          <t>国茂股份2026年半年度报告</t>
        </is>
      </c>
      <c r="K72" s="6" t="inlineStr">
        <is>
          <t>2026-08-28</t>
        </is>
      </c>
      <c r="L72" s="6" t="inlineStr">
        <is>
          <t>iFinD ifind_get_stock_info (as of 2026-10-27)；国茂股份2026年半年度报告</t>
        </is>
      </c>
      <c r="M72" s="7" t="inlineStr">
        <is>
          <t>https://stockmc.xueqiu.com/202608/603915_20260828_KE0Z.pdf</t>
        </is>
      </c>
    </row>
    <row r="73" ht="24" customHeight="1">
      <c r="B73" s="4" t="inlineStr">
        <is>
          <t>603933</t>
        </is>
      </c>
      <c r="C73" s="4" t="inlineStr">
        <is>
          <t>睿能科技</t>
        </is>
      </c>
      <c r="D73" s="4" t="inlineStr">
        <is>
          <t>机器人：工业自动化</t>
        </is>
      </c>
      <c r="E73" s="4" t="inlineStr">
        <is>
          <t>保留</t>
        </is>
      </c>
      <c r="F73" s="4" t="inlineStr">
        <is>
          <t>机器人</t>
        </is>
      </c>
      <c r="G73" s="4" t="inlineStr">
        <is>
          <t>工业自动化</t>
        </is>
      </c>
      <c r="H73" s="4" t="inlineStr">
        <is>
          <t>相关</t>
        </is>
      </c>
      <c r="I73" s="4" t="inlineStr">
        <is>
          <t>横机、缝制专用控制系统以及PLC、伺服驱动、电机和IC分销均为真实工控业务，伺服产品可用于协作码垛等机器人环节，与机器人工业自动化直接相关。人形机器人无框电机仍在可靠性验证，普通PLC和伺服也不能泛化为物理AI智能控制，机器人仅属部分应用，故保留原标签及相关判词。</t>
        </is>
      </c>
      <c r="J73" s="4" t="inlineStr">
        <is>
          <t>睿能科技2025年年度报告摘要</t>
        </is>
      </c>
      <c r="K73" s="4" t="inlineStr">
        <is>
          <t>2026-04-29</t>
        </is>
      </c>
      <c r="L73" s="4" t="inlineStr">
        <is>
          <t>iFinD ifind_get_stock_info (as of 2026-10-27)；睿能科技2025年年度报告摘要</t>
        </is>
      </c>
      <c r="M73" s="5" t="inlineStr">
        <is>
          <t>http://file.finance.sina.com.cn/211.154.219.97:9494/MRGG/CNSESH_STOCK/2026/2026-4/2026-04-29/12247373.PDF</t>
        </is>
      </c>
    </row>
    <row r="74" ht="24" customHeight="1">
      <c r="B74" s="6" t="inlineStr">
        <is>
          <t>688017</t>
        </is>
      </c>
      <c r="C74" s="6" t="inlineStr">
        <is>
          <t>绿的谐波</t>
        </is>
      </c>
      <c r="D74" s="6" t="inlineStr">
        <is>
          <t>机器人：减速器</t>
        </is>
      </c>
      <c r="E74" s="6" t="inlineStr">
        <is>
          <t>保留</t>
        </is>
      </c>
      <c r="F74" s="6" t="inlineStr">
        <is>
          <t>机器人</t>
        </is>
      </c>
      <c r="G74" s="6" t="inlineStr">
        <is>
          <t>减速器</t>
        </is>
      </c>
      <c r="H74" s="6" t="inlineStr">
        <is>
          <t>核心</t>
        </is>
      </c>
      <c r="I74" s="6" t="inlineStr">
        <is>
          <t>谐波减速器是公司明确主营，2025年收入4.7649亿元，并已向国际头部机器人客户批量交付；同时布局关节模组、行星滚柱丝杠等执行硬件，与机器人核心传动及执行环节直接对应。产品收入、客户和批量交付证据均充分，故保留机器人减速器及核心判词，不因人形应用迁入物理AI。</t>
        </is>
      </c>
      <c r="J74" s="6" t="inlineStr">
        <is>
          <t>绿的谐波2025年年度报告</t>
        </is>
      </c>
      <c r="K74" s="6" t="inlineStr">
        <is>
          <t>2026-04-23</t>
        </is>
      </c>
      <c r="L74" s="6" t="inlineStr">
        <is>
          <t>iFinD ifind_get_stock_info (as of 2026-10-27)；绿的谐波2025年年度报告</t>
        </is>
      </c>
      <c r="M74" s="7" t="inlineStr">
        <is>
          <t>http://money.finance.sina.com.cn/corp/view/vCB_AllBulletinDetail.php?stockid=688017&amp;id=12146041</t>
        </is>
      </c>
    </row>
    <row r="75" ht="24" customHeight="1">
      <c r="B75" s="4" t="inlineStr">
        <is>
          <t>688028</t>
        </is>
      </c>
      <c r="C75" s="4" t="inlineStr">
        <is>
          <t>沃尔德</t>
        </is>
      </c>
      <c r="D75" s="4" t="inlineStr">
        <is>
          <t>机器人：加工刀具</t>
        </is>
      </c>
      <c r="E75" s="4" t="inlineStr">
        <is>
          <t>保留</t>
        </is>
      </c>
      <c r="F75" s="4" t="inlineStr">
        <is>
          <t>机器人</t>
        </is>
      </c>
      <c r="G75" s="4" t="inlineStr">
        <is>
          <t>加工刀具</t>
        </is>
      </c>
      <c r="H75" s="4" t="inlineStr">
        <is>
          <t>相关</t>
        </is>
      </c>
      <c r="I75" s="4" t="inlineStr">
        <is>
          <t>超硬刀具是公司主营，已开发行星滚柱丝杠的丝杆、滚柱、螺母旋铣刀具及RV减速器加工方案，2026年上半年继续拓展谐波减速齿和丝杠加工应用。产品直接服务机器人零部件制造，但并非机器人零部件或本体，且机器人应用仅是超硬刀具的一块下游业务，故保留加工刀具标签及相关判词。</t>
        </is>
      </c>
      <c r="J75" s="4" t="inlineStr">
        <is>
          <t>沃尔德2025年年度报告</t>
        </is>
      </c>
      <c r="K75" s="4" t="inlineStr">
        <is>
          <t>2026-04-10</t>
        </is>
      </c>
      <c r="L75" s="4" t="inlineStr">
        <is>
          <t>iFinD ifind_get_stock_info (as of 2026-10-27)；沃尔德2025年年度报告</t>
        </is>
      </c>
      <c r="M75" s="5" t="inlineStr">
        <is>
          <t>https://vip.stock.finance.sina.com.cn/corp/view/vCB_AllBulletinDetail.php?stockid=688028&amp;id=12072137</t>
        </is>
      </c>
    </row>
    <row r="76" ht="24" customHeight="1">
      <c r="B76" s="6" t="inlineStr">
        <is>
          <t>688160</t>
        </is>
      </c>
      <c r="C76" s="6" t="inlineStr">
        <is>
          <t>步科股份</t>
        </is>
      </c>
      <c r="D76" s="6" t="inlineStr">
        <is>
          <t>机器人：电机</t>
        </is>
      </c>
      <c r="E76" s="6" t="inlineStr">
        <is>
          <t>纠错</t>
        </is>
      </c>
      <c r="F76" s="6" t="inlineStr">
        <is>
          <t>机器人</t>
        </is>
      </c>
      <c r="G76" s="6" t="inlineStr">
        <is>
          <t>电机</t>
        </is>
      </c>
      <c r="H76" s="6" t="inlineStr">
        <is>
          <t>核心</t>
        </is>
      </c>
      <c r="I76" s="6" t="inlineStr">
        <is>
          <t>无框力矩电机、低压伺服、伺服轮及关节模组属于机器人动力执行硬件。2026年上半年机器人行业收入2.4338亿元，占营收54.36%，无框电机出货11.36万台，并向多家头部客户批量交付，机器人已成为主要收入应用，达到核心口径；其产品仍属执行硬件，不泛化为物理AI智能控制。</t>
        </is>
      </c>
      <c r="J76" s="6" t="inlineStr">
        <is>
          <t>步科股份2026年半年度报告</t>
        </is>
      </c>
      <c r="K76" s="6" t="inlineStr">
        <is>
          <t>2026-08-26</t>
        </is>
      </c>
      <c r="L76" s="6" t="inlineStr">
        <is>
          <t>iFinD ifind_get_stock_info (as of 2026-10-27)；步科股份2026年半年度报告</t>
        </is>
      </c>
      <c r="M76" s="7" t="inlineStr">
        <is>
          <t>https://money.finance.sina.com.cn/corp/view/vCB_AllBulletinDetail.php?stockid=688160&amp;id=12534794</t>
        </is>
      </c>
    </row>
    <row r="77" ht="24" customHeight="1">
      <c r="B77" s="4" t="inlineStr">
        <is>
          <t>688165</t>
        </is>
      </c>
      <c r="C77" s="4" t="inlineStr">
        <is>
          <t>埃夫特-U</t>
        </is>
      </c>
      <c r="D77" s="4" t="inlineStr">
        <is>
          <t>机器人：本体及应用</t>
        </is>
      </c>
      <c r="E77" s="4" t="inlineStr">
        <is>
          <t>保留</t>
        </is>
      </c>
      <c r="F77" s="4" t="inlineStr">
        <is>
          <t>机器人</t>
        </is>
      </c>
      <c r="G77" s="4" t="inlineStr">
        <is>
          <t>本体及应用</t>
        </is>
      </c>
      <c r="H77" s="4" t="inlineStr">
        <is>
          <t>核心</t>
        </is>
      </c>
      <c r="I77" s="4" t="inlineStr">
        <is>
          <t>公司主营工业机器人整机、核心零部件及系统集成，产品用于焊接、喷涂、搬运等工业环节并持续批量交付。2025年机器人整机收入63865.20万元、系统集成收入24682.50万元，整机是明确主营而非一般下游应用，故保留本体及应用并维持核心。</t>
        </is>
      </c>
      <c r="J77" s="4" t="inlineStr">
        <is>
          <t>埃夫特智能机器人股份有限公司2025年年度报告</t>
        </is>
      </c>
      <c r="K77" s="4" t="inlineStr">
        <is>
          <t>2026-04-15</t>
        </is>
      </c>
      <c r="L77" s="4" t="inlineStr">
        <is>
          <t>iFinD ifind_get_stock_info (as of 2026-10-27)；埃夫特智能机器人股份有限公司2025年年度报告</t>
        </is>
      </c>
      <c r="M77" s="5" t="inlineStr">
        <is>
          <t>https://download.efort.com.cn:20250/pdf/web/upload/2026/04/15/17762186097204jvj25.pdf</t>
        </is>
      </c>
    </row>
    <row r="78" ht="24" customHeight="1">
      <c r="B78" s="6" t="inlineStr">
        <is>
          <t>688218</t>
        </is>
      </c>
      <c r="C78" s="6" t="inlineStr">
        <is>
          <t>江苏北人</t>
        </is>
      </c>
      <c r="D78" s="6" t="inlineStr">
        <is>
          <t>机器人：本体及应用</t>
        </is>
      </c>
      <c r="E78" s="6" t="inlineStr">
        <is>
          <t>纠错</t>
        </is>
      </c>
      <c r="F78" s="6" t="inlineStr">
        <is>
          <t>机器人</t>
        </is>
      </c>
      <c r="G78" s="6" t="inlineStr">
        <is>
          <t>自动化集成</t>
        </is>
      </c>
      <c r="H78" s="6" t="inlineStr">
        <is>
          <t>核心</t>
        </is>
      </c>
      <c r="I78" s="6" t="inlineStr">
        <is>
          <t>公司按订单提供机器人焊接、装配产线及数字化车间，完成方案设计、集成、调试和验收交付，主业实质是自动化系统集成而非通用机器人本体制造。具身智能焊接机器人仅处小批量试用阶段，尚不改变主营结构，因此纠正概念但保留核心。</t>
        </is>
      </c>
      <c r="J78" s="6" t="inlineStr">
        <is>
          <t>江苏北人智能制造科技股份有限公司2025年年度报告摘要</t>
        </is>
      </c>
      <c r="K78" s="6" t="inlineStr">
        <is>
          <t>2026-04-29</t>
        </is>
      </c>
      <c r="L78" s="6" t="inlineStr">
        <is>
          <t>iFinD ifind_get_stock_info (as of 2026-10-27)；江苏北人智能制造科技股份有限公司2025年年度报告摘要</t>
        </is>
      </c>
      <c r="M78" s="7" t="inlineStr">
        <is>
          <t>https://pdf.dfcfw.com/pdf/H2_AN202604291821754989_1.pdf</t>
        </is>
      </c>
    </row>
    <row r="79" ht="24" customHeight="1">
      <c r="B79" s="4" t="inlineStr">
        <is>
          <t>688255</t>
        </is>
      </c>
      <c r="C79" s="4" t="inlineStr">
        <is>
          <t>凯尔达</t>
        </is>
      </c>
      <c r="D79" s="4" t="inlineStr">
        <is>
          <t>机器人：本体及应用</t>
        </is>
      </c>
      <c r="E79" s="4" t="inlineStr">
        <is>
          <t>保留</t>
        </is>
      </c>
      <c r="F79" s="4" t="inlineStr">
        <is>
          <t>机器人</t>
        </is>
      </c>
      <c r="G79" s="4" t="inlineStr">
        <is>
          <t>本体及应用</t>
        </is>
      </c>
      <c r="H79" s="4" t="inlineStr">
        <is>
          <t>核心</t>
        </is>
      </c>
      <c r="I79" s="4" t="inlineStr">
        <is>
          <t>公司以焊接机器人及工业焊接设备为主营，产品覆盖机器人整机、控制系统和配套焊接设备，直接用于工业焊接并已持续生产销售。2025年工业机器人业务收入4.62亿元、总销量4962台，其中自产1835台，机器人本体主营地位明确，故维持核心。</t>
        </is>
      </c>
      <c r="J79" s="4" t="inlineStr">
        <is>
          <t>凯尔达披露2025年报及2026年一季报</t>
        </is>
      </c>
      <c r="K79" s="4" t="inlineStr">
        <is>
          <t>2026-04-25</t>
        </is>
      </c>
      <c r="L79" s="4" t="inlineStr">
        <is>
          <t>iFinD ifind_get_stock_info (as of 2026-10-27)；凯尔达披露2025年报及2026年一季报</t>
        </is>
      </c>
      <c r="M79" s="5" t="inlineStr">
        <is>
          <t>https://jg-static.eeo.com.cn/article/info?id=e535e37376c4400391f9303a377ed2af&amp;channelUuid=</t>
        </is>
      </c>
    </row>
    <row r="80" ht="24" customHeight="1">
      <c r="B80" s="6" t="inlineStr">
        <is>
          <t>688306</t>
        </is>
      </c>
      <c r="C80" s="6" t="inlineStr">
        <is>
          <t>均普智能</t>
        </is>
      </c>
      <c r="D80" s="6" t="inlineStr">
        <is>
          <t>机器人：总成</t>
        </is>
      </c>
      <c r="E80" s="6" t="inlineStr">
        <is>
          <t>迁移</t>
        </is>
      </c>
      <c r="F80" s="6" t="inlineStr">
        <is>
          <t>机器人</t>
        </is>
      </c>
      <c r="G80" s="6" t="inlineStr">
        <is>
          <t>自动化集成</t>
        </is>
      </c>
      <c r="H80" s="6" t="inlineStr">
        <is>
          <t>核心</t>
        </is>
      </c>
      <c r="I80" s="6" t="inlineStr">
        <is>
          <t>公司已推出贾维斯2.0、精灵G2等具身机器人，2025年单列具身机器人制造收入10810657.63元，证明本体已有实际商业交付而非研发预期。但智能制造装备收入25.34亿元仍为主要收入来源，因此保留机器人自动化集成核心标签，同时新增物理AI具身本体相关，避免把全部装备收入视作具身收入。</t>
        </is>
      </c>
      <c r="J80" s="6" t="inlineStr">
        <is>
          <t>均普智能：2025年年度报告</t>
        </is>
      </c>
      <c r="K80" s="6" t="inlineStr">
        <is>
          <t>2026-04-18</t>
        </is>
      </c>
      <c r="L80" s="6" t="inlineStr">
        <is>
          <t>iFinD ifind_get_stock_info (as of 2026-10-27)；均普智能：2025年年度报告</t>
        </is>
      </c>
      <c r="M80" s="7" t="inlineStr">
        <is>
          <t>https://vip.stock.finance.sina.com.cn/corp/view/vCB_AllBulletinDetail.php?stockid=688306&amp;id=12111614</t>
        </is>
      </c>
    </row>
    <row r="81" ht="24" customHeight="1">
      <c r="B81" s="4" t="inlineStr">
        <is>
          <t>688320</t>
        </is>
      </c>
      <c r="C81" s="4" t="inlineStr">
        <is>
          <t>禾川科技</t>
        </is>
      </c>
      <c r="D81" s="4" t="inlineStr">
        <is>
          <t>机器人：电机</t>
        </is>
      </c>
      <c r="E81" s="4" t="inlineStr">
        <is>
          <t>保留</t>
        </is>
      </c>
      <c r="F81" s="4" t="inlineStr">
        <is>
          <t>机器人</t>
        </is>
      </c>
      <c r="G81" s="4" t="inlineStr">
        <is>
          <t>电机</t>
        </is>
      </c>
      <c r="H81" s="4" t="inlineStr">
        <is>
          <t>核心</t>
        </is>
      </c>
      <c r="I81" s="4" t="inlineStr">
        <is>
          <t>伺服驱动器、伺服电机和编码器构成公司核心产品，已用于机器人、机械手等运动控制环节，伺服业务占核心业务70%以上，主营产品和机器人直接应用均有明确依据。人形机器人关节等后续迭代不改变工业自动化与电机主业，故保留核心且不另贴物理AI。</t>
        </is>
      </c>
      <c r="J81" s="4" t="inlineStr">
        <is>
          <t>浙江禾川科技股份有限公司2025年年度报告摘要</t>
        </is>
      </c>
      <c r="K81" s="4" t="inlineStr">
        <is>
          <t>2026-04-29</t>
        </is>
      </c>
      <c r="L81" s="4" t="inlineStr">
        <is>
          <t>iFinD ifind_get_stock_info (as of 2026-10-27)；浙江禾川科技股份有限公司2025年年度报告摘要</t>
        </is>
      </c>
      <c r="M81" s="5" t="inlineStr">
        <is>
          <t>http://static.cninfo.com.cn/finalpage/2026-04-29/1225224811.PDF</t>
        </is>
      </c>
    </row>
    <row r="82" ht="24" customHeight="1">
      <c r="B82" s="6" t="inlineStr">
        <is>
          <t>688386</t>
        </is>
      </c>
      <c r="C82" s="6" t="inlineStr">
        <is>
          <t>泛亚微透</t>
        </is>
      </c>
      <c r="D82" s="6" t="inlineStr">
        <is>
          <t>机器人：其他；机器人：其他</t>
        </is>
      </c>
      <c r="E82" s="6" t="inlineStr">
        <is>
          <t>纠错</t>
        </is>
      </c>
      <c r="F82" s="6" t="inlineStr">
        <is>
          <t>机器人</t>
        </is>
      </c>
      <c r="G82" s="6" t="inlineStr">
        <is>
          <t>线缆</t>
        </is>
      </c>
      <c r="H82" s="6" t="inlineStr">
        <is>
          <t>相关</t>
        </is>
      </c>
      <c r="I82" s="6" t="inlineStr">
        <is>
          <t>高耐弯折机器人线缆已通过3500万次测试，2026年对北美头部人形机器人客户小批量供货，电子皮肤手套亦有交付或订单，具备直接产品和商业化证据。但具身方向2026年收入预计不超过1000万元，仍是材料主业外的一块业务，故去重并纠错为线缆相关。</t>
        </is>
      </c>
      <c r="J82" s="6" t="inlineStr">
        <is>
          <t>泛亚微透：高耐弯折线缆已对北美头部人形机器人客户小批量供货</t>
        </is>
      </c>
      <c r="K82" s="6" t="inlineStr">
        <is>
          <t>2026-09-28</t>
        </is>
      </c>
      <c r="L82" s="6" t="inlineStr">
        <is>
          <t>iFinD ifind_get_stock_info (as of 2026-10-27)；泛亚微透：高耐弯折线缆已对北美头部人形机器人客户小批量供货</t>
        </is>
      </c>
      <c r="M82" s="7" t="inlineStr">
        <is>
          <t>https://news.futunn.com/post/1000273492</t>
        </is>
      </c>
    </row>
    <row r="83" ht="24" customHeight="1">
      <c r="B83" s="4" t="inlineStr">
        <is>
          <t>688577</t>
        </is>
      </c>
      <c r="C83" s="4" t="inlineStr">
        <is>
          <t>浙海德曼</t>
        </is>
      </c>
      <c r="D83" s="4" t="inlineStr">
        <is>
          <t>机器人：丝杠设备</t>
        </is>
      </c>
      <c r="E83" s="4" t="inlineStr">
        <is>
          <t>保留</t>
        </is>
      </c>
      <c r="F83" s="4" t="inlineStr">
        <is>
          <t>机器人</t>
        </is>
      </c>
      <c r="G83" s="4" t="inlineStr">
        <is>
          <t>丝杠设备</t>
        </is>
      </c>
      <c r="H83" s="4" t="inlineStr">
        <is>
          <t>相关</t>
        </is>
      </c>
      <c r="I83" s="4" t="inlineStr">
        <is>
          <t>数控车床仍是公司主业，但已开发反式行星滚柱丝杠螺母以车代磨专机，公开现场展示硬车加工过程，并取得机器人OEM订单，具备专用装备和实际项目依据。机器人丝杠设备仅是机床业务的一块应用，尚未构成主营，故保留相关而非摘除或升级。</t>
        </is>
      </c>
      <c r="J83" s="4" t="inlineStr">
        <is>
          <t>浙江海德曼智能装备股份有限公司投资者关系活动记录表</t>
        </is>
      </c>
      <c r="K83" s="4" t="inlineStr">
        <is>
          <t>2025-12-29</t>
        </is>
      </c>
      <c r="L83" s="4" t="inlineStr">
        <is>
          <t>iFinD ifind_get_stock_info (as of 2026-10-27)；浙江海德曼智能装备股份有限公司投资者关系活动记录表</t>
        </is>
      </c>
      <c r="M83" s="5" t="inlineStr">
        <is>
          <t>http://dataclouds.cninfo.com.cn/shgonggao/investor/2025/20251229/7f354ac861244cf9aba3bef81e13fc5.PDF</t>
        </is>
      </c>
    </row>
    <row r="84" ht="24" customHeight="1">
      <c r="B84" s="6" t="inlineStr">
        <is>
          <t>688648</t>
        </is>
      </c>
      <c r="C84" s="6" t="inlineStr">
        <is>
          <t>中邮科技</t>
        </is>
      </c>
      <c r="D84" s="6" t="inlineStr">
        <is>
          <t>机器人：本体及应用；机器人：本体及应用</t>
        </is>
      </c>
      <c r="E84" s="6" t="inlineStr">
        <is>
          <t>纠错</t>
        </is>
      </c>
      <c r="F84" s="6" t="inlineStr">
        <is>
          <t>机器人</t>
        </is>
      </c>
      <c r="G84" s="6" t="inlineStr">
        <is>
          <t>物流系统</t>
        </is>
      </c>
      <c r="H84" s="6" t="inlineStr">
        <is>
          <t>核心</t>
        </is>
      </c>
      <c r="I84" s="6" t="inlineStr">
        <is>
          <t>公司交付智能分拣、传输、仓储系统及WMS、WCS软件，2025年智能物流系统收入11.28亿元，主营基础明确。机械臂自动供件样机正在推广，移动分拣车已投入运营，但业务实质是自动化物流系统而非通用具身本体，故去重并纠错为物流系统核心。</t>
        </is>
      </c>
      <c r="J84" s="6" t="inlineStr">
        <is>
          <t>中邮科技：2025年年度报告</t>
        </is>
      </c>
      <c r="K84" s="6" t="inlineStr">
        <is>
          <t>2026-04-29</t>
        </is>
      </c>
      <c r="L84" s="6" t="inlineStr">
        <is>
          <t>iFinD ifind_get_stock_info (as of 2026-10-27)；中邮科技：2025年年度报告</t>
        </is>
      </c>
      <c r="M84" s="7" t="inlineStr">
        <is>
          <t>https://vip.stock.finance.sina.com.cn/corp/view/vCB_AllBulletinDetail.php?stockid=688648&amp;id=12256472</t>
        </is>
      </c>
    </row>
    <row r="85" ht="24" customHeight="1">
      <c r="B85" s="4" t="inlineStr">
        <is>
          <t>688698</t>
        </is>
      </c>
      <c r="C85" s="4" t="inlineStr">
        <is>
          <t>伟创电气</t>
        </is>
      </c>
      <c r="D85" s="4" t="inlineStr">
        <is>
          <t>机器人：电机</t>
        </is>
      </c>
      <c r="E85" s="4" t="inlineStr">
        <is>
          <t>保留</t>
        </is>
      </c>
      <c r="F85" s="4" t="inlineStr">
        <is>
          <t>机器人</t>
        </is>
      </c>
      <c r="G85" s="4" t="inlineStr">
        <is>
          <t>电机</t>
        </is>
      </c>
      <c r="H85" s="4" t="inlineStr">
        <is>
          <t>相关</t>
        </is>
      </c>
      <c r="I85" s="4" t="inlineStr">
        <is>
          <t>变频器和通用伺服仍是公司基本盘，机器人方向已形成SD100、RB100、RB200、RB300驱动产品，以及空心杯、无框力矩电机和关节模组，具备直接产品基础。但机器人属于一核两新中的新业务板块，尚未成为主营，故保留电机相关且不因人形应用迁物理AI。</t>
        </is>
      </c>
      <c r="J85" s="4" t="inlineStr">
        <is>
          <t>苏州伟创电气科技股份有限公司2025年年度报告摘要</t>
        </is>
      </c>
      <c r="K85" s="4" t="inlineStr">
        <is>
          <t>2026-04-16</t>
        </is>
      </c>
      <c r="L85" s="4" t="inlineStr">
        <is>
          <t>iFinD ifind_get_stock_info (as of 2026-10-27)；苏州伟创电气科技股份有限公司2025年年度报告摘要</t>
        </is>
      </c>
      <c r="M85" s="5" t="inlineStr">
        <is>
          <t>https://static.cninfo.com.cn/finalpage/2026-04-16/1225107243.PDF</t>
        </is>
      </c>
    </row>
    <row r="86" ht="24" customHeight="1">
      <c r="B86" s="6" t="inlineStr">
        <is>
          <t>688722</t>
        </is>
      </c>
      <c r="C86" s="6" t="inlineStr">
        <is>
          <t>同益中</t>
        </is>
      </c>
      <c r="D86" s="6" t="inlineStr">
        <is>
          <t>机器人：腱绳材料</t>
        </is>
      </c>
      <c r="E86" s="6" t="inlineStr">
        <is>
          <t>纠错</t>
        </is>
      </c>
      <c r="F86" s="6" t="inlineStr">
        <is>
          <t>机器人</t>
        </is>
      </c>
      <c r="G86" s="6" t="inlineStr">
        <is>
          <t>腱绳材料</t>
        </is>
      </c>
      <c r="H86" s="6" t="inlineStr">
        <is>
          <t>相关</t>
        </is>
      </c>
      <c r="I86" s="6" t="inlineStr">
        <is>
          <t>超高分子量聚乙烯纤维及复合材料仍是公司主业，机器人方向已开发十余款腱绳，进入多家头部机器人企业供应商名录，并实现批量生产和小批量订单，已越过单纯研发预期。但腱绳尚属材料主业下的一块业务，不应列机器人核心，故降级为相关。</t>
        </is>
      </c>
      <c r="J86" s="6" t="inlineStr">
        <is>
          <t>同益中：2025年年度报告</t>
        </is>
      </c>
      <c r="K86" s="6" t="inlineStr">
        <is>
          <t>2026-03-31</t>
        </is>
      </c>
      <c r="L86" s="6" t="inlineStr">
        <is>
          <t>iFinD ifind_get_stock_info (as of 2026-10-27)；同益中：2025年年度报告</t>
        </is>
      </c>
      <c r="M86" s="7" t="inlineStr">
        <is>
          <t>http://money.finance.sina.com.cn/corp/view/vCB_AllBulletinDetail.php?stockid=688722&amp;id=12045183</t>
        </is>
      </c>
    </row>
    <row r="87" ht="24" customHeight="1">
      <c r="B87" s="4" t="inlineStr">
        <is>
          <t>920418</t>
        </is>
      </c>
      <c r="C87" s="4" t="inlineStr">
        <is>
          <t>苏轴股份</t>
        </is>
      </c>
      <c r="D87" s="4" t="inlineStr">
        <is>
          <t>机器人：轴承</t>
        </is>
      </c>
      <c r="E87" s="4" t="inlineStr">
        <is>
          <t>保留</t>
        </is>
      </c>
      <c r="F87" s="4" t="inlineStr">
        <is>
          <t>机器人</t>
        </is>
      </c>
      <c r="G87" s="4" t="inlineStr">
        <is>
          <t>轴承</t>
        </is>
      </c>
      <c r="H87" s="4" t="inlineStr">
        <is>
          <t>相关</t>
        </is>
      </c>
      <c r="I87" s="4" t="inlineStr">
        <is>
          <t>滚针轴承和滚动体是公司主营，机器人专用谐波减速器薄壁交叉滚子轴承已完成开发，RV减速机滚针保持架组件已小批供货，具备直接产品及交付证据。机器人专用轴承仍是整体轴承业务的一部分，尚未构成公司主业，因此保留轴承标签并维持相关。</t>
        </is>
      </c>
      <c r="J87" s="4" t="inlineStr">
        <is>
          <t>苏轴股份：2025年年度报告</t>
        </is>
      </c>
      <c r="K87" s="4" t="inlineStr">
        <is>
          <t>2026-04-07</t>
        </is>
      </c>
      <c r="L87" s="4" t="inlineStr">
        <is>
          <t>iFinD ifind_get_stock_info (as of 2026-10-27)；苏轴股份：2025年年度报告</t>
        </is>
      </c>
      <c r="M87" s="5" t="inlineStr">
        <is>
          <t>http://money.finance.sina.com.cn/corp/view/vCB_AllBulletinDetail.php?stockid=920418&amp;id=12066065</t>
        </is>
      </c>
    </row>
    <row r="88" ht="24" customHeight="1">
      <c r="B88" s="6" t="inlineStr">
        <is>
          <t>920593</t>
        </is>
      </c>
      <c r="C88" s="6" t="inlineStr">
        <is>
          <t>鼎智科技</t>
        </is>
      </c>
      <c r="D88" s="6" t="inlineStr">
        <is>
          <t>机器人：电机</t>
        </is>
      </c>
      <c r="E88" s="6" t="inlineStr">
        <is>
          <t>纠错</t>
        </is>
      </c>
      <c r="F88" s="6" t="inlineStr">
        <is>
          <t>机器人</t>
        </is>
      </c>
      <c r="G88" s="6" t="inlineStr">
        <is>
          <t>执行器</t>
        </is>
      </c>
      <c r="H88" s="6" t="inlineStr">
        <is>
          <t>核心</t>
        </is>
      </c>
      <c r="I88" s="6" t="inlineStr">
        <is>
          <t>线性执行器是公司第一大产品，2025年收入1.429亿元，用于精密直线运动和机器人执行环节，机器人项目正由样件逐步转入批量生产，直流电机及组件中的机器人单项收入增长687.23%。执行器比泛称电机更准确反映主营产品，故纠错概念并保留核心。</t>
        </is>
      </c>
      <c r="J88" s="6" t="inlineStr">
        <is>
          <t>鼎智科技：2025年年度报告</t>
        </is>
      </c>
      <c r="K88" s="6" t="inlineStr">
        <is>
          <t>2026-04-28</t>
        </is>
      </c>
      <c r="L88" s="6" t="inlineStr">
        <is>
          <t>iFinD ifind_get_stock_info (as of 2026-10-27)；鼎智科技：2025年年度报告</t>
        </is>
      </c>
      <c r="M88" s="7" t="inlineStr">
        <is>
          <t>http://money.finance.sina.com.cn/corp/view/vCB_AllBulletinDetail.php?stockid=920593&amp;id=12262335</t>
        </is>
      </c>
    </row>
    <row r="89" ht="24" customHeight="1">
      <c r="B89" s="4" t="inlineStr">
        <is>
          <t>920885</t>
        </is>
      </c>
      <c r="C89" s="4" t="inlineStr">
        <is>
          <t>星辰科技</t>
        </is>
      </c>
      <c r="D89" s="4" t="inlineStr">
        <is>
          <t>机器人：伺服系统</t>
        </is>
      </c>
      <c r="E89" s="4" t="inlineStr">
        <is>
          <t>保留</t>
        </is>
      </c>
      <c r="F89" s="4" t="inlineStr">
        <is>
          <t>机器人</t>
        </is>
      </c>
      <c r="G89" s="4" t="inlineStr">
        <is>
          <t>伺服系统</t>
        </is>
      </c>
      <c r="H89" s="4" t="inlineStr">
        <is>
          <t>相关</t>
        </is>
      </c>
      <c r="I89" s="4" t="inlineStr">
        <is>
          <t>随动控制总成、伺服驱动器和伺服电机是公司主营，产品覆盖军工、新能源和工业控制等运动控制场景，与机器人伺服系统存在直接产品关系。但特种机器人伺服电机仍处样机及研发应用阶段，机器人只是多个下游之一，故保留相关而不升级为核心。</t>
        </is>
      </c>
      <c r="J89" s="4" t="inlineStr">
        <is>
          <t>星辰科技：2025年年度报告</t>
        </is>
      </c>
      <c r="K89" s="4" t="inlineStr">
        <is>
          <t>2026-04-16</t>
        </is>
      </c>
      <c r="L89" s="4" t="inlineStr">
        <is>
          <t>iFinD ifind_get_stock_info (as of 2026-10-27)；星辰科技：2025年年度报告</t>
        </is>
      </c>
      <c r="M89" s="5" t="inlineStr">
        <is>
          <t>https://money.finance.sina.com.cn/corp/view/vCB_AllBulletinDetail.php?stockid=920885&amp;id=12101644</t>
        </is>
      </c>
    </row>
  </sheetData>
  <autoFilter ref="B4:M89"/>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8" customWidth="1" min="4" max="4"/>
    <col width="12" customWidth="1" min="5" max="5"/>
    <col width="16" customWidth="1" min="6" max="6"/>
    <col width="42"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物理AI · 感知、控制、训练与具身本体</t>
        </is>
      </c>
    </row>
    <row r="3">
      <c r="B3" s="2" t="inlineStr">
        <is>
          <t>统一具身本体/传感器口径；传统工业机器人收入不直接作为具身智能核心依据。</t>
        </is>
      </c>
    </row>
    <row r="4" ht="26" customHeight="1">
      <c r="B4" s="3" t="inlineStr">
        <is>
          <t>代码</t>
        </is>
      </c>
      <c r="C4" s="3" t="inlineStr">
        <is>
          <t>名称</t>
        </is>
      </c>
      <c r="D4" s="3" t="inlineStr">
        <is>
          <t>旧分类与概念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000810</t>
        </is>
      </c>
      <c r="C5" s="4" t="inlineStr">
        <is>
          <t>创维数字</t>
        </is>
      </c>
      <c r="D5" s="4" t="inlineStr">
        <is>
          <t>物理AI：物理AI_智能终端</t>
        </is>
      </c>
      <c r="E5" s="4" t="inlineStr">
        <is>
          <t>新增</t>
        </is>
      </c>
      <c r="F5" s="4" t="inlineStr">
        <is>
          <t>物理AI</t>
        </is>
      </c>
      <c r="G5" s="4" t="inlineStr">
        <is>
          <t>物理AI_智能终端、物理AI_数据采集</t>
        </is>
      </c>
      <c r="H5" s="4" t="inlineStr">
        <is>
          <t>相关</t>
        </is>
      </c>
      <c r="I5" s="4" t="inlineStr">
        <is>
          <t>机顶盒、XR、AI眼镜及网络摄像机属于已商业化智能终端；公司进一步推出EGO双目、六摄、九摄和腕部相机，利用空间定位、多摄像头协同及时间同步能力采集机器人训练所需第一视角数据，且相关产品已实现销售，因此保留终端并新增数据采集。</t>
        </is>
      </c>
      <c r="J5" s="4" t="inlineStr">
        <is>
          <t>创维数字：已推出具身智能数据采集相关产品并实现销售</t>
        </is>
      </c>
      <c r="K5" s="4" t="inlineStr">
        <is>
          <t>2026-10-23</t>
        </is>
      </c>
      <c r="L5" s="4" t="inlineStr">
        <is>
          <t>iFinD ifind_get_stock_info (as of 2026-10-27)；创维数字：已推出具身智能数据采集相关产品并实现销售</t>
        </is>
      </c>
      <c r="M5" s="5" t="inlineStr">
        <is>
          <t>https://finance.sina.com.cn/stock/relnews/dongmiqa/2026-10-23/doc-iniwfmnh8324070.shtml</t>
        </is>
      </c>
    </row>
    <row r="6" ht="24" customHeight="1">
      <c r="B6" s="6" t="inlineStr">
        <is>
          <t>002009</t>
        </is>
      </c>
      <c r="C6" s="6" t="inlineStr">
        <is>
          <t>天奇股份</t>
        </is>
      </c>
      <c r="D6" s="6" t="inlineStr">
        <is>
          <t>机器人：本体及应用；物理AI：物理AI_数据采集</t>
        </is>
      </c>
      <c r="E6" s="6" t="inlineStr">
        <is>
          <t>保留</t>
        </is>
      </c>
      <c r="F6" s="6" t="inlineStr">
        <is>
          <t>物理AI</t>
        </is>
      </c>
      <c r="G6" s="6" t="inlineStr">
        <is>
          <t>物理AI_数据采集</t>
        </is>
      </c>
      <c r="H6" s="6" t="inlineStr">
        <is>
          <t>相关</t>
        </is>
      </c>
      <c r="I6" s="6" t="inlineStr">
        <is>
          <t>智能自动化装备及机器人用于汽车制造等工业场景，构成机器人应用业务；具身智能板块建设工业数据采集与实训中心，采集多模态真机数据并开展模型训练，中心已正式投入运行。装备交付和训练数据服务均有实际项目支撑，故保留双分类并定相关。</t>
        </is>
      </c>
      <c r="J6" s="6" t="inlineStr">
        <is>
          <t>天奇自动化工程股份有限公司2025年年度报告摘要</t>
        </is>
      </c>
      <c r="K6" s="6" t="inlineStr">
        <is>
          <t>2026-04-28</t>
        </is>
      </c>
      <c r="L6" s="6" t="inlineStr">
        <is>
          <t>iFinD ifind_get_stock_info (as of 2026-10-27)；天奇自动化工程股份有限公司2025年年度报告摘要</t>
        </is>
      </c>
      <c r="M6" s="7" t="inlineStr">
        <is>
          <t>https://static.cninfo.com.cn/finalpage/2026-04-28/1225218333.PDF</t>
        </is>
      </c>
    </row>
    <row r="7" ht="24" customHeight="1">
      <c r="B7" s="4" t="inlineStr">
        <is>
          <t>002139</t>
        </is>
      </c>
      <c r="C7" s="4" t="inlineStr">
        <is>
          <t>拓邦股份</t>
        </is>
      </c>
      <c r="D7" s="4" t="inlineStr">
        <is>
          <t>机器人：电机</t>
        </is>
      </c>
      <c r="E7" s="4" t="inlineStr">
        <is>
          <t>迁移</t>
        </is>
      </c>
      <c r="F7" s="4" t="inlineStr">
        <is>
          <t>物理AI</t>
        </is>
      </c>
      <c r="G7" s="4" t="inlineStr">
        <is>
          <t>物理AI_智能控制</t>
        </is>
      </c>
      <c r="H7" s="4" t="inlineStr">
        <is>
          <t>相关</t>
        </is>
      </c>
      <c r="I7" s="4" t="inlineStr">
        <is>
          <t>智能控制器是核心主业，机器人方向已形成伺服驱动、电机和运动控制平台；空心杯电机及灵驱微擎用于灵巧手执行，并与国内头部客户形成量产订单意向。电机属于机器人硬件，驱动与运动控制直接承担动作决策执行，故保留电机并迁移新增物理AI智能控制。</t>
        </is>
      </c>
      <c r="J7" s="4" t="inlineStr">
        <is>
          <t>深圳拓邦股份有限公司投资者关系活动记录：空心杯电机及灵驱微擎量产订单意向</t>
        </is>
      </c>
      <c r="K7" s="4" t="inlineStr">
        <is>
          <t>2026-04-13</t>
        </is>
      </c>
      <c r="L7" s="4" t="inlineStr">
        <is>
          <t>iFinD ifind_get_stock_info (as of 2026-10-27)；深圳拓邦股份有限公司投资者关系活动记录：空心杯电机及灵驱微擎量产订单意向</t>
        </is>
      </c>
      <c r="M7" s="5" t="inlineStr">
        <is>
          <t>http://file.finance.sina.com.cn/cn/diaoyan/jgdy/2026/2026-04/2026-04-13/10177134_1.PDF</t>
        </is>
      </c>
    </row>
    <row r="8" ht="24" customHeight="1">
      <c r="B8" s="6" t="inlineStr">
        <is>
          <t>002354</t>
        </is>
      </c>
      <c r="C8" s="6" t="inlineStr">
        <is>
          <t>天娱数科</t>
        </is>
      </c>
      <c r="D8" s="6" t="inlineStr">
        <is>
          <t>物理AI：物理AI_数据采集</t>
        </is>
      </c>
      <c r="E8" s="6" t="inlineStr">
        <is>
          <t>保留</t>
        </is>
      </c>
      <c r="F8" s="6" t="inlineStr">
        <is>
          <t>物理AI</t>
        </is>
      </c>
      <c r="G8" s="6" t="inlineStr">
        <is>
          <t>物理AI_数据采集</t>
        </is>
      </c>
      <c r="H8" s="6" t="inlineStr">
        <is>
          <t>相关</t>
        </is>
      </c>
      <c r="I8" s="6" t="inlineStr">
        <is>
          <t>主营仍包括AI营销和应用分发，物理AI业务由Behavision平台承载，通过真实机器人操作与Isaac Sim仿真生成、优化3D及多模态具身数据，用于模型训练和测试；已形成机器人任务数据并完成多项数据资产登记，属于训练数据服务而非一般营销数据，故保留。</t>
        </is>
      </c>
      <c r="J8" s="6" t="inlineStr">
        <is>
          <t>天娱数科2025年年度报告</t>
        </is>
      </c>
      <c r="K8" s="6" t="inlineStr">
        <is>
          <t>2026-04-21</t>
        </is>
      </c>
      <c r="L8" s="6" t="inlineStr">
        <is>
          <t>iFinD ifind_get_stock_info (as of 2026-10-27)；天娱数科2025年年度报告</t>
        </is>
      </c>
      <c r="M8" s="7" t="inlineStr">
        <is>
          <t>https://money.finance.sina.com.cn/corp/view/vCB_AllBulletinDetail.php?stockid=002354&amp;id=12121578</t>
        </is>
      </c>
    </row>
    <row r="9" ht="24" customHeight="1">
      <c r="B9" s="4" t="inlineStr">
        <is>
          <t>002380</t>
        </is>
      </c>
      <c r="C9" s="4" t="inlineStr">
        <is>
          <t>科远智慧</t>
        </is>
      </c>
      <c r="D9" s="4" t="inlineStr">
        <is>
          <t>物理AI：物理AI_数据采集</t>
        </is>
      </c>
      <c r="E9" s="4" t="inlineStr">
        <is>
          <t>纠错</t>
        </is>
      </c>
      <c r="F9" s="4" t="inlineStr">
        <is>
          <t>物理AI</t>
        </is>
      </c>
      <c r="G9" s="4" t="inlineStr">
        <is>
          <t>物理AI_智能控制</t>
        </is>
      </c>
      <c r="H9" s="4" t="inlineStr">
        <is>
          <t>相关</t>
        </is>
      </c>
      <c r="I9" s="4" t="inlineStr">
        <is>
          <t>主营工业自动化、工业互联网和工业软件，NT6000 DCS及PLC承担现场数据采集和指令执行；公司进一步开发具身智能驱控一体化平台，以云边端协同进行分析决策并联动现场装备。与一般工业数据采集相比，智能驱控更能准确体现其物理AI直接关系，故纠错。</t>
        </is>
      </c>
      <c r="J9" s="4" t="inlineStr">
        <is>
          <t>南京科远智慧科技集团股份有限公司2025年年度报告</t>
        </is>
      </c>
      <c r="K9" s="4" t="inlineStr">
        <is>
          <t>2026-04-15</t>
        </is>
      </c>
      <c r="L9" s="4" t="inlineStr">
        <is>
          <t>iFinD ifind_get_stock_info (as of 2026-10-27)；南京科远智慧科技集团股份有限公司2025年年度报告</t>
        </is>
      </c>
      <c r="M9" s="5" t="inlineStr">
        <is>
          <t>https://static.cninfo.com.cn/finalpage/2026-04-15/1225103023.PDF</t>
        </is>
      </c>
    </row>
    <row r="10" ht="24" customHeight="1">
      <c r="B10" s="6" t="inlineStr">
        <is>
          <t>002527</t>
        </is>
      </c>
      <c r="C10" s="6" t="inlineStr">
        <is>
          <t>新时达</t>
        </is>
      </c>
      <c r="D10" s="6" t="inlineStr">
        <is>
          <t>机器人：本体及应用</t>
        </is>
      </c>
      <c r="E10" s="6" t="inlineStr">
        <is>
          <t>迁移</t>
        </is>
      </c>
      <c r="F10" s="6" t="inlineStr">
        <is>
          <t>物理AI</t>
        </is>
      </c>
      <c r="G10" s="6" t="inlineStr">
        <is>
          <t>物理AI_具身本体</t>
        </is>
      </c>
      <c r="H10" s="6" t="inlineStr">
        <is>
          <t>相关</t>
        </is>
      </c>
      <c r="I10" s="6" t="inlineStr">
        <is>
          <t>2025年机器人产品及系统收入8.495亿元、占24.03%，2026年上半年占24.31%，传统机器人业务仍有实质收入。SYNDA R1已具备自主导航、多模态感知，并能协同环境感知、任务决策与高精度运控，符合具身智能特征；但具身产品尚非收入主体，故保留传统机器人标签并新增物理AI具身本体，判相关。</t>
        </is>
      </c>
      <c r="J10" s="6" t="inlineStr">
        <is>
          <t>新时达：2026年半年度报告</t>
        </is>
      </c>
      <c r="K10" s="6" t="inlineStr">
        <is>
          <t>2026-08-28</t>
        </is>
      </c>
      <c r="L10" s="6" t="inlineStr">
        <is>
          <t>iFinD ifind_get_stock_info (as of 2026-10-27)；新时达：2026年半年度报告</t>
        </is>
      </c>
      <c r="M10" s="7" t="inlineStr">
        <is>
          <t>https://money.finance.sina.com.cn/corp/view/vCB_AllBulletinDetail.php?stockid=002527&amp;id=12558223</t>
        </is>
      </c>
    </row>
    <row r="11" ht="24" customHeight="1">
      <c r="B11" s="4" t="inlineStr">
        <is>
          <t>002681</t>
        </is>
      </c>
      <c r="C11" s="4" t="inlineStr">
        <is>
          <t>奋达科技</t>
        </is>
      </c>
      <c r="D11" s="4" t="inlineStr">
        <is>
          <t>机器人：本体及应用</t>
        </is>
      </c>
      <c r="E11" s="4" t="inlineStr">
        <is>
          <t>迁移</t>
        </is>
      </c>
      <c r="F11" s="4" t="inlineStr">
        <is>
          <t>物理AI</t>
        </is>
      </c>
      <c r="G11" s="4" t="inlineStr">
        <is>
          <t>物理AI_智能终端</t>
        </is>
      </c>
      <c r="H11" s="4" t="inlineStr">
        <is>
          <t>相关</t>
        </is>
      </c>
      <c r="I11" s="4" t="inlineStr">
        <is>
          <t>元萝卜棋类机器人持续出货，AI桌面机器人、萌宠陪伴产品及头部客户代工整机或模组已量产或小规模出货，具备明确智能终端产品和商业化交付。其定位是具备交互与智能功能的消费级终端，而非通用机器人本体；业务仍处开拓期，故迁入物理AI智能终端并判相关。</t>
        </is>
      </c>
      <c r="J11" s="4" t="inlineStr">
        <is>
          <t>奋达科技：2025年年度报告</t>
        </is>
      </c>
      <c r="K11" s="4" t="inlineStr">
        <is>
          <t>2026-04-29</t>
        </is>
      </c>
      <c r="L11" s="4" t="inlineStr">
        <is>
          <t>iFinD ifind_get_stock_info (as of 2026-10-27)；奋达科技：2025年年度报告</t>
        </is>
      </c>
      <c r="M11" s="5" t="inlineStr">
        <is>
          <t>https://vip.stock.finance.sina.com.cn/corp/view/vCB_AllBulletinDetail.php?stockid=002681&amp;id=12263747</t>
        </is>
      </c>
    </row>
    <row r="12" ht="24" customHeight="1">
      <c r="B12" s="6" t="inlineStr">
        <is>
          <t>002829</t>
        </is>
      </c>
      <c r="C12" s="6" t="inlineStr">
        <is>
          <t>星网宇达</t>
        </is>
      </c>
      <c r="D12" s="6" t="inlineStr">
        <is>
          <t>机器人：传感器</t>
        </is>
      </c>
      <c r="E12" s="6" t="inlineStr">
        <is>
          <t>迁移</t>
        </is>
      </c>
      <c r="F12" s="6" t="inlineStr">
        <is>
          <t>物理AI</t>
        </is>
      </c>
      <c r="G12" s="6" t="inlineStr">
        <is>
          <t>物理AI_传感器、物理AI_具身本体</t>
        </is>
      </c>
      <c r="H12" s="6" t="inlineStr">
        <is>
          <t>核心</t>
        </is>
      </c>
      <c r="I12" s="6" t="inlineStr">
        <is>
          <t>IMU、组合惯导和光电吊舱构成环境感知层，无人机、无人车、无人船构成自主执行系统；2025年信息感知与无人系统收入分别为1.191亿元、2.053亿元，合计约85.9%。无人车采用多传感融合并支持自主避障，产品体系、主营业务和收入均直接支撑物理AI核心定位。</t>
        </is>
      </c>
      <c r="J12" s="6" t="inlineStr">
        <is>
          <t>星网宇达：2025年年度报告摘要</t>
        </is>
      </c>
      <c r="K12" s="6" t="inlineStr">
        <is>
          <t>2026-04-24</t>
        </is>
      </c>
      <c r="L12" s="6" t="inlineStr">
        <is>
          <t>iFinD ifind_get_stock_info (as of 2026-10-27)；星网宇达：2025年年度报告摘要</t>
        </is>
      </c>
      <c r="M12" s="7" t="inlineStr">
        <is>
          <t>https://stock.stockstar.com/notice/SN2026042400006904.shtml</t>
        </is>
      </c>
    </row>
    <row r="13" ht="24" customHeight="1">
      <c r="B13" s="4" t="inlineStr">
        <is>
          <t>300007</t>
        </is>
      </c>
      <c r="C13" s="4" t="inlineStr">
        <is>
          <t>汉威科技</t>
        </is>
      </c>
      <c r="D13" s="4" t="inlineStr">
        <is>
          <t>机器人：传感器</t>
        </is>
      </c>
      <c r="E13" s="4" t="inlineStr">
        <is>
          <t>迁移</t>
        </is>
      </c>
      <c r="F13" s="4" t="inlineStr">
        <is>
          <t>物理AI</t>
        </is>
      </c>
      <c r="G13" s="4" t="inlineStr">
        <is>
          <t>物理AI_传感器</t>
        </is>
      </c>
      <c r="H13" s="4" t="inlineStr">
        <is>
          <t>相关</t>
        </is>
      </c>
      <c r="I13" s="4" t="inlineStr">
        <is>
          <t>苏州能斯达柔性触觉传感器、电子皮肤和指尖压力采集模块已于2025年小批量供货，自动化产线投入使用；IMU已送样并取得少量订单。产品直接承担机器人对压力、触觉及运动状态的物理环境感知，已有早期商业交付但规模有限，故迁入物理AI传感器并判相关。</t>
        </is>
      </c>
      <c r="J13" s="4" t="inlineStr">
        <is>
          <t>汉威科技集团股份有限公司2025年年度报告摘要</t>
        </is>
      </c>
      <c r="K13" s="4" t="inlineStr">
        <is>
          <t>2026-04-18</t>
        </is>
      </c>
      <c r="L13" s="4" t="inlineStr">
        <is>
          <t>iFinD ifind_get_stock_info (as of 2026-10-27)；汉威科技集团股份有限公司2025年年度报告摘要</t>
        </is>
      </c>
      <c r="M13" s="5" t="inlineStr">
        <is>
          <t>https://disc.static.szse.cn/disc/disk03/finalpage/2026-04-18/3267f777-2903-4324-beed-5b7b67bf01cf.PDF</t>
        </is>
      </c>
    </row>
    <row r="14" ht="24" customHeight="1">
      <c r="B14" s="6" t="inlineStr">
        <is>
          <t>300024</t>
        </is>
      </c>
      <c r="C14" s="6" t="inlineStr">
        <is>
          <t>机器人</t>
        </is>
      </c>
      <c r="D14" s="6" t="inlineStr">
        <is>
          <t>机器人：本体及应用</t>
        </is>
      </c>
      <c r="E14" s="6" t="inlineStr">
        <is>
          <t>迁移</t>
        </is>
      </c>
      <c r="F14" s="6" t="inlineStr">
        <is>
          <t>物理AI</t>
        </is>
      </c>
      <c r="G14" s="6" t="inlineStr">
        <is>
          <t>物理AI_具身本体</t>
        </is>
      </c>
      <c r="H14" s="6" t="inlineStr">
        <is>
          <t>相关</t>
        </is>
      </c>
      <c r="I14" s="6" t="inlineStr">
        <is>
          <t>传统工业机器人和自动化业务仍占主要位置，但公司已披露“松羿”轮式、“松行”双足及智能类人双臂平台；双臂平台具备自主环境感知与任务推理，轮式产品配置多模态传感，直接对应具身智能。2025年仍属前沿技术与成果储备，尚未形成主业收入，故保留传统机器人并新增物理AI具身本体，判相关。</t>
        </is>
      </c>
      <c r="J14" s="6" t="inlineStr">
        <is>
          <t>机器人：2025年年度报告</t>
        </is>
      </c>
      <c r="K14" s="6" t="inlineStr">
        <is>
          <t>2026-04-24</t>
        </is>
      </c>
      <c r="L14" s="6" t="inlineStr">
        <is>
          <t>iFinD ifind_get_stock_info (as of 2026-10-27)；机器人：2025年年度报告</t>
        </is>
      </c>
      <c r="M14" s="7" t="inlineStr">
        <is>
          <t>http://money.finance.sina.com.cn/corp/view/vCB_AllBulletinDetail.php?stockid=300024&amp;id=12171947</t>
        </is>
      </c>
    </row>
    <row r="15" ht="24" customHeight="1">
      <c r="B15" s="4" t="inlineStr">
        <is>
          <t>300296</t>
        </is>
      </c>
      <c r="C15" s="4" t="inlineStr">
        <is>
          <t>利亚德</t>
        </is>
      </c>
      <c r="D15" s="4" t="inlineStr">
        <is>
          <t>机器人：本体及应用</t>
        </is>
      </c>
      <c r="E15" s="4" t="inlineStr">
        <is>
          <t>迁移</t>
        </is>
      </c>
      <c r="F15" s="4" t="inlineStr">
        <is>
          <t>物理AI</t>
        </is>
      </c>
      <c r="G15" s="4" t="inlineStr">
        <is>
          <t>物理AI_动作捕捉</t>
        </is>
      </c>
      <c r="H15" s="4" t="inlineStr">
        <is>
          <t>相关</t>
        </is>
      </c>
      <c r="I15" s="4" t="inlineStr">
        <is>
          <t>NP及虚拟动点OptiTrack提供光学动作捕捉，并形成光学与无标记、光学与惯性方案及Lydia动作大模型，可用于机器人动作数据采集和训练，并非机器人本体。2025年AI与空间计算收入3.166亿元、占4.48%，已有真实商业收入但非主业，故迁至物理AI动作捕捉并判相关。</t>
        </is>
      </c>
      <c r="J15" s="4" t="inlineStr">
        <is>
          <t>利亚德：2025年年度报告</t>
        </is>
      </c>
      <c r="K15" s="4" t="inlineStr">
        <is>
          <t>2026-04-16</t>
        </is>
      </c>
      <c r="L15" s="4" t="inlineStr">
        <is>
          <t>iFinD ifind_get_stock_info (as of 2026-10-27)；利亚德：2025年年度报告</t>
        </is>
      </c>
      <c r="M15" s="5" t="inlineStr">
        <is>
          <t>https://vip.stock.finance.sina.com.cn/corp/view/vCB_AllBulletinDetail.php?stockid=300296&amp;id=12096411</t>
        </is>
      </c>
    </row>
    <row r="16" ht="24" customHeight="1">
      <c r="B16" s="6" t="inlineStr">
        <is>
          <t>300354</t>
        </is>
      </c>
      <c r="C16" s="6" t="inlineStr">
        <is>
          <t>东华测试</t>
        </is>
      </c>
      <c r="D16" s="6" t="inlineStr">
        <is>
          <t>机器人：传感器</t>
        </is>
      </c>
      <c r="E16" s="6" t="inlineStr">
        <is>
          <t>迁移</t>
        </is>
      </c>
      <c r="F16" s="6" t="inlineStr">
        <is>
          <t>物理AI</t>
        </is>
      </c>
      <c r="G16" s="6" t="inlineStr">
        <is>
          <t>物理AI_传感器</t>
        </is>
      </c>
      <c r="H16" s="6" t="inlineStr">
        <is>
          <t>相关</t>
        </is>
      </c>
      <c r="I16" s="6" t="inlineStr">
        <is>
          <t>公司主营结构力学测试系统，但已推出多维力/力矩及六维力传感器，可直接用于机器人腕、踝和末端执行器的力觉反馈，属于真实感知硬件而非测试设备的间接映射；2025年仍处小批量试制，尚未证明规模量产，且机器人业务仅为一项新业务，故迁移后定相关。</t>
        </is>
      </c>
      <c r="J16" s="6" t="inlineStr">
        <is>
          <t>东华测试披露2025年及2026年一季报，人形机器人领域布局获关注</t>
        </is>
      </c>
      <c r="K16" s="6" t="inlineStr">
        <is>
          <t>2026-04-26</t>
        </is>
      </c>
      <c r="L16" s="6" t="inlineStr">
        <is>
          <t>iFinD ifind_get_stock_info (as of 2026-10-27)；东华测试披露2025年及2026年一季报，人形机器人领域布局获关注</t>
        </is>
      </c>
      <c r="M16" s="7" t="inlineStr">
        <is>
          <t>https://jg-static.eeo.com.cn/article/info?id=577643148ae64809a5bf515868f90225&amp;channelUuid=undefined</t>
        </is>
      </c>
    </row>
    <row r="17" ht="24" customHeight="1">
      <c r="B17" s="4" t="inlineStr">
        <is>
          <t>300607</t>
        </is>
      </c>
      <c r="C17" s="4" t="inlineStr">
        <is>
          <t>拓斯达</t>
        </is>
      </c>
      <c r="D17" s="4" t="inlineStr">
        <is>
          <t>机器人：本体及应用</t>
        </is>
      </c>
      <c r="E17" s="4" t="inlineStr">
        <is>
          <t>迁移</t>
        </is>
      </c>
      <c r="F17" s="4" t="inlineStr">
        <is>
          <t>物理AI</t>
        </is>
      </c>
      <c r="G17" s="4" t="inlineStr">
        <is>
          <t>物理AI_具身本体</t>
        </is>
      </c>
      <c r="H17" s="4" t="inlineStr">
        <is>
          <t>相关</t>
        </is>
      </c>
      <c r="I17" s="4" t="inlineStr">
        <is>
          <t>公司机器人及智能装备属于明确主营，2025年机器人产品出货约1.2万台，并已推出“小拓”人形机器人、“星仔”四足机器人及X5感算控平台，面向自主巡检和工业自主作业；产品具备环境感知、决策控制与本体执行闭环，且已有规模出货基础。保留传统机器人本体核心，同时新增物理AI具身本体相关，避免把传统工业机器人收入直接当作具身收入。</t>
        </is>
      </c>
      <c r="J17" s="4" t="inlineStr">
        <is>
          <t>拓斯达：2025年年度报告</t>
        </is>
      </c>
      <c r="K17" s="4" t="inlineStr">
        <is>
          <t>2026-03-31</t>
        </is>
      </c>
      <c r="L17" s="4" t="inlineStr">
        <is>
          <t>iFinD ifind_get_stock_info (as of 2026-10-27)；拓斯达：2025年年度报告</t>
        </is>
      </c>
      <c r="M17" s="5" t="inlineStr">
        <is>
          <t>https://money.finance.sina.com.cn/corp/view/vCB_AllBulletinDetail.php?stockid=300607&amp;id=12043515</t>
        </is>
      </c>
    </row>
    <row r="18" ht="24" customHeight="1">
      <c r="B18" s="6" t="inlineStr">
        <is>
          <t>300853</t>
        </is>
      </c>
      <c r="C18" s="6" t="inlineStr">
        <is>
          <t>申昊科技</t>
        </is>
      </c>
      <c r="D18" s="6" t="inlineStr">
        <is>
          <t>机器人：本体及应用</t>
        </is>
      </c>
      <c r="E18" s="6" t="inlineStr">
        <is>
          <t>迁移</t>
        </is>
      </c>
      <c r="F18" s="6" t="inlineStr">
        <is>
          <t>物理AI</t>
        </is>
      </c>
      <c r="G18" s="6" t="inlineStr">
        <is>
          <t>物理AI_具身本体</t>
        </is>
      </c>
      <c r="H18" s="6" t="inlineStr">
        <is>
          <t>核心</t>
        </is>
      </c>
      <c r="I18" s="6" t="inlineStr">
        <is>
          <t>公司主营轮式、四足、防爆和挂轨等巡检机器人，直接服务电力等场景的自主巡检，具备自主导航、多传感融合、图像识别、异常评估和主动预警能力，部分产品已于2025年进入交付阶段；产品形成感知、决策到执行闭环，且机器人属于明确主营，符合具身本体核心定义。</t>
        </is>
      </c>
      <c r="J18" s="6" t="inlineStr">
        <is>
          <t>申昊科技：2025年年度报告</t>
        </is>
      </c>
      <c r="K18" s="6" t="inlineStr">
        <is>
          <t>2026-04-29</t>
        </is>
      </c>
      <c r="L18" s="6" t="inlineStr">
        <is>
          <t>iFinD ifind_get_stock_info (as of 2026-10-27)；申昊科技：2025年年度报告</t>
        </is>
      </c>
      <c r="M18" s="7" t="inlineStr">
        <is>
          <t>https://money.finance.sina.com.cn/corp/view/vCB_AllBulletinDetail.php?stockid=300853&amp;id=12265726</t>
        </is>
      </c>
    </row>
    <row r="19" ht="24" customHeight="1">
      <c r="B19" s="4" t="inlineStr">
        <is>
          <t>301413</t>
        </is>
      </c>
      <c r="C19" s="4" t="inlineStr">
        <is>
          <t>安培龙</t>
        </is>
      </c>
      <c r="D19" s="4" t="inlineStr">
        <is>
          <t>机器人：传感器</t>
        </is>
      </c>
      <c r="E19" s="4" t="inlineStr">
        <is>
          <t>迁移</t>
        </is>
      </c>
      <c r="F19" s="4" t="inlineStr">
        <is>
          <t>物理AI</t>
        </is>
      </c>
      <c r="G19" s="4" t="inlineStr">
        <is>
          <t>物理AI_传感器</t>
        </is>
      </c>
      <c r="H19" s="4" t="inlineStr">
        <is>
          <t>相关</t>
        </is>
      </c>
      <c r="I19" s="4" t="inlineStr">
        <is>
          <t>公司主营热敏电阻及温度、压力、氧、力等传感器，其中六维力、力矩和拉压力传感器可直接用于机器人末端力觉、关节扭矩及拉压测量。2026年半年报明确机器人力传感器已批量交付，具备真实商业交付；但机器人仅是传感器主业中的新兴应用，尚未成为公司主体，故迁入物理AI传感器并维持相关。</t>
        </is>
      </c>
      <c r="J19" s="4" t="inlineStr">
        <is>
          <t>安培龙：2026年半年度报告</t>
        </is>
      </c>
      <c r="K19" s="4" t="inlineStr">
        <is>
          <t>2026-10-23</t>
        </is>
      </c>
      <c r="L19" s="4" t="inlineStr">
        <is>
          <t>iFinD ifind_get_stock_info (as of 2026-10-27)；安培龙：2026年半年度报告</t>
        </is>
      </c>
      <c r="M19" s="5" t="inlineStr">
        <is>
          <t>https://vip.stock.finance.sina.com.cn/corp/view/vCB_AllBulletinDetail.php?gather=1&amp;id=12555790</t>
        </is>
      </c>
    </row>
    <row r="20" ht="24" customHeight="1">
      <c r="B20" s="6" t="inlineStr">
        <is>
          <t>301510</t>
        </is>
      </c>
      <c r="C20" s="6" t="inlineStr">
        <is>
          <t>固高科技</t>
        </is>
      </c>
      <c r="D20" s="6" t="inlineStr">
        <is>
          <t>机器人：控制器</t>
        </is>
      </c>
      <c r="E20" s="6" t="inlineStr">
        <is>
          <t>迁移</t>
        </is>
      </c>
      <c r="F20" s="6" t="inlineStr">
        <is>
          <t>物理AI</t>
        </is>
      </c>
      <c r="G20" s="6" t="inlineStr">
        <is>
          <t>物理AI_智能控制</t>
        </is>
      </c>
      <c r="H20" s="6" t="inlineStr">
        <is>
          <t>核心</t>
        </is>
      </c>
      <c r="I20" s="6" t="inlineStr">
        <is>
          <t>公司主营运动控制核心部件及系统，运动控制器、伺服驱动器、编码器与多维感知产品构成控制—驱动—感知体系，3D相机可服务机器人轨迹生成，直接对应物理设备实时控制。2025年运动控制核心部件和系统收入合计占86.01%，属于明确主营，因此由机器人控制器迁入物理AI智能控制并保留核心。</t>
        </is>
      </c>
      <c r="J20" s="6" t="inlineStr">
        <is>
          <t>固高科技：2025年年度报告</t>
        </is>
      </c>
      <c r="K20" s="6" t="inlineStr">
        <is>
          <t>2026-04-29</t>
        </is>
      </c>
      <c r="L20" s="6" t="inlineStr">
        <is>
          <t>iFinD ifind_get_stock_info (as of 2026-10-27)；固高科技：2025年年度报告</t>
        </is>
      </c>
      <c r="M20" s="7" t="inlineStr">
        <is>
          <t>http://money.finance.sina.com.cn/corp/view/vCB_AllBulletinDetail.php?stockid=301510&amp;id=12295985</t>
        </is>
      </c>
    </row>
    <row r="21" ht="24" customHeight="1">
      <c r="B21" s="4" t="inlineStr">
        <is>
          <t>600480</t>
        </is>
      </c>
      <c r="C21" s="4" t="inlineStr">
        <is>
          <t>凌云股份</t>
        </is>
      </c>
      <c r="D21" s="4" t="inlineStr">
        <is>
          <t>机器人：传感器</t>
        </is>
      </c>
      <c r="E21" s="4" t="inlineStr">
        <is>
          <t>迁移</t>
        </is>
      </c>
      <c r="F21" s="4" t="inlineStr">
        <is>
          <t>物理AI</t>
        </is>
      </c>
      <c r="G21" s="4" t="inlineStr">
        <is>
          <t>物理AI_传感器</t>
        </is>
      </c>
      <c r="H21" s="4" t="inlineStr">
        <is>
          <t>相关</t>
        </is>
      </c>
      <c r="I21" s="4" t="inlineStr">
        <is>
          <t>公司拉压力、扭矩传感器已获得多个小批量订单并交付，六维力传感器完成设计和送样，可直接覆盖机器人关节扭矩及力觉感知，已有真实订单支撑。汽车零部件仍占公司主体，机器人力传感器属于新业务板块，因此迁入物理AI传感器并由边缘上调为相关，不按整个公司判核心。</t>
        </is>
      </c>
      <c r="J21" s="4" t="inlineStr">
        <is>
          <t>凌云股份2025年度暨2026年一季度业绩说明材料</t>
        </is>
      </c>
      <c r="K21" s="4" t="inlineStr">
        <is>
          <t>2026-05-14</t>
        </is>
      </c>
      <c r="L21" s="4" t="inlineStr">
        <is>
          <t>iFinD ifind_get_stock_info (as of 2026-10-27)；凌云股份2025年度暨2026年一季度业绩说明材料</t>
        </is>
      </c>
      <c r="M21" s="5" t="inlineStr">
        <is>
          <t>https://stockmc.xueqiu.com/202605/600480_20260514_XYKO.pdf</t>
        </is>
      </c>
    </row>
    <row r="22" ht="24" customHeight="1">
      <c r="B22" s="6" t="inlineStr">
        <is>
          <t>600699</t>
        </is>
      </c>
      <c r="C22" s="6" t="inlineStr">
        <is>
          <t>均胜电子</t>
        </is>
      </c>
      <c r="D22" s="6" t="inlineStr">
        <is>
          <t>机器人：控制器</t>
        </is>
      </c>
      <c r="E22" s="6" t="inlineStr">
        <is>
          <t>迁移</t>
        </is>
      </c>
      <c r="F22" s="6" t="inlineStr">
        <is>
          <t>物理AI</t>
        </is>
      </c>
      <c r="G22" s="6" t="inlineStr">
        <is>
          <t>物理AI_智能控制</t>
        </is>
      </c>
      <c r="H22" s="6" t="inlineStr">
        <is>
          <t>相关</t>
        </is>
      </c>
      <c r="I22" s="6" t="inlineStr">
        <is>
          <t>公司2025年设立全资具身机器人子公司，推出融合大小脑、供电和散热的全域控制器胸腔及底盘总成，后续大脑控制器已向头部客户规模化量产供货，旧无实质机器人业务判断已过时。产品直接承担具身设备智能控制，但汽车电子与安全仍占绝对主体，故迁入物理AI智能控制并判相关。</t>
        </is>
      </c>
      <c r="J22" s="6" t="inlineStr">
        <is>
          <t>均胜电子：2025年年度报告</t>
        </is>
      </c>
      <c r="K22" s="6" t="inlineStr">
        <is>
          <t>2026-03-31</t>
        </is>
      </c>
      <c r="L22" s="6" t="inlineStr">
        <is>
          <t>iFinD ifind_get_stock_info (as of 2026-10-27)；均胜电子：2025年年度报告</t>
        </is>
      </c>
      <c r="M22" s="7" t="inlineStr">
        <is>
          <t>https://money.finance.sina.com.cn/corp/view/vCB_AllBulletinDetail.php?stockid=600699&amp;id=12040243</t>
        </is>
      </c>
    </row>
    <row r="23" ht="24" customHeight="1">
      <c r="B23" s="4" t="inlineStr">
        <is>
          <t>603236</t>
        </is>
      </c>
      <c r="C23" s="4" t="inlineStr">
        <is>
          <t>移远通信</t>
        </is>
      </c>
      <c r="D23" s="4" t="inlineStr">
        <is>
          <t>机器人：其他</t>
        </is>
      </c>
      <c r="E23" s="4" t="inlineStr">
        <is>
          <t>迁移</t>
        </is>
      </c>
      <c r="F23" s="4" t="inlineStr">
        <is>
          <t>物理AI</t>
        </is>
      </c>
      <c r="G23" s="4" t="inlineStr">
        <is>
          <t>物理AI_通信模组</t>
        </is>
      </c>
      <c r="H23" s="4" t="inlineStr">
        <is>
          <t>核心</t>
        </is>
      </c>
      <c r="I23" s="4" t="inlineStr">
        <is>
          <t>公司主营蜂窝、车载、智能及边缘计算、短距、GNSS和卫星模组，可直接承担机器人连接、定位与端侧计算；2026年半年报又披露Q-Robotbox、AI算力模组及机器人方案。迁移依据是通信模组这一明确主营，而非人形机器人概念映射，故归入物理AI通信模组并升为核心。</t>
        </is>
      </c>
      <c r="J23" s="4" t="inlineStr">
        <is>
          <t>移远通信：2026年半年度报告</t>
        </is>
      </c>
      <c r="K23" s="4" t="inlineStr">
        <is>
          <t>2026-08-13</t>
        </is>
      </c>
      <c r="L23" s="4" t="inlineStr">
        <is>
          <t>iFinD ifind_get_stock_info (as of 2026-10-27)；移远通信：2026年半年度报告</t>
        </is>
      </c>
      <c r="M23" s="5" t="inlineStr">
        <is>
          <t>http://money.finance.sina.com.cn/corp/view/vCB_AllBulletinDetail.php?stockid=603236&amp;id=12490083</t>
        </is>
      </c>
    </row>
    <row r="24" ht="24" customHeight="1">
      <c r="B24" s="6" t="inlineStr">
        <is>
          <t>603286</t>
        </is>
      </c>
      <c r="C24" s="6" t="inlineStr">
        <is>
          <t>日盈电子</t>
        </is>
      </c>
      <c r="D24" s="6" t="inlineStr">
        <is>
          <t>机器人：零部件</t>
        </is>
      </c>
      <c r="E24" s="6" t="inlineStr">
        <is>
          <t>迁移</t>
        </is>
      </c>
      <c r="F24" s="6" t="inlineStr">
        <is>
          <t>物理AI</t>
        </is>
      </c>
      <c r="G24" s="6" t="inlineStr">
        <is>
          <t>物理AI_传感器</t>
        </is>
      </c>
      <c r="H24" s="6" t="inlineStr">
        <is>
          <t>相关</t>
        </is>
      </c>
      <c r="I24" s="6" t="inlineStr">
        <is>
          <t>公司由汽车传感器延伸至压阻式电子皮肤，指尖样品集成压力和温度触点，已向国内外头部人形机器人客户送样。2026年7月公告产品处于客户端验证及小批量试制阶段，项目已有不足1万元收入，满足真实产品和项目口径；但收入极小且汽车零部件仍为主业，故迁入物理AI传感器并维持相关。</t>
        </is>
      </c>
      <c r="J24" s="6" t="inlineStr">
        <is>
          <t>日盈电子：股票交易异常波动公告</t>
        </is>
      </c>
      <c r="K24" s="6" t="inlineStr">
        <is>
          <t>2026-07-04</t>
        </is>
      </c>
      <c r="L24" s="6" t="inlineStr">
        <is>
          <t>iFinD ifind_get_stock_info (as of 2026-10-27)；日盈电子：股票交易异常波动公告</t>
        </is>
      </c>
      <c r="M24" s="7" t="inlineStr">
        <is>
          <t>http://file.finance.sina.com.cn/211.154.219.97:9494/MRGG/CNSESH_STOCK/2026/2026-7/2026-07-04/12430620.PDF</t>
        </is>
      </c>
    </row>
    <row r="25" ht="24" customHeight="1">
      <c r="B25" s="4" t="inlineStr">
        <is>
          <t>603337</t>
        </is>
      </c>
      <c r="C25" s="4" t="inlineStr">
        <is>
          <t>杰克科技</t>
        </is>
      </c>
      <c r="D25" s="4" t="inlineStr">
        <is>
          <t>机器人：本体及应用</t>
        </is>
      </c>
      <c r="E25" s="4" t="inlineStr">
        <is>
          <t>迁移</t>
        </is>
      </c>
      <c r="F25" s="4" t="inlineStr">
        <is>
          <t>物理AI</t>
        </is>
      </c>
      <c r="G25" s="4" t="inlineStr">
        <is>
          <t>物理AI_具身本体</t>
        </is>
      </c>
      <c r="H25" s="4" t="inlineStr">
        <is>
          <t>相关</t>
        </is>
      </c>
      <c r="I25" s="4" t="inlineStr">
        <is>
          <t>缝制设备仍为公司主营；艾图人形机器人已有原型，并针对服装厂裁片分离、抓取、摆放和对齐开展联合创新，与具身作业直接相关。2026年半年报仍预计2026年10月上市，尚不能认定已量产，且该业务尚未取代缝制设备主业，故由边缘调整为相关并迁入物理AI具身本体。</t>
        </is>
      </c>
      <c r="J25" s="4" t="inlineStr">
        <is>
          <t>杰克科技2026年半年度报告</t>
        </is>
      </c>
      <c r="K25" s="4" t="inlineStr">
        <is>
          <t>2026-08-25</t>
        </is>
      </c>
      <c r="L25" s="4" t="inlineStr">
        <is>
          <t>iFinD ifind_get_stock_info (as of 2026-10-27)；杰克科技2026年半年度报告</t>
        </is>
      </c>
      <c r="M25" s="5" t="inlineStr">
        <is>
          <t>https://vip.stock.finance.sina.com.cn/corp/view/vCB_AllBulletinDetail.php?stockid=603337&amp;id=12524777</t>
        </is>
      </c>
    </row>
    <row r="26" ht="24" customHeight="1">
      <c r="B26" s="6" t="inlineStr">
        <is>
          <t>603341</t>
        </is>
      </c>
      <c r="C26" s="6" t="inlineStr">
        <is>
          <t>龙旗科技</t>
        </is>
      </c>
      <c r="D26" s="6" t="inlineStr">
        <is>
          <t>物理AI：物理AI_智能终端</t>
        </is>
      </c>
      <c r="E26" s="6" t="inlineStr">
        <is>
          <t>纠错</t>
        </is>
      </c>
      <c r="F26" s="6" t="inlineStr">
        <is>
          <t>物理AI</t>
        </is>
      </c>
      <c r="G26" s="6" t="inlineStr">
        <is>
          <t>物理AI_智能终端</t>
        </is>
      </c>
      <c r="H26" s="6" t="inlineStr">
        <is>
          <t>核心</t>
        </is>
      </c>
      <c r="I26" s="6" t="inlineStr">
        <is>
          <t>智能手机、平板电脑和AIoT产品均为公司明确的ODM主营业务，智能终端与现有产品体系直接对应。2025年AIoT收入78.69亿元，智能眼镜已实现多品类规模量产，不属于研发预期或附属概念，足以支撑核心判词；该结论仅强化物理AI智能终端标签，不据此增加机器人概念。</t>
        </is>
      </c>
      <c r="J26" s="6" t="inlineStr">
        <is>
          <t>龙旗科技2025年年度报告</t>
        </is>
      </c>
      <c r="K26" s="6" t="inlineStr">
        <is>
          <t>2026-03-31</t>
        </is>
      </c>
      <c r="L26" s="6" t="inlineStr">
        <is>
          <t>iFinD ifind_get_stock_info (as of 2026-10-27)；龙旗科技2025年年度报告</t>
        </is>
      </c>
      <c r="M26" s="7" t="inlineStr">
        <is>
          <t>http://money.finance.sina.com.cn/corp/view/vCB_AllBulletinDetail.php?stockid=603341&amp;id=12043474</t>
        </is>
      </c>
    </row>
    <row r="27" ht="24" customHeight="1">
      <c r="B27" s="4" t="inlineStr">
        <is>
          <t>603528</t>
        </is>
      </c>
      <c r="C27" s="4" t="inlineStr">
        <is>
          <t>多伦科技</t>
        </is>
      </c>
      <c r="D27" s="4" t="inlineStr">
        <is>
          <t>机器人：本体及应用</t>
        </is>
      </c>
      <c r="E27" s="4" t="inlineStr">
        <is>
          <t>迁移</t>
        </is>
      </c>
      <c r="F27" s="4" t="inlineStr">
        <is>
          <t>物理AI</t>
        </is>
      </c>
      <c r="G27" s="4" t="inlineStr">
        <is>
          <t>物理AI_具身本体</t>
        </is>
      </c>
      <c r="H27" s="4" t="inlineStr">
        <is>
          <t>相关</t>
        </is>
      </c>
      <c r="I27" s="4" t="inlineStr">
        <is>
          <t>公司2026年控股65%设立江苏擎安，与众擎围绕交管、巡逻和导览场景开展机器人本体二次开发，并已有具身机器人销售、租赁以及咖啡、捡球机器人订单，与具身整机业务直接相关。机动车查验机器人仍为样机测试，且机器人尚非公司整体主营，因此迁入物理AI具身本体并定为相关。</t>
        </is>
      </c>
      <c r="J27" s="4" t="inlineStr">
        <is>
          <t>多伦科技2026年半年度报告</t>
        </is>
      </c>
      <c r="K27" s="4" t="inlineStr">
        <is>
          <t>2026-08-26</t>
        </is>
      </c>
      <c r="L27" s="4" t="inlineStr">
        <is>
          <t>iFinD ifind_get_stock_info (as of 2026-10-27)；多伦科技2026年半年度报告</t>
        </is>
      </c>
      <c r="M27" s="5" t="inlineStr">
        <is>
          <t>https://money.finance.sina.com.cn/corp/view/vCB_AllBulletinDetail.php?id=12533007&amp;stockid=603528</t>
        </is>
      </c>
    </row>
    <row r="28" ht="24" customHeight="1">
      <c r="B28" s="6" t="inlineStr">
        <is>
          <t>603657</t>
        </is>
      </c>
      <c r="C28" s="6" t="inlineStr">
        <is>
          <t>春光科技</t>
        </is>
      </c>
      <c r="D28" s="6" t="inlineStr">
        <is>
          <t>机器人：本体及应用；机器人：本体及应用</t>
        </is>
      </c>
      <c r="E28" s="6" t="inlineStr">
        <is>
          <t>迁移</t>
        </is>
      </c>
      <c r="F28" s="6" t="inlineStr">
        <is>
          <t>物理AI</t>
        </is>
      </c>
      <c r="G28" s="6" t="inlineStr">
        <is>
          <t>物理AI_具身本体</t>
        </is>
      </c>
      <c r="H28" s="6" t="inlineStr">
        <is>
          <t>相关</t>
        </is>
      </c>
      <c r="I28" s="6" t="inlineStr">
        <is>
          <t>清洁电器及其零部件仍是公司主营，但已取得乐享科技W1、M1机器人OEM/ODM订单，金额4326.28万元，属于家庭具身机器人的真实代工业务，并非无依据新增概念。订单证明其进入整机制造交付环节，但尚不足以构成主营核心，故去除重复标签后迁入物理AI具身本体并定为相关。</t>
        </is>
      </c>
      <c r="J28" s="6" t="inlineStr">
        <is>
          <t>春光科技：获乐享科技4326万元机器人产品采购订单</t>
        </is>
      </c>
      <c r="K28" s="6" t="inlineStr">
        <is>
          <t>2025-12-24</t>
        </is>
      </c>
      <c r="L28" s="6" t="inlineStr">
        <is>
          <t>iFinD ifind_get_stock_info (as of 2026-10-27)；春光科技：获乐享科技4326万元机器人产品采购订单</t>
        </is>
      </c>
      <c r="M28" s="7" t="inlineStr">
        <is>
          <t>https://finance.eastmoney.com/a/202512243600853667.html</t>
        </is>
      </c>
    </row>
    <row r="29" ht="24" customHeight="1">
      <c r="B29" s="4" t="inlineStr">
        <is>
          <t>603662</t>
        </is>
      </c>
      <c r="C29" s="4" t="inlineStr">
        <is>
          <t>柯力传感</t>
        </is>
      </c>
      <c r="D29" s="4" t="inlineStr">
        <is>
          <t>机器人：传感器</t>
        </is>
      </c>
      <c r="E29" s="4" t="inlineStr">
        <is>
          <t>迁移</t>
        </is>
      </c>
      <c r="F29" s="4" t="inlineStr">
        <is>
          <t>物理AI</t>
        </is>
      </c>
      <c r="G29" s="4" t="inlineStr">
        <is>
          <t>物理AI_传感器</t>
        </is>
      </c>
      <c r="H29" s="4" t="inlineStr">
        <is>
          <t>相关</t>
        </is>
      </c>
      <c r="I29" s="4" t="inlineStr">
        <is>
          <t>六维力/力矩及关节力矩传感器承担机器人力觉感知，与物理AI感知层直接对应。2025年机器人力学传感器销量超过1500只、送样超过70家，已有实际交付，但仍处小批量向批量供应过渡；称重、多物理量传感及物联网才是主营基本盘，机器人业务尚非核心收入来源，故迁移并由核心降为相关。</t>
        </is>
      </c>
      <c r="J29" s="4" t="inlineStr">
        <is>
          <t>关于2025年度暨2026年第一季度业绩说明会召开情况的公告</t>
        </is>
      </c>
      <c r="K29" s="4" t="inlineStr">
        <is>
          <t>2026-05-30</t>
        </is>
      </c>
      <c r="L29" s="4" t="inlineStr">
        <is>
          <t>iFinD ifind_get_stock_info (as of 2026-10-27)；关于2025年度暨2026年第一季度业绩说明会召开情况的公告</t>
        </is>
      </c>
      <c r="M29" s="5" t="inlineStr">
        <is>
          <t>http://file.finance.sina.com.cn/211.154.219.97:9494/MRGG/CNSESH_STOCK/2026/2026-5/2026-05-30/12362018.PDF</t>
        </is>
      </c>
    </row>
    <row r="30" ht="24" customHeight="1">
      <c r="B30" s="6" t="inlineStr">
        <is>
          <t>603666</t>
        </is>
      </c>
      <c r="C30" s="6" t="inlineStr">
        <is>
          <t>亿嘉和</t>
        </is>
      </c>
      <c r="D30" s="6" t="inlineStr">
        <is>
          <t>机器人：本体及应用</t>
        </is>
      </c>
      <c r="E30" s="6" t="inlineStr">
        <is>
          <t>迁移</t>
        </is>
      </c>
      <c r="F30" s="6" t="inlineStr">
        <is>
          <t>物理AI</t>
        </is>
      </c>
      <c r="G30" s="6" t="inlineStr">
        <is>
          <t>物理AI_具身本体</t>
        </is>
      </c>
      <c r="H30" s="6" t="inlineStr">
        <is>
          <t>核心</t>
        </is>
      </c>
      <c r="I30" s="6" t="inlineStr">
        <is>
          <t>巡检、操作、四足和商用清洁机器人是公司明确主营，具备自主导航、多模态感知、识别诊断及自动作业能力，与物理AI具身本体直接对应。带电作业机器人已在多省批量部署，商用清洁机器人已交付20多个国家，2025年机器人产品收入3.191亿元，产品、商业化和收入证据均支持核心判词。</t>
        </is>
      </c>
      <c r="J30" s="6" t="inlineStr">
        <is>
          <t>亿嘉和2025年年度报告</t>
        </is>
      </c>
      <c r="K30" s="6" t="inlineStr">
        <is>
          <t>2026-04-29</t>
        </is>
      </c>
      <c r="L30" s="6" t="inlineStr">
        <is>
          <t>iFinD ifind_get_stock_info (as of 2026-10-27)；亿嘉和2025年年度报告</t>
        </is>
      </c>
      <c r="M30" s="7" t="inlineStr">
        <is>
          <t>https://money.finance.sina.com.cn/corp/view/vCB_AllBulletinDetail.php?stockid=603666&amp;id=12254585</t>
        </is>
      </c>
    </row>
    <row r="31" ht="24" customHeight="1">
      <c r="B31" s="4" t="inlineStr">
        <is>
          <t>603901</t>
        </is>
      </c>
      <c r="C31" s="4" t="inlineStr">
        <is>
          <t>永创智能</t>
        </is>
      </c>
      <c r="D31" s="4" t="inlineStr">
        <is>
          <t>机器人：本体及应用</t>
        </is>
      </c>
      <c r="E31" s="4" t="inlineStr">
        <is>
          <t>迁移</t>
        </is>
      </c>
      <c r="F31" s="4" t="inlineStr">
        <is>
          <t>物理AI</t>
        </is>
      </c>
      <c r="G31" s="4" t="inlineStr">
        <is>
          <t>物理AI_具身本体</t>
        </is>
      </c>
      <c r="H31" s="4" t="inlineStr">
        <is>
          <t>相关</t>
        </is>
      </c>
      <c r="I31" s="4" t="inlineStr">
        <is>
          <t>协作、搬运机器人已嵌入既有包装设备业务；2025年轮式人形机器人和无人巡逻车完成设计定型并取得首批小批量订单，产品已超出传统自动化产线，直接对应自主移动具身本体。包装设备仍是主营，新具身产品仅处小批量订单阶段，故迁入物理AI具身本体并维持相关。</t>
        </is>
      </c>
      <c r="J31" s="4" t="inlineStr">
        <is>
          <t>永创智能2025年年度报告</t>
        </is>
      </c>
      <c r="K31" s="4" t="inlineStr">
        <is>
          <t>2026-04-23</t>
        </is>
      </c>
      <c r="L31" s="4" t="inlineStr">
        <is>
          <t>iFinD ifind_get_stock_info (as of 2026-10-27)；永创智能2025年年度报告</t>
        </is>
      </c>
      <c r="M31" s="5" t="inlineStr">
        <is>
          <t>http://money.finance.sina.com.cn/corp/view/vCB_AllBulletinDetail.php?stockid=603901&amp;id=12144951</t>
        </is>
      </c>
    </row>
    <row r="32" ht="24" customHeight="1">
      <c r="B32" s="6" t="inlineStr">
        <is>
          <t>605488</t>
        </is>
      </c>
      <c r="C32" s="6" t="inlineStr">
        <is>
          <t>福莱新材</t>
        </is>
      </c>
      <c r="D32" s="6" t="inlineStr">
        <is>
          <t>机器人：传感器；物理AI：物理AI_传感器</t>
        </is>
      </c>
      <c r="E32" s="6" t="inlineStr">
        <is>
          <t>迁移</t>
        </is>
      </c>
      <c r="F32" s="6" t="inlineStr">
        <is>
          <t>物理AI</t>
        </is>
      </c>
      <c r="G32" s="6" t="inlineStr">
        <is>
          <t>物理AI_传感器</t>
        </is>
      </c>
      <c r="H32" s="6" t="inlineStr">
        <is>
          <t>相关</t>
        </is>
      </c>
      <c r="I32" s="6" t="inlineStr">
        <is>
          <t>压阻式电子皮肤可实现力、温度、材质和纹理等多模态触觉感知，已建设量产线并批量供货，与物理AI触觉感知直接对应。相关收入占比仍小，功能性涂布复合材料才是主营基本盘，因此不列核心；原机器人传感器与物理AI传感器重复，合并后仅保留物理AI传感器并维持相关。</t>
        </is>
      </c>
      <c r="J32" s="6" t="inlineStr">
        <is>
          <t>福莱新材2025年年度报告</t>
        </is>
      </c>
      <c r="K32" s="6" t="inlineStr">
        <is>
          <t>2026-04-28</t>
        </is>
      </c>
      <c r="L32" s="6" t="inlineStr">
        <is>
          <t>iFinD ifind_get_stock_info (as of 2026-10-27)；福莱新材2025年年度报告</t>
        </is>
      </c>
      <c r="M32" s="7" t="inlineStr">
        <is>
          <t>http://money.finance.sina.com.cn/corp/view/vCB_AllBulletinDetail.php?stockid=605488&amp;id=12210056</t>
        </is>
      </c>
    </row>
    <row r="33" ht="24" customHeight="1">
      <c r="B33" s="4" t="inlineStr">
        <is>
          <t>688071</t>
        </is>
      </c>
      <c r="C33" s="4" t="inlineStr">
        <is>
          <t>华依科技</t>
        </is>
      </c>
      <c r="D33" s="4" t="inlineStr">
        <is>
          <t>机器人：传感器</t>
        </is>
      </c>
      <c r="E33" s="4" t="inlineStr">
        <is>
          <t>迁移</t>
        </is>
      </c>
      <c r="F33" s="4" t="inlineStr">
        <is>
          <t>物理AI</t>
        </is>
      </c>
      <c r="G33" s="4" t="inlineStr">
        <is>
          <t>物理AI_传感器</t>
        </is>
      </c>
      <c r="H33" s="4" t="inlineStr">
        <is>
          <t>相关</t>
        </is>
      </c>
      <c r="I33" s="4" t="inlineStr">
        <is>
          <t>ARU8010人形机器人专用姿态传感器及IMU用于重心姿态感知和运动控制，已取得订单并小批量供货，直接对应物理AI本体状态感知，不再只是研发预期。汽车测试设备和智能驾驶业务仍为公司主营，机器人传感器尚未形成核心收入贡献，因此由边缘升为相关并迁入物理AI传感器。</t>
        </is>
      </c>
      <c r="J33" s="4" t="inlineStr">
        <is>
          <t>华依科技2025年年度报告</t>
        </is>
      </c>
      <c r="K33" s="4" t="inlineStr">
        <is>
          <t>2026-04-20</t>
        </is>
      </c>
      <c r="L33" s="4" t="inlineStr">
        <is>
          <t>iFinD ifind_get_stock_info (as of 2026-10-27)；华依科技2025年年度报告</t>
        </is>
      </c>
      <c r="M33" s="5" t="inlineStr">
        <is>
          <t>http://static.cninfo.com.cn/finalpage/2026-04-20/1225123825.PDF</t>
        </is>
      </c>
    </row>
    <row r="34" ht="24" customHeight="1">
      <c r="B34" s="6" t="inlineStr">
        <is>
          <t>688286</t>
        </is>
      </c>
      <c r="C34" s="6" t="inlineStr">
        <is>
          <t>敏芯股份</t>
        </is>
      </c>
      <c r="D34" s="6" t="inlineStr">
        <is>
          <t>机器人：传感器</t>
        </is>
      </c>
      <c r="E34" s="6" t="inlineStr">
        <is>
          <t>迁移</t>
        </is>
      </c>
      <c r="F34" s="6" t="inlineStr">
        <is>
          <t>物理AI</t>
        </is>
      </c>
      <c r="G34" s="6" t="inlineStr">
        <is>
          <t>物理AI_传感器</t>
        </is>
      </c>
      <c r="H34" s="6" t="inlineStr">
        <is>
          <t>核心</t>
        </is>
      </c>
      <c r="I34" s="6" t="inlineStr">
        <is>
          <t>MEMS声学、压力和惯性传感器是公司明确主营并已批量销售，可直接承担声音、压力、姿态等物理环境感知，符合物理AI传感器定义。机器人六维力传感器和机器人IMU仍在研发，迁移依据是既有感知产品主业而非机器人业务已放量，故升为核心。</t>
        </is>
      </c>
      <c r="J34" s="6" t="inlineStr">
        <is>
          <t>苏州敏芯微电子技术股份有限公司2025年年度报告</t>
        </is>
      </c>
      <c r="K34" s="6" t="inlineStr">
        <is>
          <t>2026-04-29</t>
        </is>
      </c>
      <c r="L34" s="6" t="inlineStr">
        <is>
          <t>iFinD ifind_get_stock_info (as of 2026-10-27)；苏州敏芯微电子技术股份有限公司2025年年度报告</t>
        </is>
      </c>
      <c r="M34" s="7" t="inlineStr">
        <is>
          <t>http://file.finance.sina.com.cn/211.154.219.97:9494/MRGG/CNSESH_STOCK/2026/2026-4/2026-04-29/12262600.PDF</t>
        </is>
      </c>
    </row>
    <row r="35" ht="24" customHeight="1">
      <c r="B35" s="4" t="inlineStr">
        <is>
          <t>688306</t>
        </is>
      </c>
      <c r="C35" s="4" t="inlineStr">
        <is>
          <t>均普智能</t>
        </is>
      </c>
      <c r="D35" s="4" t="inlineStr">
        <is>
          <t>机器人：总成</t>
        </is>
      </c>
      <c r="E35" s="4" t="inlineStr">
        <is>
          <t>迁移</t>
        </is>
      </c>
      <c r="F35" s="4" t="inlineStr">
        <is>
          <t>物理AI</t>
        </is>
      </c>
      <c r="G35" s="4" t="inlineStr">
        <is>
          <t>物理AI_具身本体</t>
        </is>
      </c>
      <c r="H35" s="4" t="inlineStr">
        <is>
          <t>相关</t>
        </is>
      </c>
      <c r="I35" s="4" t="inlineStr">
        <is>
          <t>公司已推出贾维斯2.0、精灵G2等具身机器人，2025年单列具身机器人制造收入10810657.63元，证明本体已有实际商业交付而非研发预期。但智能制造装备收入25.34亿元仍为主要收入来源，因此保留机器人自动化集成核心标签，同时新增物理AI具身本体相关，避免把全部装备收入视作具身收入。</t>
        </is>
      </c>
      <c r="J35" s="4" t="inlineStr">
        <is>
          <t>均普智能：2025年年度报告</t>
        </is>
      </c>
      <c r="K35" s="4" t="inlineStr">
        <is>
          <t>2026-04-18</t>
        </is>
      </c>
      <c r="L35" s="4" t="inlineStr">
        <is>
          <t>iFinD ifind_get_stock_info (as of 2026-10-27)；均普智能：2025年年度报告</t>
        </is>
      </c>
      <c r="M35" s="5" t="inlineStr">
        <is>
          <t>https://vip.stock.finance.sina.com.cn/corp/view/vCB_AllBulletinDetail.php?stockid=688306&amp;id=12111614</t>
        </is>
      </c>
    </row>
    <row r="36" ht="24" customHeight="1">
      <c r="B36" s="6" t="inlineStr">
        <is>
          <t>688322</t>
        </is>
      </c>
      <c r="C36" s="6" t="inlineStr">
        <is>
          <t>奥比中光-W</t>
        </is>
      </c>
      <c r="D36" s="6" t="inlineStr">
        <is>
          <t>机器人：视觉</t>
        </is>
      </c>
      <c r="E36" s="6" t="inlineStr">
        <is>
          <t>迁移</t>
        </is>
      </c>
      <c r="F36" s="6" t="inlineStr">
        <is>
          <t>物理AI</t>
        </is>
      </c>
      <c r="G36" s="6" t="inlineStr">
        <is>
          <t>物理AI_机器视觉</t>
        </is>
      </c>
      <c r="H36" s="6" t="inlineStr">
        <is>
          <t>核心</t>
        </is>
      </c>
      <c r="I36" s="6" t="inlineStr">
        <is>
          <t>Gemini、Femto等3D视觉相机是公司核心产品，可为机器人提供识别、定位、避障及路径规划所需空间感知，已与智元、天工、优必选等客户适配落地。2025年国内机器人业务翻倍，既有感知主业又有直接商业应用，故迁入物理AI机器视觉并保留核心。</t>
        </is>
      </c>
      <c r="J36" s="6" t="inlineStr">
        <is>
          <t>奥比中光科技集团股份有限公司2025年年度报告</t>
        </is>
      </c>
      <c r="K36" s="6" t="inlineStr">
        <is>
          <t>2026-04-20</t>
        </is>
      </c>
      <c r="L36" s="6" t="inlineStr">
        <is>
          <t>iFinD ifind_get_stock_info (as of 2026-10-27)；奥比中光科技集团股份有限公司2025年年度报告</t>
        </is>
      </c>
      <c r="M36" s="7" t="inlineStr">
        <is>
          <t>http://file.finance.sina.com.cn/211.154.219.97:9494/MRGG/CNSESH_STOCK/2026/2026-4/2026-04-20/12114662.PDF</t>
        </is>
      </c>
    </row>
    <row r="37" ht="24" customHeight="1">
      <c r="B37" s="4" t="inlineStr">
        <is>
          <t>688327</t>
        </is>
      </c>
      <c r="C37" s="4" t="inlineStr">
        <is>
          <t>云从科技-UW</t>
        </is>
      </c>
      <c r="D37" s="4" t="inlineStr">
        <is>
          <t>机器人：其他</t>
        </is>
      </c>
      <c r="E37" s="4" t="inlineStr">
        <is>
          <t>迁移</t>
        </is>
      </c>
      <c r="F37" s="4" t="inlineStr">
        <is>
          <t>物理AI</t>
        </is>
      </c>
      <c r="G37" s="4" t="inlineStr">
        <is>
          <t>物理AI_仿真训练</t>
        </is>
      </c>
      <c r="H37" s="4" t="inlineStr">
        <is>
          <t>相关</t>
        </is>
      </c>
      <c r="I37" s="4" t="inlineStr">
        <is>
          <t>公司已入股广东省具身智能训练场，并参与上海虚实融合训练场、麒麟训练场，工作覆盖数据采集、模型训练、测试验证和场景对接，与物理AI训练直接相关。但业务仍以训练验证、生态合作和场景探索为主，尚未成为成熟主营，因此仅列相关。</t>
        </is>
      </c>
      <c r="J37" s="4" t="inlineStr">
        <is>
          <t>云从科技集团股份有限公司2026年半年度报告</t>
        </is>
      </c>
      <c r="K37" s="4" t="inlineStr">
        <is>
          <t>2026-08-22</t>
        </is>
      </c>
      <c r="L37" s="4" t="inlineStr">
        <is>
          <t>iFinD ifind_get_stock_info (as of 2026-10-27)；云从科技集团股份有限公司2026年半年度报告</t>
        </is>
      </c>
      <c r="M37" s="5" t="inlineStr">
        <is>
          <t>http://file.finance.sina.com.cn/211.154.219.97:9494/MRGG/CNSESH_STOCK/2026/2026-8/2026-08-22/12519497.PDF</t>
        </is>
      </c>
    </row>
    <row r="38" ht="24" customHeight="1">
      <c r="B38" s="6" t="inlineStr">
        <is>
          <t>688400</t>
        </is>
      </c>
      <c r="C38" s="6" t="inlineStr">
        <is>
          <t>凌云光</t>
        </is>
      </c>
      <c r="D38" s="6" t="inlineStr">
        <is>
          <t>机器人：视觉</t>
        </is>
      </c>
      <c r="E38" s="6" t="inlineStr">
        <is>
          <t>迁移</t>
        </is>
      </c>
      <c r="F38" s="6" t="inlineStr">
        <is>
          <t>物理AI</t>
        </is>
      </c>
      <c r="G38" s="6" t="inlineStr">
        <is>
          <t>物理AI_机器视觉</t>
        </is>
      </c>
      <c r="H38" s="6" t="inlineStr">
        <is>
          <t>核心</t>
        </is>
      </c>
      <c r="I38" s="6" t="inlineStr">
        <is>
          <t>视觉器件、视觉系统和智能视觉装备用于工业识别、对位、测量、缺陷检测及机器人引导，是采集并理解物理环境信息的直接感知产品。2025年机器视觉收入23.46亿元，已形成明确主业；FZMotion动捕作为补充能力，不改变按机器视觉主业迁移并定核心的判断。</t>
        </is>
      </c>
      <c r="J38" s="6" t="inlineStr">
        <is>
          <t>凌云光技术股份有限公司2025年年度报告</t>
        </is>
      </c>
      <c r="K38" s="6" t="inlineStr">
        <is>
          <t>2026-04-29</t>
        </is>
      </c>
      <c r="L38" s="6" t="inlineStr">
        <is>
          <t>iFinD ifind_get_stock_info (as of 2026-10-27)；凌云光技术股份有限公司2025年年度报告</t>
        </is>
      </c>
      <c r="M38" s="7" t="inlineStr">
        <is>
          <t>http://file.finance.sina.com.cn/211.154.219.97:9494/MRGG/CNSESH_STOCK/2026/2026-4/2026-04-29/12269922.PDF</t>
        </is>
      </c>
    </row>
    <row r="39" ht="24" customHeight="1">
      <c r="B39" s="4" t="inlineStr">
        <is>
          <t>688507</t>
        </is>
      </c>
      <c r="C39" s="4" t="inlineStr">
        <is>
          <t>索辰科技</t>
        </is>
      </c>
      <c r="D39" s="4" t="inlineStr">
        <is>
          <t>机器人：其他</t>
        </is>
      </c>
      <c r="E39" s="4" t="inlineStr">
        <is>
          <t>迁移</t>
        </is>
      </c>
      <c r="F39" s="4" t="inlineStr">
        <is>
          <t>物理AI</t>
        </is>
      </c>
      <c r="G39" s="4" t="inlineStr">
        <is>
          <t>物理AI_仿真训练</t>
        </is>
      </c>
      <c r="H39" s="4" t="inlineStr">
        <is>
          <t>核心</t>
        </is>
      </c>
      <c r="I39" s="4" t="inlineStr">
        <is>
          <t>公司主营CAE与物理AI软件，物理AI模拟引擎、训练一体化平台和智能工坊可完成参数采样、批量仿真、模型训练及优化决策闭环，并已有机器人设计训练平台。产品直接服务物理世界建模与训练而非本体制造，且属于核心产品，故迁入仿真训练并维持核心。</t>
        </is>
      </c>
      <c r="J39" s="4" t="inlineStr">
        <is>
          <t>索辰科技：2025年年度报告</t>
        </is>
      </c>
      <c r="K39" s="4" t="inlineStr">
        <is>
          <t>2026-04-28</t>
        </is>
      </c>
      <c r="L39" s="4" t="inlineStr">
        <is>
          <t>iFinD ifind_get_stock_info (as of 2026-10-27)；索辰科技：2025年年度报告</t>
        </is>
      </c>
      <c r="M39" s="5" t="inlineStr">
        <is>
          <t>http://money.finance.sina.com.cn/corp/view/vCB_AllBulletinDetail.php?stockid=688507&amp;id=12212908</t>
        </is>
      </c>
    </row>
    <row r="40" ht="24" customHeight="1">
      <c r="B40" s="6" t="inlineStr">
        <is>
          <t>688582</t>
        </is>
      </c>
      <c r="C40" s="6" t="inlineStr">
        <is>
          <t>芯动联科</t>
        </is>
      </c>
      <c r="D40" s="6" t="inlineStr">
        <is>
          <t>机器人：传感器</t>
        </is>
      </c>
      <c r="E40" s="6" t="inlineStr">
        <is>
          <t>迁移</t>
        </is>
      </c>
      <c r="F40" s="6" t="inlineStr">
        <is>
          <t>物理AI</t>
        </is>
      </c>
      <c r="G40" s="6" t="inlineStr">
        <is>
          <t>物理AI_传感器</t>
        </is>
      </c>
      <c r="H40" s="6" t="inlineStr">
        <is>
          <t>核心</t>
        </is>
      </c>
      <c r="I40" s="6" t="inlineStr">
        <is>
          <t>MEMS陀螺仪、加速度计及IMU是公司明确主营并已稳定量产，用于姿态、运动和轨迹感知，直接对应物理AI惯性传感能力。工业级单轴陀螺已量产并小批发货，机器人专用低成本IMU仍在研发，因此依据既有传感器主业迁移为核心，不夸称机器人产品已放量。</t>
        </is>
      </c>
      <c r="J40" s="6" t="inlineStr">
        <is>
          <t>安徽芯动联科微系统股份有限公司2025年年度报告</t>
        </is>
      </c>
      <c r="K40" s="6" t="inlineStr">
        <is>
          <t>2026-03-24</t>
        </is>
      </c>
      <c r="L40" s="6" t="inlineStr">
        <is>
          <t>iFinD ifind_get_stock_info (as of 2026-10-27)；安徽芯动联科微系统股份有限公司2025年年度报告</t>
        </is>
      </c>
      <c r="M40" s="7" t="inlineStr">
        <is>
          <t>http://file.finance.sina.com.cn/211.154.219.97:9494/MRGG/CNSESH_STOCK/2026/2026-3/2026-03-24/12012353.PDF</t>
        </is>
      </c>
    </row>
    <row r="41" ht="24" customHeight="1">
      <c r="B41" s="4" t="inlineStr">
        <is>
          <t>688686</t>
        </is>
      </c>
      <c r="C41" s="4" t="inlineStr">
        <is>
          <t>奥普特</t>
        </is>
      </c>
      <c r="D41" s="4" t="inlineStr">
        <is>
          <t>机器人：视觉；物理AI：物理AI_机器视觉</t>
        </is>
      </c>
      <c r="E41" s="4" t="inlineStr">
        <is>
          <t>迁移</t>
        </is>
      </c>
      <c r="F41" s="4" t="inlineStr">
        <is>
          <t>物理AI</t>
        </is>
      </c>
      <c r="G41" s="4" t="inlineStr">
        <is>
          <t>物理AI_机器视觉</t>
        </is>
      </c>
      <c r="H41" s="4" t="inlineStr">
        <is>
          <t>核心</t>
        </is>
      </c>
      <c r="I41" s="4" t="inlineStr">
        <is>
          <t>光源、镜头、相机、3D传感器、视觉算法及工业AI均为公司明确主营，用于工业图像采集、识别和检测，直接提供物理环境视觉感知。2025年机器视觉核心部件收入约9.6亿元，机器人视觉也已有收入，故合并重复标签、迁入物理AI并由相关升为核心。</t>
        </is>
      </c>
      <c r="J41" s="4" t="inlineStr">
        <is>
          <t>奥普特：2025年年度报告</t>
        </is>
      </c>
      <c r="K41" s="4" t="inlineStr">
        <is>
          <t>2026-04-03</t>
        </is>
      </c>
      <c r="L41" s="4" t="inlineStr">
        <is>
          <t>iFinD ifind_get_stock_info (as of 2026-10-27)；奥普特：2025年年度报告</t>
        </is>
      </c>
      <c r="M41" s="5" t="inlineStr">
        <is>
          <t>https://wap.stockstar.com/detail/SN2026040300000077</t>
        </is>
      </c>
    </row>
    <row r="42" ht="24" customHeight="1">
      <c r="B42" s="6" t="inlineStr">
        <is>
          <t>688836</t>
        </is>
      </c>
      <c r="C42" s="6" t="inlineStr">
        <is>
          <t>宇树科技-W</t>
        </is>
      </c>
      <c r="D42" s="6" t="inlineStr">
        <is>
          <t>机器人：本体及应用</t>
        </is>
      </c>
      <c r="E42" s="6" t="inlineStr">
        <is>
          <t>迁移</t>
        </is>
      </c>
      <c r="F42" s="6" t="inlineStr">
        <is>
          <t>物理AI</t>
        </is>
      </c>
      <c r="G42" s="6" t="inlineStr">
        <is>
          <t>物理AI_具身本体</t>
        </is>
      </c>
      <c r="H42" s="6" t="inlineStr">
        <is>
          <t>核心</t>
        </is>
      </c>
      <c r="I42" s="6" t="inlineStr">
        <is>
          <t>人形机器人、四足机器人及具身智能模型构成公司明确主营，产品已规模销售。2025年人形机器人收入86783.19万元、四足机器人收入69762.56万元，两类本体合计占主营约93.4%，既有具身产品直接性又有高度主营集中度，故迁入物理AI具身本体并保留核心。</t>
        </is>
      </c>
      <c r="J42" s="6" t="inlineStr">
        <is>
          <t>宇树科技股份有限公司首次公开发行股票并在科创板上市招股说明书</t>
        </is>
      </c>
      <c r="K42" s="6" t="inlineStr">
        <is>
          <t>2026年</t>
        </is>
      </c>
      <c r="L42" s="6" t="inlineStr">
        <is>
          <t>iFinD ifind_get_stock_info (as of 2026-10-27)；宇树科技股份有限公司首次公开发行股票并在科创板上市招股说明书</t>
        </is>
      </c>
      <c r="M42" s="7" t="inlineStr">
        <is>
          <t>https://dataclouds.cninfo.com.cn/sjother2/documents/2026/2026-05-25/3d7fc0538abe281340a95c9c77a90525.pdf</t>
        </is>
      </c>
    </row>
  </sheetData>
  <autoFilter ref="B4:M42"/>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B2:M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8" customWidth="1" min="4" max="4"/>
    <col width="12" customWidth="1" min="5" max="5"/>
    <col width="16" customWidth="1" min="6" max="6"/>
    <col width="42" customWidth="1" min="7" max="7"/>
    <col width="10" customWidth="1" min="8" max="8"/>
    <col width="105" customWidth="1" min="9" max="9"/>
    <col width="42" customWidth="1" min="10" max="10"/>
    <col width="14" customWidth="1" min="11" max="11"/>
    <col width="50" customWidth="1" min="12" max="12"/>
    <col width="72" customWidth="1" min="13" max="13"/>
  </cols>
  <sheetData>
    <row r="2" ht="32" customHeight="1">
      <c r="B2" s="1" t="inlineStr">
        <is>
          <t>摘除清单 · 错标、间接映射与研发预期</t>
        </is>
      </c>
    </row>
    <row r="3">
      <c r="B3" s="2" t="inlineStr">
        <is>
          <t>仅参股、通用能力映射、无直接产品证据或仍处研发送样且无商业化的标签退出。</t>
        </is>
      </c>
    </row>
    <row r="4" ht="26" customHeight="1">
      <c r="B4" s="3" t="inlineStr">
        <is>
          <t>代码</t>
        </is>
      </c>
      <c r="C4" s="3" t="inlineStr">
        <is>
          <t>名称</t>
        </is>
      </c>
      <c r="D4" s="3" t="inlineStr">
        <is>
          <t>旧分类与概念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24" customHeight="1">
      <c r="B5" s="4" t="inlineStr">
        <is>
          <t>001331</t>
        </is>
      </c>
      <c r="C5" s="4" t="inlineStr">
        <is>
          <t>胜通能源</t>
        </is>
      </c>
      <c r="D5" s="4" t="inlineStr">
        <is>
          <t>机器人：本体及应用；机器人：本体及应用</t>
        </is>
      </c>
      <c r="E5" s="4" t="inlineStr">
        <is>
          <t>摘除</t>
        </is>
      </c>
      <c r="F5" s="4" t="inlineStr">
        <is>
          <t>—</t>
        </is>
      </c>
      <c r="G5" s="4" t="inlineStr">
        <is>
          <t>—</t>
        </is>
      </c>
      <c r="H5" s="4" t="inlineStr">
        <is>
          <t>摘除</t>
        </is>
      </c>
      <c r="I5" s="4" t="inlineStr">
        <is>
          <t>上市主体现阶段仍从事LNG采购、运输、销售及运输服务，没有机器人本体或应用产品。七腾机器人通过协议转让和要约收购成为控股股东，仅代表控制权变化，不代表机器人资产或业务已经注入；公司亦明确提示不涉及机器人业务，故摘除并消除重复标签。</t>
        </is>
      </c>
      <c r="J5" s="4" t="inlineStr">
        <is>
          <t>8连板胜通能源：不涉及机器人相关业务</t>
        </is>
      </c>
      <c r="K5" s="4" t="inlineStr">
        <is>
          <t>2025-12-23</t>
        </is>
      </c>
      <c r="L5" s="4" t="inlineStr">
        <is>
          <t>iFinD ifind_get_stock_info (as of 2026-10-27)；8连板胜通能源：不涉及机器人相关业务</t>
        </is>
      </c>
      <c r="M5" s="5" t="inlineStr">
        <is>
          <t>https://www.jwview.com/jingwei/html/m/12-23/650789.shtml</t>
        </is>
      </c>
    </row>
    <row r="6" ht="24" customHeight="1">
      <c r="B6" s="6" t="inlineStr">
        <is>
          <t>002079</t>
        </is>
      </c>
      <c r="C6" s="6" t="inlineStr">
        <is>
          <t>苏州固锝</t>
        </is>
      </c>
      <c r="D6" s="6" t="inlineStr">
        <is>
          <t>机器人：传感器</t>
        </is>
      </c>
      <c r="E6" s="6" t="inlineStr">
        <is>
          <t>摘除</t>
        </is>
      </c>
      <c r="F6" s="6" t="inlineStr">
        <is>
          <t>—</t>
        </is>
      </c>
      <c r="G6" s="6" t="inlineStr">
        <is>
          <t>—</t>
        </is>
      </c>
      <c r="H6" s="6" t="inlineStr">
        <is>
          <t>摘除</t>
        </is>
      </c>
      <c r="I6" s="6" t="inlineStr">
        <is>
          <t>上市主体主营二极管、功率半导体器件及集成电路封测，机器人口径主要是功率器件的通用下游应用；MEMS感知产品主要来自参股明皜传感，上市公司传感器封装能力不能直接等同机器人专用传感器产品，按少量参股和上游间接映射口径摘除。</t>
        </is>
      </c>
      <c r="J6" s="6" t="inlineStr">
        <is>
          <t>苏州固锝电子股份有限公司投资者关系活动记录表</t>
        </is>
      </c>
      <c r="K6" s="6" t="inlineStr">
        <is>
          <t>2026-05-08</t>
        </is>
      </c>
      <c r="L6" s="6" t="inlineStr">
        <is>
          <t>iFinD ifind_get_stock_info (as of 2026-10-27)；苏州固锝电子股份有限公司投资者关系活动记录表</t>
        </is>
      </c>
      <c r="M6" s="7" t="inlineStr">
        <is>
          <t>https://pdf.dfcfw.com/pdf/H2_AN202605081822074722_1.pdf</t>
        </is>
      </c>
    </row>
    <row r="7" ht="24" customHeight="1">
      <c r="B7" s="4" t="inlineStr">
        <is>
          <t>002249</t>
        </is>
      </c>
      <c r="C7" s="4" t="inlineStr">
        <is>
          <t>大洋电机</t>
        </is>
      </c>
      <c r="D7" s="4" t="inlineStr">
        <is>
          <t>机器人：电机</t>
        </is>
      </c>
      <c r="E7" s="4" t="inlineStr">
        <is>
          <t>摘除</t>
        </is>
      </c>
      <c r="F7" s="4" t="inlineStr">
        <is>
          <t>—</t>
        </is>
      </c>
      <c r="G7" s="4" t="inlineStr">
        <is>
          <t>—</t>
        </is>
      </c>
      <c r="H7" s="4" t="inlineStr">
        <is>
          <t>摘除</t>
        </is>
      </c>
      <c r="I7" s="4" t="inlineStr">
        <is>
          <t>主营建筑家居电机、汽车起动机及新能源车辆动力总成，通用电机业务不能直接视作机器人产品；人形机器人项目主要完成关节模组方案设计和研发测试，公司2026年10月仍明确相关业务尚未形成营业收入、短期不影响业绩，按研发预期和未商业化口径摘除。</t>
        </is>
      </c>
      <c r="J7" s="4" t="inlineStr">
        <is>
          <t>大洋电机：具身智能机器人关节模组业务处于研发/测试阶段，尚未形成营业收入</t>
        </is>
      </c>
      <c r="K7" s="4" t="inlineStr">
        <is>
          <t>2026-10-23</t>
        </is>
      </c>
      <c r="L7" s="4" t="inlineStr">
        <is>
          <t>iFinD ifind_get_stock_info (as of 2026-10-27)；大洋电机：具身智能机器人关节模组业务处于研发/测试阶段，尚未形成营业收入</t>
        </is>
      </c>
      <c r="M7" s="5" t="inlineStr">
        <is>
          <t>https://www.cls.cn/detail/2513855</t>
        </is>
      </c>
    </row>
    <row r="8" ht="24" customHeight="1">
      <c r="B8" s="6" t="inlineStr">
        <is>
          <t>002850</t>
        </is>
      </c>
      <c r="C8" s="6" t="inlineStr">
        <is>
          <t>科达利</t>
        </is>
      </c>
      <c r="D8" s="6" t="inlineStr">
        <is>
          <t>机器人：减速器</t>
        </is>
      </c>
      <c r="E8" s="6" t="inlineStr">
        <is>
          <t>摘除</t>
        </is>
      </c>
      <c r="F8" s="6" t="inlineStr">
        <is>
          <t>—</t>
        </is>
      </c>
      <c r="G8" s="6" t="inlineStr">
        <is>
          <t>—</t>
        </is>
      </c>
      <c r="H8" s="6" t="inlineStr">
        <is>
          <t>摘除</t>
        </is>
      </c>
      <c r="I8" s="6" t="inlineStr">
        <is>
          <t>公司主业仍是锂电池精密结构件，机器人方向布局减速器旋转关节、丝杠直线关节和灵巧手，但2025年谐波减速器仍处样品测试验证阶段，尚无充分量产、订单或收入支撑。按仅研发送样退出的统一口径摘除，避免把技术布局当作已落地业务。</t>
        </is>
      </c>
      <c r="J8" s="6" t="inlineStr">
        <is>
          <t>科达利：2025年年度报告</t>
        </is>
      </c>
      <c r="K8" s="6" t="inlineStr">
        <is>
          <t>2026-03-28</t>
        </is>
      </c>
      <c r="L8" s="6" t="inlineStr">
        <is>
          <t>iFinD ifind_get_stock_info (as of 2026-10-27)；科达利：2025年年度报告</t>
        </is>
      </c>
      <c r="M8" s="7" t="inlineStr">
        <is>
          <t>https://money.finance.sina.com.cn/corp/view/vCB_AllBulletinDetail.php?stockid=002850&amp;id=12027902</t>
        </is>
      </c>
    </row>
    <row r="9" ht="24" customHeight="1">
      <c r="B9" s="4" t="inlineStr">
        <is>
          <t>002931</t>
        </is>
      </c>
      <c r="C9" s="4" t="inlineStr">
        <is>
          <t>锋龙股份</t>
        </is>
      </c>
      <c r="D9" s="4" t="inlineStr">
        <is>
          <t>机器人：零部件</t>
        </is>
      </c>
      <c r="E9" s="4" t="inlineStr">
        <is>
          <t>摘除</t>
        </is>
      </c>
      <c r="F9" s="4" t="inlineStr">
        <is>
          <t>—</t>
        </is>
      </c>
      <c r="G9" s="4" t="inlineStr">
        <is>
          <t>—</t>
        </is>
      </c>
      <c r="H9" s="4" t="inlineStr">
        <is>
          <t>摘除</t>
        </is>
      </c>
      <c r="I9" s="4" t="inlineStr">
        <is>
          <t>优必选控股不等于上市公司已形成机器人业务。2026年上半年新锋龙尚未注资经营，8100万元关联销售预案虽聚焦机电组件和结构件，但报告期未形成收入；公司缺少可核验的机器人产品交付、量产和销售，原泛零部件标签依据不足，故摘除。</t>
        </is>
      </c>
      <c r="J9" s="4" t="inlineStr">
        <is>
          <t>锋龙股份：2026年半年度报告摘要</t>
        </is>
      </c>
      <c r="K9" s="4" t="inlineStr">
        <is>
          <t>2026-08-18</t>
        </is>
      </c>
      <c r="L9" s="4" t="inlineStr">
        <is>
          <t>iFinD ifind_get_stock_info (as of 2026-10-27)；锋龙股份：2026年半年度报告摘要</t>
        </is>
      </c>
      <c r="M9" s="5" t="inlineStr">
        <is>
          <t>http://money.finance.sina.com.cn/corp/view/vCB_AllBulletinDetail.php?stockid=002931&amp;id=12499587</t>
        </is>
      </c>
    </row>
    <row r="10" ht="24" customHeight="1">
      <c r="B10" s="6" t="inlineStr">
        <is>
          <t>002965</t>
        </is>
      </c>
      <c r="C10" s="6" t="inlineStr">
        <is>
          <t>祥鑫科技</t>
        </is>
      </c>
      <c r="D10" s="6" t="inlineStr">
        <is>
          <t>机器人：结构件</t>
        </is>
      </c>
      <c r="E10" s="6" t="inlineStr">
        <is>
          <t>摘除</t>
        </is>
      </c>
      <c r="F10" s="6" t="inlineStr">
        <is>
          <t>—</t>
        </is>
      </c>
      <c r="G10" s="6" t="inlineStr">
        <is>
          <t>—</t>
        </is>
      </c>
      <c r="H10" s="6" t="inlineStr">
        <is>
          <t>摘除</t>
        </is>
      </c>
      <c r="I10" s="6" t="inlineStr">
        <is>
          <t>公司主营仍是汽车、储能等领域的冲压模具和金属结构件。虽然设立祥鑫（东莞）智能机器人并开展联合创新合作，但2025年报及2026年半年报均无可核验的机器人收入或量产交付，设立主体和合作平台不能替代业务证据，因此摘除原机器人结构件标签。</t>
        </is>
      </c>
      <c r="J10" s="6" t="inlineStr">
        <is>
          <t>祥鑫科技：2026年半年度报告</t>
        </is>
      </c>
      <c r="K10" s="6" t="inlineStr">
        <is>
          <t>2026-08-26</t>
        </is>
      </c>
      <c r="L10" s="6" t="inlineStr">
        <is>
          <t>iFinD ifind_get_stock_info (as of 2026-10-27)；祥鑫科技：2026年半年度报告</t>
        </is>
      </c>
      <c r="M10" s="7" t="inlineStr">
        <is>
          <t>https://money.finance.sina.com.cn/corp/view/vCB_AllBulletinDetail.php?stockid=002965&amp;id=12533661</t>
        </is>
      </c>
    </row>
    <row r="11" ht="24" customHeight="1">
      <c r="B11" s="4" t="inlineStr">
        <is>
          <t>002988</t>
        </is>
      </c>
      <c r="C11" s="4" t="inlineStr">
        <is>
          <t>豪美新材</t>
        </is>
      </c>
      <c r="D11" s="4" t="inlineStr">
        <is>
          <t>机器人：结构件</t>
        </is>
      </c>
      <c r="E11" s="4" t="inlineStr">
        <is>
          <t>摘除</t>
        </is>
      </c>
      <c r="F11" s="4" t="inlineStr">
        <is>
          <t>—</t>
        </is>
      </c>
      <c r="G11" s="4" t="inlineStr">
        <is>
          <t>—</t>
        </is>
      </c>
      <c r="H11" s="4" t="inlineStr">
        <is>
          <t>摘除</t>
        </is>
      </c>
      <c r="I11" s="4" t="inlineStr">
        <is>
          <t>公司现有产品主要是汽车轻量化、建筑及工业铝型材。2025年仅提出加强机器人等新兴领域材料研发、为进入新领域创造条件，未披露具体机器人结构件产品、订单或量产交付；研发方向不能直接等同于机器人业务和商业化收入，故摘除原结构件标签。</t>
        </is>
      </c>
      <c r="J11" s="4" t="inlineStr">
        <is>
          <t>豪美新材：2025年年度报告</t>
        </is>
      </c>
      <c r="K11" s="4" t="inlineStr">
        <is>
          <t>2026-04-27</t>
        </is>
      </c>
      <c r="L11" s="4" t="inlineStr">
        <is>
          <t>iFinD ifind_get_stock_info (as of 2026-10-27)；豪美新材：2025年年度报告</t>
        </is>
      </c>
      <c r="M11" s="5" t="inlineStr">
        <is>
          <t>http://money.finance.sina.com.cn/corp/view/vCB_AllBulletinDetail.php?stockid=002988&amp;id=12202238</t>
        </is>
      </c>
    </row>
    <row r="12" ht="24" customHeight="1">
      <c r="B12" s="6" t="inlineStr">
        <is>
          <t>300258</t>
        </is>
      </c>
      <c r="C12" s="6" t="inlineStr">
        <is>
          <t>精锻科技</t>
        </is>
      </c>
      <c r="D12" s="6" t="inlineStr">
        <is>
          <t>机器人：减速器</t>
        </is>
      </c>
      <c r="E12" s="6" t="inlineStr">
        <is>
          <t>摘除</t>
        </is>
      </c>
      <c r="F12" s="6" t="inlineStr">
        <is>
          <t>—</t>
        </is>
      </c>
      <c r="G12" s="6" t="inlineStr">
        <is>
          <t>—</t>
        </is>
      </c>
      <c r="H12" s="6" t="inlineStr">
        <is>
          <t>摘除</t>
        </is>
      </c>
      <c r="I12" s="6" t="inlineStr">
        <is>
          <t>摆线针轮、行星减速器和滚柱丝杠仍处样品开发、交付验证及持续优化阶段，2026年4月30日业绩说明会明确尚未形成销售收入，网传特斯拉独供也被否认。相关产品尚处研发验证期，缺少量产、订单和收入支撑，原减速器标签容易放大业务成熟度，故摘除。</t>
        </is>
      </c>
      <c r="J12" s="6" t="inlineStr">
        <is>
          <t>江苏太平洋精锻科技股份有限公司投资者关系活动记录表</t>
        </is>
      </c>
      <c r="K12" s="6" t="inlineStr">
        <is>
          <t>2026-05-04</t>
        </is>
      </c>
      <c r="L12" s="6" t="inlineStr">
        <is>
          <t>iFinD ifind_get_stock_info (as of 2026-10-27)；江苏太平洋精锻科技股份有限公司投资者关系活动记录表</t>
        </is>
      </c>
      <c r="M12" s="7" t="inlineStr">
        <is>
          <t>https://static.cninfo.com.cn/finalpage/2026-05-04/1225275988.PDF</t>
        </is>
      </c>
    </row>
    <row r="13" ht="24" customHeight="1">
      <c r="B13" s="4" t="inlineStr">
        <is>
          <t>300403</t>
        </is>
      </c>
      <c r="C13" s="4" t="inlineStr">
        <is>
          <t>汉宇集团</t>
        </is>
      </c>
      <c r="D13" s="4" t="inlineStr">
        <is>
          <t>机器人：减速器</t>
        </is>
      </c>
      <c r="E13" s="4" t="inlineStr">
        <is>
          <t>摘除</t>
        </is>
      </c>
      <c r="F13" s="4" t="inlineStr">
        <is>
          <t>—</t>
        </is>
      </c>
      <c r="G13" s="4" t="inlineStr">
        <is>
          <t>—</t>
        </is>
      </c>
      <c r="H13" s="4" t="inlineStr">
        <is>
          <t>摘除</t>
        </is>
      </c>
      <c r="I13" s="4" t="inlineStr">
        <is>
          <t>上市公司自身主营家电排水泵等产品，谐波减速器、机电关节等机器人业务由同川科技开展，公告明确同川科技仅为参股公司；现有证据只能形成参股间接敞口，不能等同于上市公司自产减速器或关节产品交付，按参股边界摘除。</t>
        </is>
      </c>
      <c r="J13" s="4" t="inlineStr">
        <is>
          <t>关于公司2026年度日常关联交易预计的补充公告</t>
        </is>
      </c>
      <c r="K13" s="4" t="inlineStr">
        <is>
          <t>2026-04-27</t>
        </is>
      </c>
      <c r="L13" s="4" t="inlineStr">
        <is>
          <t>iFinD ifind_get_stock_info (as of 2026-10-27)；关于公司2026年度日常关联交易预计的补充公告</t>
        </is>
      </c>
      <c r="M13" s="5" t="inlineStr">
        <is>
          <t>https://www.cnfin.com/announ/detail/index.html?id=830533942050&amp;code=300403&amp;dannoun=lcdetail&amp;announ=lc</t>
        </is>
      </c>
    </row>
    <row r="14" ht="24" customHeight="1">
      <c r="B14" s="6" t="inlineStr">
        <is>
          <t>300445</t>
        </is>
      </c>
      <c r="C14" s="6" t="inlineStr">
        <is>
          <t>康斯特</t>
        </is>
      </c>
      <c r="D14" s="6" t="inlineStr">
        <is>
          <t>机器人：传感器</t>
        </is>
      </c>
      <c r="E14" s="6" t="inlineStr">
        <is>
          <t>摘除</t>
        </is>
      </c>
      <c r="F14" s="6" t="inlineStr">
        <is>
          <t>—</t>
        </is>
      </c>
      <c r="G14" s="6" t="inlineStr">
        <is>
          <t>—</t>
        </is>
      </c>
      <c r="H14" s="6" t="inlineStr">
        <is>
          <t>摘除</t>
        </is>
      </c>
      <c r="I14" s="6" t="inlineStr">
        <is>
          <t>公司主营高精度压力传感器、校准仪表和工业校准测试系统，直接应用是工业计量、压力检测及设备运维；机器人至多是潜在校准测试对象，现有披露未见用于机器人的力觉、触觉或环境感知产品，也无相关订单和交付证据，不能由工业校准能力推导机器人传感器标签。</t>
        </is>
      </c>
      <c r="J14" s="6" t="inlineStr">
        <is>
          <t>康斯特：公司主营业务的校准测试产品已在产业端广泛验证并被全球用户认可</t>
        </is>
      </c>
      <c r="K14" s="6" t="inlineStr">
        <is>
          <t>2025-04-24</t>
        </is>
      </c>
      <c r="L14" s="6" t="inlineStr">
        <is>
          <t>iFinD ifind_get_stock_info (as of 2026-10-27)；康斯特：公司主营业务的校准测试产品已在产业端广泛验证并被全球用户认可</t>
        </is>
      </c>
      <c r="M14" s="7" t="inlineStr">
        <is>
          <t>http://m.10jqka.com.cn/20250424/c667707575.shtml</t>
        </is>
      </c>
    </row>
    <row r="15" ht="24" customHeight="1">
      <c r="B15" s="4" t="inlineStr">
        <is>
          <t>301502</t>
        </is>
      </c>
      <c r="C15" s="4" t="inlineStr">
        <is>
          <t>华阳智能</t>
        </is>
      </c>
      <c r="D15" s="4" t="inlineStr">
        <is>
          <t>机器人：无框电机</t>
        </is>
      </c>
      <c r="E15" s="4" t="inlineStr">
        <is>
          <t>摘除</t>
        </is>
      </c>
      <c r="F15" s="4" t="inlineStr">
        <is>
          <t>—</t>
        </is>
      </c>
      <c r="G15" s="4" t="inlineStr">
        <is>
          <t>—</t>
        </is>
      </c>
      <c r="H15" s="4" t="inlineStr">
        <is>
          <t>摘除</t>
        </is>
      </c>
      <c r="I15" s="4" t="inlineStr">
        <is>
          <t>公司主营微特电机及应用产品，多款无框电机和机器人模组电机虽已完成开发并具备量产条件，但2025年报仍称推进客户对接，此前亦明确尚未应用于人形机器人，未见正式订单、交付或收入。微特电机主营不能直接外推为机器人核心，具备量产能力不等于商业化落地，原核心标签依据不足，故摘除。</t>
        </is>
      </c>
      <c r="J15" s="4" t="inlineStr">
        <is>
          <t>华阳智能：2025年年度报告</t>
        </is>
      </c>
      <c r="K15" s="4" t="inlineStr">
        <is>
          <t>2026-04-29</t>
        </is>
      </c>
      <c r="L15" s="4" t="inlineStr">
        <is>
          <t>iFinD ifind_get_stock_info (as of 2026-10-27)；华阳智能：2025年年度报告</t>
        </is>
      </c>
      <c r="M15" s="5" t="inlineStr">
        <is>
          <t>http://money.finance.sina.com.cn/corp/view/vCB_AllBulletinDetail.php?stockid=301502&amp;id=12268645</t>
        </is>
      </c>
    </row>
    <row r="16" ht="24" customHeight="1">
      <c r="B16" s="6" t="inlineStr">
        <is>
          <t>600558</t>
        </is>
      </c>
      <c r="C16" s="6" t="inlineStr">
        <is>
          <t>大西洋</t>
        </is>
      </c>
      <c r="D16" s="6" t="inlineStr">
        <is>
          <t>机器人：其他；机器人：其他</t>
        </is>
      </c>
      <c r="E16" s="6" t="inlineStr">
        <is>
          <t>摘除</t>
        </is>
      </c>
      <c r="F16" s="6" t="inlineStr">
        <is>
          <t>—</t>
        </is>
      </c>
      <c r="G16" s="6" t="inlineStr">
        <is>
          <t>—</t>
        </is>
      </c>
      <c r="H16" s="6" t="inlineStr">
        <is>
          <t>摘除</t>
        </is>
      </c>
      <c r="I16" s="6" t="inlineStr">
        <is>
          <t>公司主营焊条、焊丝、焊剂等通用焊接耗材，产品可用于人工或自动化焊接，但自动化焊接材料并不等于机器人专用产品。年报及主营资料未见机器人专用耗材、订单或项目，无法证明与机器人产品或应用业务存在直接对应关系，旧两条其他标签又属重复，故判为错标并摘除。</t>
        </is>
      </c>
      <c r="J16" s="6" t="inlineStr">
        <is>
          <t>大西洋：2025年年度报告摘要</t>
        </is>
      </c>
      <c r="K16" s="6" t="inlineStr">
        <is>
          <t>2026-04-07</t>
        </is>
      </c>
      <c r="L16" s="6" t="inlineStr">
        <is>
          <t>iFinD ifind_get_stock_info (as of 2026-10-27)；大西洋：2025年年度报告摘要</t>
        </is>
      </c>
      <c r="M16" s="7" t="inlineStr">
        <is>
          <t>http://vip.stock.finance.sina.com.cn/corp/view/vCB_AllBulletinDetail.php?stockid=600558&amp;id=12064229</t>
        </is>
      </c>
    </row>
    <row r="17" ht="24" customHeight="1">
      <c r="B17" s="4" t="inlineStr">
        <is>
          <t>603009</t>
        </is>
      </c>
      <c r="C17" s="4" t="inlineStr">
        <is>
          <t>北特科技</t>
        </is>
      </c>
      <c r="D17" s="4" t="inlineStr">
        <is>
          <t>机器人：丝杠</t>
        </is>
      </c>
      <c r="E17" s="4" t="inlineStr">
        <is>
          <t>摘除</t>
        </is>
      </c>
      <c r="F17" s="4" t="inlineStr">
        <is>
          <t>—</t>
        </is>
      </c>
      <c r="G17" s="4" t="inlineStr">
        <is>
          <t>—</t>
        </is>
      </c>
      <c r="H17" s="4" t="inlineStr">
        <is>
          <t>摘除</t>
        </is>
      </c>
      <c r="I17" s="4" t="inlineStr">
        <is>
          <t>公司虽已布局行星滚柱、滚珠、梯形丝杠并建设昆山、泰国产能，但截至2026年公开披露，人形机器人丝杠仍处样件阶段，未获正式定点、未形成收入。汽车底盘零部件主业和产能建设不能替代机器人客户交付，现有证据仅支持研发及产业化预期，原相关标签证据不足，故摘除。</t>
        </is>
      </c>
      <c r="J17" s="4" t="inlineStr">
        <is>
          <t>北特科技丝杠仍处样件阶段且未形成收入</t>
        </is>
      </c>
      <c r="K17" s="4" t="inlineStr">
        <is>
          <t>2026-08-19</t>
        </is>
      </c>
      <c r="L17" s="4" t="inlineStr">
        <is>
          <t>iFinD ifind_get_stock_info (as of 2026-10-27)；北特科技丝杠仍处样件阶段且未形成收入</t>
        </is>
      </c>
      <c r="M17" s="5" t="inlineStr">
        <is>
          <t>https://www.huxiu.com/article/4884303.html</t>
        </is>
      </c>
    </row>
    <row r="18" ht="24" customHeight="1">
      <c r="B18" s="6" t="inlineStr">
        <is>
          <t>603089</t>
        </is>
      </c>
      <c r="C18" s="6" t="inlineStr">
        <is>
          <t>正裕工业</t>
        </is>
      </c>
      <c r="D18" s="6" t="inlineStr">
        <is>
          <t>机器人：柔性触感</t>
        </is>
      </c>
      <c r="E18" s="6" t="inlineStr">
        <is>
          <t>摘除</t>
        </is>
      </c>
      <c r="F18" s="6" t="inlineStr">
        <is>
          <t>—</t>
        </is>
      </c>
      <c r="G18" s="6" t="inlineStr">
        <is>
          <t>—</t>
        </is>
      </c>
      <c r="H18" s="6" t="inlineStr">
        <is>
          <t>摘除</t>
        </is>
      </c>
      <c r="I18" s="6" t="inlineStr">
        <is>
          <t>公司主营汽车减震器，柔性触觉核心产品虽已完成技术攻关和样品研发，但2026年10月23日仍明确仅提供样品，尚未批量生产、未形成收入。现有证据停留在样品验证和产业化预期，不能证明柔性触感已成为真实业务，继续维持标签会与商业化阶段不符，故摘除。</t>
        </is>
      </c>
      <c r="J18" s="6" t="inlineStr">
        <is>
          <t>正裕工业风险提示：柔性触觉产品仅提供样品、未量产且无收入</t>
        </is>
      </c>
      <c r="K18" s="6" t="inlineStr">
        <is>
          <t>2026-10-23</t>
        </is>
      </c>
      <c r="L18" s="6" t="inlineStr">
        <is>
          <t>iFinD ifind_get_stock_info (as of 2026-10-27)；正裕工业风险提示：柔性触觉产品仅提供样品、未量产且无收入</t>
        </is>
      </c>
      <c r="M18" s="7" t="inlineStr">
        <is>
          <t>https://www.cls.cn/detail/2513546</t>
        </is>
      </c>
    </row>
    <row r="19" ht="24" customHeight="1">
      <c r="B19" s="4" t="inlineStr">
        <is>
          <t>603278</t>
        </is>
      </c>
      <c r="C19" s="4" t="inlineStr">
        <is>
          <t>大业股份</t>
        </is>
      </c>
      <c r="D19" s="4" t="inlineStr">
        <is>
          <t>机器人：腱绳材料</t>
        </is>
      </c>
      <c r="E19" s="4" t="inlineStr">
        <is>
          <t>摘除</t>
        </is>
      </c>
      <c r="F19" s="4" t="inlineStr">
        <is>
          <t>—</t>
        </is>
      </c>
      <c r="G19" s="4" t="inlineStr">
        <is>
          <t>—</t>
        </is>
      </c>
      <c r="H19" s="4" t="inlineStr">
        <is>
          <t>摘除</t>
        </is>
      </c>
      <c r="I19" s="4" t="inlineStr">
        <is>
          <t>公司与北邮开展腱绳材料及感知功能开发并进行小批量送样，但2026年10月21日再次明确尚未批量生产、未产生实质收益，也无证据支持特斯拉订单。胎圈钢丝和钢帘线主营不能外推为机器人核心，现阶段仍属研发送样及产业化预期，原核心标签明显过强，故摘除。</t>
        </is>
      </c>
      <c r="J19" s="4" t="inlineStr">
        <is>
          <t>大业股份澄清机器人腱绳尚未量产且未产生实质收益</t>
        </is>
      </c>
      <c r="K19" s="4" t="inlineStr">
        <is>
          <t>2026-10-21</t>
        </is>
      </c>
      <c r="L19" s="4" t="inlineStr">
        <is>
          <t>iFinD ifind_get_stock_info (as of 2026-10-27)；大业股份澄清机器人腱绳尚未量产且未产生实质收益</t>
        </is>
      </c>
      <c r="M19" s="5" t="inlineStr">
        <is>
          <t>https://www.cls.cn/detail/2511217</t>
        </is>
      </c>
    </row>
    <row r="20" ht="24" customHeight="1">
      <c r="B20" s="6" t="inlineStr">
        <is>
          <t>603280</t>
        </is>
      </c>
      <c r="C20" s="6" t="inlineStr">
        <is>
          <t>南方路机</t>
        </is>
      </c>
      <c r="D20" s="6" t="inlineStr">
        <is>
          <t>机器人：本体及应用</t>
        </is>
      </c>
      <c r="E20" s="6" t="inlineStr">
        <is>
          <t>摘除</t>
        </is>
      </c>
      <c r="F20" s="6" t="inlineStr">
        <is>
          <t>—</t>
        </is>
      </c>
      <c r="G20" s="6" t="inlineStr">
        <is>
          <t>—</t>
        </is>
      </c>
      <c r="H20" s="6" t="inlineStr">
        <is>
          <t>摘除</t>
        </is>
      </c>
      <c r="I20" s="6" t="inlineStr">
        <is>
          <t>公司主营工程搅拌、骨料加工及再生资源处理设备，智能检测和智能分拣是自有工程装备的智能化功能，不等于机器人本体或独立机器人应用业务。年报及主营资料未见机器人产品、订单或项目，无法建立与机器人本体及应用的直接业务关系，故判为错标并摘除。</t>
        </is>
      </c>
      <c r="J20" s="6" t="inlineStr">
        <is>
          <t>南方路机：2025年年度报告</t>
        </is>
      </c>
      <c r="K20" s="6" t="inlineStr">
        <is>
          <t>2026-04-30</t>
        </is>
      </c>
      <c r="L20" s="6" t="inlineStr">
        <is>
          <t>iFinD ifind_get_stock_info (as of 2026-10-27)；南方路机：2025年年度报告</t>
        </is>
      </c>
      <c r="M20" s="7" t="inlineStr">
        <is>
          <t>https://money.finance.sina.com.cn/corp/view/vCB_AllBulletinDetail.php?stockid=603280&amp;id=12285199</t>
        </is>
      </c>
    </row>
    <row r="21" ht="24" customHeight="1">
      <c r="B21" s="4" t="inlineStr">
        <is>
          <t>603489</t>
        </is>
      </c>
      <c r="C21" s="4" t="inlineStr">
        <is>
          <t>八方股份</t>
        </is>
      </c>
      <c r="D21" s="4" t="inlineStr">
        <is>
          <t>机器人：电机</t>
        </is>
      </c>
      <c r="E21" s="4" t="inlineStr">
        <is>
          <t>摘除</t>
        </is>
      </c>
      <c r="F21" s="4" t="inlineStr">
        <is>
          <t>—</t>
        </is>
      </c>
      <c r="G21" s="4" t="inlineStr">
        <is>
          <t>—</t>
        </is>
      </c>
      <c r="H21" s="4" t="inlineStr">
        <is>
          <t>摘除</t>
        </is>
      </c>
      <c r="I21" s="4" t="inlineStr">
        <is>
          <t>2025年报显示公司仍聚焦电踏车电机及配套系统，未见机器人电机、驱动模组或具体机器人项目的真实产品证据；无人机电机也仅为少量尝试。通用电机设计制造能力不能直接映射为机器人业务，原机器人电机标签缺乏可审计的产品、客户或商业化依据，属于错标，予以摘除。</t>
        </is>
      </c>
      <c r="J21" s="4" t="inlineStr">
        <is>
          <t>八方股份2025年年度报告</t>
        </is>
      </c>
      <c r="K21" s="4" t="inlineStr">
        <is>
          <t>2026-04-29</t>
        </is>
      </c>
      <c r="L21" s="4" t="inlineStr">
        <is>
          <t>iFinD ifind_get_stock_info (as of 2026-10-27)；八方股份2025年年度报告</t>
        </is>
      </c>
      <c r="M21" s="5" t="inlineStr">
        <is>
          <t>https://static.cninfo.com.cn/finalpage/2026-04-29/1225239945.PDF</t>
        </is>
      </c>
    </row>
    <row r="22" ht="24" customHeight="1">
      <c r="B22" s="6" t="inlineStr">
        <is>
          <t>603677</t>
        </is>
      </c>
      <c r="C22" s="6" t="inlineStr">
        <is>
          <t>奇精机械</t>
        </is>
      </c>
      <c r="D22" s="6" t="inlineStr">
        <is>
          <t>机器人：零部件</t>
        </is>
      </c>
      <c r="E22" s="6" t="inlineStr">
        <is>
          <t>摘除</t>
        </is>
      </c>
      <c r="F22" s="6" t="inlineStr">
        <is>
          <t>—</t>
        </is>
      </c>
      <c r="G22" s="6" t="inlineStr">
        <is>
          <t>—</t>
        </is>
      </c>
      <c r="H22" s="6" t="inlineStr">
        <is>
          <t>摘除</t>
        </is>
      </c>
      <c r="I22" s="6" t="inlineStr">
        <is>
          <t>公司主营业务为家电、汽车和电动工具零部件，唯一明确对应机器人的产品是工业机器人减速器钢轮。2026年5月该产品仍处小批量交样阶段，尚未量产且对公司业绩无影响，虽非完全无产品依据，但仅有早期试样和间接业务贡献，符合边缘口径；按既定清洗规则摘除机器人零部件标签。</t>
        </is>
      </c>
      <c r="J22" s="6" t="inlineStr">
        <is>
          <t>奇精机械投资者关系活动记录表</t>
        </is>
      </c>
      <c r="K22" s="6" t="inlineStr">
        <is>
          <t>2026-05-22</t>
        </is>
      </c>
      <c r="L22" s="6" t="inlineStr">
        <is>
          <t>iFinD ifind_get_stock_info (as of 2026-10-27)；奇精机械投资者关系活动记录表</t>
        </is>
      </c>
      <c r="M22" s="7" t="inlineStr">
        <is>
          <t>http://vip.stock.finance.sina.com.cn/corp/view/vCB_AllBulletinDetail.php?stockid=603677&amp;id=12353807</t>
        </is>
      </c>
    </row>
    <row r="23" ht="24" customHeight="1">
      <c r="B23" s="4" t="inlineStr">
        <is>
          <t>603955</t>
        </is>
      </c>
      <c r="C23" s="4" t="inlineStr">
        <is>
          <t>大千生态</t>
        </is>
      </c>
      <c r="D23" s="4" t="inlineStr">
        <is>
          <t>机器人：本体及应用；机器人：本体及应用</t>
        </is>
      </c>
      <c r="E23" s="4" t="inlineStr">
        <is>
          <t>摘除</t>
        </is>
      </c>
      <c r="F23" s="4" t="inlineStr">
        <is>
          <t>—</t>
        </is>
      </c>
      <c r="G23" s="4" t="inlineStr">
        <is>
          <t>—</t>
        </is>
      </c>
      <c r="H23" s="4" t="inlineStr">
        <is>
          <t>摘除</t>
        </is>
      </c>
      <c r="I23" s="4" t="inlineStr">
        <is>
          <t>公司业务为生态工程、文旅和宠物消费，智能硬件仅包括已量产宠物定位项圈及在研健康监测产品，未见机器人本体、巡检设备或具身智能产品和项目证据。宠物智能终端不能直接归为机器人本体，原两条重复的机器人本体及应用标签均缺乏产品、订单和交付依据，属于错标，去重后全部摘除。</t>
        </is>
      </c>
      <c r="J23" s="4" t="inlineStr">
        <is>
          <t>大千生态2026年半年度报告</t>
        </is>
      </c>
      <c r="K23" s="4" t="inlineStr">
        <is>
          <t>2026-08-26</t>
        </is>
      </c>
      <c r="L23" s="4" t="inlineStr">
        <is>
          <t>iFinD ifind_get_stock_info (as of 2026-10-27)；大千生态2026年半年度报告</t>
        </is>
      </c>
      <c r="M23" s="5" t="inlineStr">
        <is>
          <t>http://static.cninfo.com.cn/finalpage/2026-08-27/1225512258.PDF</t>
        </is>
      </c>
    </row>
    <row r="24" ht="24" customHeight="1">
      <c r="B24" s="6" t="inlineStr">
        <is>
          <t>688585</t>
        </is>
      </c>
      <c r="C24" s="6" t="inlineStr">
        <is>
          <t>上纬新材</t>
        </is>
      </c>
      <c r="D24" s="6" t="inlineStr">
        <is>
          <t>机器人：本体及应用</t>
        </is>
      </c>
      <c r="E24" s="6" t="inlineStr">
        <is>
          <t>摘除</t>
        </is>
      </c>
      <c r="F24" s="6" t="inlineStr">
        <is>
          <t>—</t>
        </is>
      </c>
      <c r="G24" s="6" t="inlineStr">
        <is>
          <t>—</t>
        </is>
      </c>
      <c r="H24" s="6" t="inlineStr">
        <is>
          <t>摘除</t>
        </is>
      </c>
      <c r="I24" s="6" t="inlineStr">
        <is>
          <t>公司2025年组建消费级具身机器人团队并形成小型人形样机，2026年推出启元Q1、T1，说明并非完全无产品证据。但机器人仍处研发阶段，尚未量产，也未形成收入和利润，新材料主业未改变，按研发预期和边缘标签应摘除的规则取消分类。</t>
        </is>
      </c>
      <c r="J24" s="6" t="inlineStr">
        <is>
          <t>上纬新材：2025年年度报告</t>
        </is>
      </c>
      <c r="K24" s="6" t="inlineStr">
        <is>
          <t>2026-03-31</t>
        </is>
      </c>
      <c r="L24" s="6" t="inlineStr">
        <is>
          <t>iFinD ifind_get_stock_info (as of 2026-10-27)；上纬新材：2025年年度报告</t>
        </is>
      </c>
      <c r="M24" s="7" t="inlineStr">
        <is>
          <t>https://vip.stock.finance.sina.com.cn/corp/view/vCB_AllBulletinDetail.php?stockid=688585&amp;id=12047836</t>
        </is>
      </c>
    </row>
  </sheetData>
  <autoFilter ref="B4:M24"/>
  <mergeCells count="2">
    <mergeCell ref="B3:M3"/>
    <mergeCell ref="B2:M2"/>
  </mergeCell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A1:E130"/>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机器人</t>
        </is>
      </c>
      <c r="B2" t="inlineStr">
        <is>
          <t>丝杠</t>
        </is>
      </c>
      <c r="C2" t="inlineStr">
        <is>
          <t>相关</t>
        </is>
      </c>
      <c r="D2" t="inlineStr">
        <is>
          <t>000559</t>
        </is>
      </c>
      <c r="E2" t="inlineStr">
        <is>
          <t>万向钱潮</t>
        </is>
      </c>
    </row>
    <row r="3">
      <c r="A3" t="inlineStr">
        <is>
          <t>机器人</t>
        </is>
      </c>
      <c r="B3" t="inlineStr">
        <is>
          <t>轴承</t>
        </is>
      </c>
      <c r="C3" t="inlineStr">
        <is>
          <t>相关</t>
        </is>
      </c>
      <c r="D3" t="inlineStr">
        <is>
          <t>000559</t>
        </is>
      </c>
      <c r="E3" t="inlineStr">
        <is>
          <t>万向钱潮</t>
        </is>
      </c>
    </row>
    <row r="4">
      <c r="A4" t="inlineStr">
        <is>
          <t>机器人</t>
        </is>
      </c>
      <c r="B4" t="inlineStr">
        <is>
          <t>减速器</t>
        </is>
      </c>
      <c r="C4" t="inlineStr">
        <is>
          <t>相关</t>
        </is>
      </c>
      <c r="D4" t="inlineStr">
        <is>
          <t>000559</t>
        </is>
      </c>
      <c r="E4" t="inlineStr">
        <is>
          <t>万向钱潮</t>
        </is>
      </c>
    </row>
    <row r="5">
      <c r="A5" t="inlineStr">
        <is>
          <t>机器人</t>
        </is>
      </c>
      <c r="B5" t="inlineStr">
        <is>
          <t>轴承</t>
        </is>
      </c>
      <c r="C5" t="inlineStr">
        <is>
          <t>相关</t>
        </is>
      </c>
      <c r="D5" t="inlineStr">
        <is>
          <t>000678</t>
        </is>
      </c>
      <c r="E5" t="inlineStr">
        <is>
          <t>襄阳轴承</t>
        </is>
      </c>
    </row>
    <row r="6">
      <c r="A6" t="inlineStr">
        <is>
          <t>机器人</t>
        </is>
      </c>
      <c r="B6" t="inlineStr">
        <is>
          <t>结构件</t>
        </is>
      </c>
      <c r="C6" t="inlineStr">
        <is>
          <t>相关</t>
        </is>
      </c>
      <c r="D6" t="inlineStr">
        <is>
          <t>000700</t>
        </is>
      </c>
      <c r="E6" t="inlineStr">
        <is>
          <t>模塑科技</t>
        </is>
      </c>
    </row>
    <row r="7">
      <c r="A7" t="inlineStr">
        <is>
          <t>物理AI</t>
        </is>
      </c>
      <c r="B7" t="inlineStr">
        <is>
          <t>物理AI_智能终端</t>
        </is>
      </c>
      <c r="C7" t="inlineStr">
        <is>
          <t>相关</t>
        </is>
      </c>
      <c r="D7" t="inlineStr">
        <is>
          <t>000810</t>
        </is>
      </c>
      <c r="E7" t="inlineStr">
        <is>
          <t>创维数字</t>
        </is>
      </c>
    </row>
    <row r="8">
      <c r="A8" t="inlineStr">
        <is>
          <t>物理AI</t>
        </is>
      </c>
      <c r="B8" t="inlineStr">
        <is>
          <t>物理AI_数据采集</t>
        </is>
      </c>
      <c r="C8" t="inlineStr">
        <is>
          <t>相关</t>
        </is>
      </c>
      <c r="D8" t="inlineStr">
        <is>
          <t>000810</t>
        </is>
      </c>
      <c r="E8" t="inlineStr">
        <is>
          <t>创维数字</t>
        </is>
      </c>
    </row>
    <row r="9">
      <c r="A9" t="inlineStr">
        <is>
          <t>机器人</t>
        </is>
      </c>
      <c r="B9" t="inlineStr">
        <is>
          <t>丝杠</t>
        </is>
      </c>
      <c r="C9" t="inlineStr">
        <is>
          <t>相关</t>
        </is>
      </c>
      <c r="D9" t="inlineStr">
        <is>
          <t>000837</t>
        </is>
      </c>
      <c r="E9" t="inlineStr">
        <is>
          <t>秦川机床</t>
        </is>
      </c>
    </row>
    <row r="10">
      <c r="A10" t="inlineStr">
        <is>
          <t>机器人</t>
        </is>
      </c>
      <c r="B10" t="inlineStr">
        <is>
          <t>减速器</t>
        </is>
      </c>
      <c r="C10" t="inlineStr">
        <is>
          <t>相关</t>
        </is>
      </c>
      <c r="D10" t="inlineStr">
        <is>
          <t>000837</t>
        </is>
      </c>
      <c r="E10" t="inlineStr">
        <is>
          <t>秦川机床</t>
        </is>
      </c>
    </row>
    <row r="11">
      <c r="A11" t="inlineStr">
        <is>
          <t>机器人</t>
        </is>
      </c>
      <c r="B11" t="inlineStr">
        <is>
          <t>减速器</t>
        </is>
      </c>
      <c r="C11" t="inlineStr">
        <is>
          <t>相关</t>
        </is>
      </c>
      <c r="D11" t="inlineStr">
        <is>
          <t>000887</t>
        </is>
      </c>
      <c r="E11" t="inlineStr">
        <is>
          <t>中鼎股份</t>
        </is>
      </c>
    </row>
    <row r="12">
      <c r="A12" t="inlineStr">
        <is>
          <t>机器人</t>
        </is>
      </c>
      <c r="B12" t="inlineStr">
        <is>
          <t>减速器</t>
        </is>
      </c>
      <c r="C12" t="inlineStr">
        <is>
          <t>相关</t>
        </is>
      </c>
      <c r="D12" t="inlineStr">
        <is>
          <t>001306</t>
        </is>
      </c>
      <c r="E12" t="inlineStr">
        <is>
          <t>夏厦精密</t>
        </is>
      </c>
    </row>
    <row r="13">
      <c r="A13" t="inlineStr">
        <is>
          <t>机器人</t>
        </is>
      </c>
      <c r="B13" t="inlineStr">
        <is>
          <t>本体及应用</t>
        </is>
      </c>
      <c r="C13" t="inlineStr">
        <is>
          <t>相关</t>
        </is>
      </c>
      <c r="D13" t="inlineStr">
        <is>
          <t>002009</t>
        </is>
      </c>
      <c r="E13" t="inlineStr">
        <is>
          <t>天奇股份</t>
        </is>
      </c>
    </row>
    <row r="14">
      <c r="A14" t="inlineStr">
        <is>
          <t>物理AI</t>
        </is>
      </c>
      <c r="B14" t="inlineStr">
        <is>
          <t>物理AI_数据采集</t>
        </is>
      </c>
      <c r="C14" t="inlineStr">
        <is>
          <t>相关</t>
        </is>
      </c>
      <c r="D14" t="inlineStr">
        <is>
          <t>002009</t>
        </is>
      </c>
      <c r="E14" t="inlineStr">
        <is>
          <t>天奇股份</t>
        </is>
      </c>
    </row>
    <row r="15">
      <c r="A15" t="inlineStr">
        <is>
          <t>机器人</t>
        </is>
      </c>
      <c r="B15" t="inlineStr">
        <is>
          <t>减速器</t>
        </is>
      </c>
      <c r="C15" t="inlineStr">
        <is>
          <t>相关</t>
        </is>
      </c>
      <c r="D15" t="inlineStr">
        <is>
          <t>002031</t>
        </is>
      </c>
      <c r="E15" t="inlineStr">
        <is>
          <t>巨轮智能</t>
        </is>
      </c>
    </row>
    <row r="16">
      <c r="A16" t="inlineStr">
        <is>
          <t>机器人</t>
        </is>
      </c>
      <c r="B16" t="inlineStr">
        <is>
          <t>本体及应用</t>
        </is>
      </c>
      <c r="C16" t="inlineStr">
        <is>
          <t>相关</t>
        </is>
      </c>
      <c r="D16" t="inlineStr">
        <is>
          <t>002031</t>
        </is>
      </c>
      <c r="E16" t="inlineStr">
        <is>
          <t>巨轮智能</t>
        </is>
      </c>
    </row>
    <row r="17">
      <c r="A17" t="inlineStr">
        <is>
          <t>机器人</t>
        </is>
      </c>
      <c r="B17" t="inlineStr">
        <is>
          <t>轴承</t>
        </is>
      </c>
      <c r="C17" t="inlineStr">
        <is>
          <t>相关</t>
        </is>
      </c>
      <c r="D17" t="inlineStr">
        <is>
          <t>002046</t>
        </is>
      </c>
      <c r="E17" t="inlineStr">
        <is>
          <t>国机精工</t>
        </is>
      </c>
    </row>
    <row r="18">
      <c r="A18" t="inlineStr">
        <is>
          <t>机器人</t>
        </is>
      </c>
      <c r="B18" t="inlineStr">
        <is>
          <t>总成</t>
        </is>
      </c>
      <c r="C18" t="inlineStr">
        <is>
          <t>相关</t>
        </is>
      </c>
      <c r="D18" t="inlineStr">
        <is>
          <t>002050</t>
        </is>
      </c>
      <c r="E18" t="inlineStr">
        <is>
          <t>三花智控</t>
        </is>
      </c>
    </row>
    <row r="19">
      <c r="A19" t="inlineStr">
        <is>
          <t>机器人</t>
        </is>
      </c>
      <c r="B19" t="inlineStr">
        <is>
          <t>总成</t>
        </is>
      </c>
      <c r="C19" t="inlineStr">
        <is>
          <t>相关</t>
        </is>
      </c>
      <c r="D19" t="inlineStr">
        <is>
          <t>002126</t>
        </is>
      </c>
      <c r="E19" t="inlineStr">
        <is>
          <t>银轮股份</t>
        </is>
      </c>
    </row>
    <row r="20">
      <c r="A20" t="inlineStr">
        <is>
          <t>机器人</t>
        </is>
      </c>
      <c r="B20" t="inlineStr">
        <is>
          <t>电机</t>
        </is>
      </c>
      <c r="C20" t="inlineStr">
        <is>
          <t>相关</t>
        </is>
      </c>
      <c r="D20" t="inlineStr">
        <is>
          <t>002139</t>
        </is>
      </c>
      <c r="E20" t="inlineStr">
        <is>
          <t>拓邦股份</t>
        </is>
      </c>
    </row>
    <row r="21">
      <c r="A21" t="inlineStr">
        <is>
          <t>物理AI</t>
        </is>
      </c>
      <c r="B21" t="inlineStr">
        <is>
          <t>物理AI_智能控制</t>
        </is>
      </c>
      <c r="C21" t="inlineStr">
        <is>
          <t>相关</t>
        </is>
      </c>
      <c r="D21" t="inlineStr">
        <is>
          <t>002139</t>
        </is>
      </c>
      <c r="E21" t="inlineStr">
        <is>
          <t>拓邦股份</t>
        </is>
      </c>
    </row>
    <row r="22">
      <c r="A22" t="inlineStr">
        <is>
          <t>机器人</t>
        </is>
      </c>
      <c r="B22" t="inlineStr">
        <is>
          <t>减速器</t>
        </is>
      </c>
      <c r="C22" t="inlineStr">
        <is>
          <t>相关</t>
        </is>
      </c>
      <c r="D22" t="inlineStr">
        <is>
          <t>002164</t>
        </is>
      </c>
      <c r="E22" t="inlineStr">
        <is>
          <t>宁波东力</t>
        </is>
      </c>
    </row>
    <row r="23">
      <c r="A23" t="inlineStr">
        <is>
          <t>机器人</t>
        </is>
      </c>
      <c r="B23" t="inlineStr">
        <is>
          <t>本体及应用</t>
        </is>
      </c>
      <c r="C23" t="inlineStr">
        <is>
          <t>相关</t>
        </is>
      </c>
      <c r="D23" t="inlineStr">
        <is>
          <t>002347</t>
        </is>
      </c>
      <c r="E23" t="inlineStr">
        <is>
          <t>泰尔股份</t>
        </is>
      </c>
    </row>
    <row r="24">
      <c r="A24" t="inlineStr">
        <is>
          <t>物理AI</t>
        </is>
      </c>
      <c r="B24" t="inlineStr">
        <is>
          <t>物理AI_数据采集</t>
        </is>
      </c>
      <c r="C24" t="inlineStr">
        <is>
          <t>相关</t>
        </is>
      </c>
      <c r="D24" t="inlineStr">
        <is>
          <t>002354</t>
        </is>
      </c>
      <c r="E24" t="inlineStr">
        <is>
          <t>天娱数科</t>
        </is>
      </c>
    </row>
    <row r="25">
      <c r="A25" t="inlineStr">
        <is>
          <t>物理AI</t>
        </is>
      </c>
      <c r="B25" t="inlineStr">
        <is>
          <t>物理AI_智能控制</t>
        </is>
      </c>
      <c r="C25" t="inlineStr">
        <is>
          <t>相关</t>
        </is>
      </c>
      <c r="D25" t="inlineStr">
        <is>
          <t>002380</t>
        </is>
      </c>
      <c r="E25" t="inlineStr">
        <is>
          <t>科远智慧</t>
        </is>
      </c>
    </row>
    <row r="26">
      <c r="A26" t="inlineStr">
        <is>
          <t>机器人</t>
        </is>
      </c>
      <c r="B26" t="inlineStr">
        <is>
          <t>本体及应用</t>
        </is>
      </c>
      <c r="C26" t="inlineStr">
        <is>
          <t>相关</t>
        </is>
      </c>
      <c r="D26" t="inlineStr">
        <is>
          <t>002403</t>
        </is>
      </c>
      <c r="E26" t="inlineStr">
        <is>
          <t>爱仕达</t>
        </is>
      </c>
    </row>
    <row r="27">
      <c r="A27" t="inlineStr">
        <is>
          <t>机器人</t>
        </is>
      </c>
      <c r="B27" t="inlineStr">
        <is>
          <t>减速器</t>
        </is>
      </c>
      <c r="C27" t="inlineStr">
        <is>
          <t>相关</t>
        </is>
      </c>
      <c r="D27" t="inlineStr">
        <is>
          <t>002472</t>
        </is>
      </c>
      <c r="E27" t="inlineStr">
        <is>
          <t>双环传动</t>
        </is>
      </c>
    </row>
    <row r="28">
      <c r="A28" t="inlineStr">
        <is>
          <t>机器人</t>
        </is>
      </c>
      <c r="B28" t="inlineStr">
        <is>
          <t>丝杠设备</t>
        </is>
      </c>
      <c r="C28" t="inlineStr">
        <is>
          <t>相关</t>
        </is>
      </c>
      <c r="D28" t="inlineStr">
        <is>
          <t>002520</t>
        </is>
      </c>
      <c r="E28" t="inlineStr">
        <is>
          <t>日发精机</t>
        </is>
      </c>
    </row>
    <row r="29">
      <c r="A29" t="inlineStr">
        <is>
          <t>机器人</t>
        </is>
      </c>
      <c r="B29" t="inlineStr">
        <is>
          <t>本体及应用</t>
        </is>
      </c>
      <c r="C29" t="inlineStr">
        <is>
          <t>相关</t>
        </is>
      </c>
      <c r="D29" t="inlineStr">
        <is>
          <t>002527</t>
        </is>
      </c>
      <c r="E29" t="inlineStr">
        <is>
          <t>新时达</t>
        </is>
      </c>
    </row>
    <row r="30">
      <c r="A30" t="inlineStr">
        <is>
          <t>物理AI</t>
        </is>
      </c>
      <c r="B30" t="inlineStr">
        <is>
          <t>物理AI_具身本体</t>
        </is>
      </c>
      <c r="C30" t="inlineStr">
        <is>
          <t>相关</t>
        </is>
      </c>
      <c r="D30" t="inlineStr">
        <is>
          <t>002527</t>
        </is>
      </c>
      <c r="E30" t="inlineStr">
        <is>
          <t>新时达</t>
        </is>
      </c>
    </row>
    <row r="31">
      <c r="A31" t="inlineStr">
        <is>
          <t>机器人</t>
        </is>
      </c>
      <c r="B31" t="inlineStr">
        <is>
          <t>轴承</t>
        </is>
      </c>
      <c r="C31" t="inlineStr">
        <is>
          <t>相关</t>
        </is>
      </c>
      <c r="D31" t="inlineStr">
        <is>
          <t>002553</t>
        </is>
      </c>
      <c r="E31" t="inlineStr">
        <is>
          <t>南方精工</t>
        </is>
      </c>
    </row>
    <row r="32">
      <c r="A32" t="inlineStr">
        <is>
          <t>物理AI</t>
        </is>
      </c>
      <c r="B32" t="inlineStr">
        <is>
          <t>物理AI_智能终端</t>
        </is>
      </c>
      <c r="C32" t="inlineStr">
        <is>
          <t>相关</t>
        </is>
      </c>
      <c r="D32" t="inlineStr">
        <is>
          <t>002681</t>
        </is>
      </c>
      <c r="E32" t="inlineStr">
        <is>
          <t>奋达科技</t>
        </is>
      </c>
    </row>
    <row r="33">
      <c r="A33" t="inlineStr">
        <is>
          <t>机器人</t>
        </is>
      </c>
      <c r="B33" t="inlineStr">
        <is>
          <t>本体及应用</t>
        </is>
      </c>
      <c r="C33" t="inlineStr">
        <is>
          <t>核心</t>
        </is>
      </c>
      <c r="D33" t="inlineStr">
        <is>
          <t>002698</t>
        </is>
      </c>
      <c r="E33" t="inlineStr">
        <is>
          <t>博实股份</t>
        </is>
      </c>
    </row>
    <row r="34">
      <c r="A34" t="inlineStr">
        <is>
          <t>机器人</t>
        </is>
      </c>
      <c r="B34" t="inlineStr">
        <is>
          <t>本体及应用</t>
        </is>
      </c>
      <c r="C34" t="inlineStr">
        <is>
          <t>核心</t>
        </is>
      </c>
      <c r="D34" t="inlineStr">
        <is>
          <t>002747</t>
        </is>
      </c>
      <c r="E34" t="inlineStr">
        <is>
          <t>埃斯顿</t>
        </is>
      </c>
    </row>
    <row r="35">
      <c r="A35" t="inlineStr">
        <is>
          <t>机器人</t>
        </is>
      </c>
      <c r="B35" t="inlineStr">
        <is>
          <t>关节模组</t>
        </is>
      </c>
      <c r="C35" t="inlineStr">
        <is>
          <t>相关</t>
        </is>
      </c>
      <c r="D35" t="inlineStr">
        <is>
          <t>002765</t>
        </is>
      </c>
      <c r="E35" t="inlineStr">
        <is>
          <t>蓝黛科技</t>
        </is>
      </c>
    </row>
    <row r="36">
      <c r="A36" t="inlineStr">
        <is>
          <t>物理AI</t>
        </is>
      </c>
      <c r="B36" t="inlineStr">
        <is>
          <t>物理AI_传感器</t>
        </is>
      </c>
      <c r="C36" t="inlineStr">
        <is>
          <t>核心</t>
        </is>
      </c>
      <c r="D36" t="inlineStr">
        <is>
          <t>002829</t>
        </is>
      </c>
      <c r="E36" t="inlineStr">
        <is>
          <t>星网宇达</t>
        </is>
      </c>
    </row>
    <row r="37">
      <c r="A37" t="inlineStr">
        <is>
          <t>物理AI</t>
        </is>
      </c>
      <c r="B37" t="inlineStr">
        <is>
          <t>物理AI_具身本体</t>
        </is>
      </c>
      <c r="C37" t="inlineStr">
        <is>
          <t>核心</t>
        </is>
      </c>
      <c r="D37" t="inlineStr">
        <is>
          <t>002829</t>
        </is>
      </c>
      <c r="E37" t="inlineStr">
        <is>
          <t>星网宇达</t>
        </is>
      </c>
    </row>
    <row r="38">
      <c r="A38" t="inlineStr">
        <is>
          <t>机器人</t>
        </is>
      </c>
      <c r="B38" t="inlineStr">
        <is>
          <t>电机</t>
        </is>
      </c>
      <c r="C38" t="inlineStr">
        <is>
          <t>相关</t>
        </is>
      </c>
      <c r="D38" t="inlineStr">
        <is>
          <t>002892</t>
        </is>
      </c>
      <c r="E38" t="inlineStr">
        <is>
          <t>科力尔</t>
        </is>
      </c>
    </row>
    <row r="39">
      <c r="A39" t="inlineStr">
        <is>
          <t>机器人</t>
        </is>
      </c>
      <c r="B39" t="inlineStr">
        <is>
          <t>减速器</t>
        </is>
      </c>
      <c r="C39" t="inlineStr">
        <is>
          <t>核心</t>
        </is>
      </c>
      <c r="D39" t="inlineStr">
        <is>
          <t>002896</t>
        </is>
      </c>
      <c r="E39" t="inlineStr">
        <is>
          <t>中大力德</t>
        </is>
      </c>
    </row>
    <row r="40">
      <c r="A40" t="inlineStr">
        <is>
          <t>机器人</t>
        </is>
      </c>
      <c r="B40" t="inlineStr">
        <is>
          <t>电机</t>
        </is>
      </c>
      <c r="C40" t="inlineStr">
        <is>
          <t>核心</t>
        </is>
      </c>
      <c r="D40" t="inlineStr">
        <is>
          <t>002979</t>
        </is>
      </c>
      <c r="E40" t="inlineStr">
        <is>
          <t>雷赛智能</t>
        </is>
      </c>
    </row>
    <row r="41">
      <c r="A41" t="inlineStr">
        <is>
          <t>机器人</t>
        </is>
      </c>
      <c r="B41" t="inlineStr">
        <is>
          <t>灵巧手</t>
        </is>
      </c>
      <c r="C41" t="inlineStr">
        <is>
          <t>相关</t>
        </is>
      </c>
      <c r="D41" t="inlineStr">
        <is>
          <t>003021</t>
        </is>
      </c>
      <c r="E41" t="inlineStr">
        <is>
          <t>兆威机电</t>
        </is>
      </c>
    </row>
    <row r="42">
      <c r="A42" t="inlineStr">
        <is>
          <t>机器人</t>
        </is>
      </c>
      <c r="B42" t="inlineStr">
        <is>
          <t>微型链/灵巧手</t>
        </is>
      </c>
      <c r="C42" t="inlineStr">
        <is>
          <t>相关</t>
        </is>
      </c>
      <c r="D42" t="inlineStr">
        <is>
          <t>003033</t>
        </is>
      </c>
      <c r="E42" t="inlineStr">
        <is>
          <t>征和工业</t>
        </is>
      </c>
    </row>
    <row r="43">
      <c r="A43" t="inlineStr">
        <is>
          <t>物理AI</t>
        </is>
      </c>
      <c r="B43" t="inlineStr">
        <is>
          <t>物理AI_传感器</t>
        </is>
      </c>
      <c r="C43" t="inlineStr">
        <is>
          <t>相关</t>
        </is>
      </c>
      <c r="D43" t="inlineStr">
        <is>
          <t>300007</t>
        </is>
      </c>
      <c r="E43" t="inlineStr">
        <is>
          <t>汉威科技</t>
        </is>
      </c>
    </row>
    <row r="44">
      <c r="A44" t="inlineStr">
        <is>
          <t>机器人</t>
        </is>
      </c>
      <c r="B44" t="inlineStr">
        <is>
          <t>本体及应用</t>
        </is>
      </c>
      <c r="C44" t="inlineStr">
        <is>
          <t>相关</t>
        </is>
      </c>
      <c r="D44" t="inlineStr">
        <is>
          <t>300024</t>
        </is>
      </c>
      <c r="E44" t="inlineStr">
        <is>
          <t>机器人</t>
        </is>
      </c>
    </row>
    <row r="45">
      <c r="A45" t="inlineStr">
        <is>
          <t>物理AI</t>
        </is>
      </c>
      <c r="B45" t="inlineStr">
        <is>
          <t>物理AI_具身本体</t>
        </is>
      </c>
      <c r="C45" t="inlineStr">
        <is>
          <t>相关</t>
        </is>
      </c>
      <c r="D45" t="inlineStr">
        <is>
          <t>300024</t>
        </is>
      </c>
      <c r="E45" t="inlineStr">
        <is>
          <t>机器人</t>
        </is>
      </c>
    </row>
    <row r="46">
      <c r="A46" t="inlineStr">
        <is>
          <t>机器人</t>
        </is>
      </c>
      <c r="B46" t="inlineStr">
        <is>
          <t>丝杠</t>
        </is>
      </c>
      <c r="C46" t="inlineStr">
        <is>
          <t>相关</t>
        </is>
      </c>
      <c r="D46" t="inlineStr">
        <is>
          <t>300100</t>
        </is>
      </c>
      <c r="E46" t="inlineStr">
        <is>
          <t>双林股份</t>
        </is>
      </c>
    </row>
    <row r="47">
      <c r="A47" t="inlineStr">
        <is>
          <t>机器人</t>
        </is>
      </c>
      <c r="B47" t="inlineStr">
        <is>
          <t>电机</t>
        </is>
      </c>
      <c r="C47" t="inlineStr">
        <is>
          <t>核心</t>
        </is>
      </c>
      <c r="D47" t="inlineStr">
        <is>
          <t>300124</t>
        </is>
      </c>
      <c r="E47" t="inlineStr">
        <is>
          <t>汇川技术</t>
        </is>
      </c>
    </row>
    <row r="48">
      <c r="A48" t="inlineStr">
        <is>
          <t>物理AI</t>
        </is>
      </c>
      <c r="B48" t="inlineStr">
        <is>
          <t>物理AI_动作捕捉</t>
        </is>
      </c>
      <c r="C48" t="inlineStr">
        <is>
          <t>相关</t>
        </is>
      </c>
      <c r="D48" t="inlineStr">
        <is>
          <t>300296</t>
        </is>
      </c>
      <c r="E48" t="inlineStr">
        <is>
          <t>利亚德</t>
        </is>
      </c>
    </row>
    <row r="49">
      <c r="A49" t="inlineStr">
        <is>
          <t>机器人</t>
        </is>
      </c>
      <c r="B49" t="inlineStr">
        <is>
          <t>自动化集成</t>
        </is>
      </c>
      <c r="C49" t="inlineStr">
        <is>
          <t>相关</t>
        </is>
      </c>
      <c r="D49" t="inlineStr">
        <is>
          <t>300307</t>
        </is>
      </c>
      <c r="E49" t="inlineStr">
        <is>
          <t>慈星股份</t>
        </is>
      </c>
    </row>
    <row r="50">
      <c r="A50" t="inlineStr">
        <is>
          <t>物理AI</t>
        </is>
      </c>
      <c r="B50" t="inlineStr">
        <is>
          <t>物理AI_传感器</t>
        </is>
      </c>
      <c r="C50" t="inlineStr">
        <is>
          <t>相关</t>
        </is>
      </c>
      <c r="D50" t="inlineStr">
        <is>
          <t>300354</t>
        </is>
      </c>
      <c r="E50" t="inlineStr">
        <is>
          <t>东华测试</t>
        </is>
      </c>
    </row>
    <row r="51">
      <c r="A51" t="inlineStr">
        <is>
          <t>机器人</t>
        </is>
      </c>
      <c r="B51" t="inlineStr">
        <is>
          <t>滚动体</t>
        </is>
      </c>
      <c r="C51" t="inlineStr">
        <is>
          <t>相关</t>
        </is>
      </c>
      <c r="D51" t="inlineStr">
        <is>
          <t>300421</t>
        </is>
      </c>
      <c r="E51" t="inlineStr">
        <is>
          <t>力星股份</t>
        </is>
      </c>
    </row>
    <row r="52">
      <c r="A52" t="inlineStr">
        <is>
          <t>机器人</t>
        </is>
      </c>
      <c r="B52" t="inlineStr">
        <is>
          <t>关节模组</t>
        </is>
      </c>
      <c r="C52" t="inlineStr">
        <is>
          <t>相关</t>
        </is>
      </c>
      <c r="D52" t="inlineStr">
        <is>
          <t>300432</t>
        </is>
      </c>
      <c r="E52" t="inlineStr">
        <is>
          <t>富临精工</t>
        </is>
      </c>
    </row>
    <row r="53">
      <c r="A53" t="inlineStr">
        <is>
          <t>机器人</t>
        </is>
      </c>
      <c r="B53" t="inlineStr">
        <is>
          <t>加工刀具</t>
        </is>
      </c>
      <c r="C53" t="inlineStr">
        <is>
          <t>相关</t>
        </is>
      </c>
      <c r="D53" t="inlineStr">
        <is>
          <t>300488</t>
        </is>
      </c>
      <c r="E53" t="inlineStr">
        <is>
          <t>恒锋工具</t>
        </is>
      </c>
    </row>
    <row r="54">
      <c r="A54" t="inlineStr">
        <is>
          <t>机器人</t>
        </is>
      </c>
      <c r="B54" t="inlineStr">
        <is>
          <t>关节模组</t>
        </is>
      </c>
      <c r="C54" t="inlineStr">
        <is>
          <t>相关</t>
        </is>
      </c>
      <c r="D54" t="inlineStr">
        <is>
          <t>300503</t>
        </is>
      </c>
      <c r="E54" t="inlineStr">
        <is>
          <t>昊志机电</t>
        </is>
      </c>
    </row>
    <row r="55">
      <c r="A55" t="inlineStr">
        <is>
          <t>机器人</t>
        </is>
      </c>
      <c r="B55" t="inlineStr">
        <is>
          <t>丝杠</t>
        </is>
      </c>
      <c r="C55" t="inlineStr">
        <is>
          <t>相关</t>
        </is>
      </c>
      <c r="D55" t="inlineStr">
        <is>
          <t>300580</t>
        </is>
      </c>
      <c r="E55" t="inlineStr">
        <is>
          <t>贝斯特</t>
        </is>
      </c>
    </row>
    <row r="56">
      <c r="A56" t="inlineStr">
        <is>
          <t>机器人</t>
        </is>
      </c>
      <c r="B56" t="inlineStr">
        <is>
          <t>本体及应用</t>
        </is>
      </c>
      <c r="C56" t="inlineStr">
        <is>
          <t>核心</t>
        </is>
      </c>
      <c r="D56" t="inlineStr">
        <is>
          <t>300607</t>
        </is>
      </c>
      <c r="E56" t="inlineStr">
        <is>
          <t>拓斯达</t>
        </is>
      </c>
    </row>
    <row r="57">
      <c r="A57" t="inlineStr">
        <is>
          <t>物理AI</t>
        </is>
      </c>
      <c r="B57" t="inlineStr">
        <is>
          <t>物理AI_具身本体</t>
        </is>
      </c>
      <c r="C57" t="inlineStr">
        <is>
          <t>相关</t>
        </is>
      </c>
      <c r="D57" t="inlineStr">
        <is>
          <t>300607</t>
        </is>
      </c>
      <c r="E57" t="inlineStr">
        <is>
          <t>拓斯达</t>
        </is>
      </c>
    </row>
    <row r="58">
      <c r="A58" t="inlineStr">
        <is>
          <t>机器人</t>
        </is>
      </c>
      <c r="B58" t="inlineStr">
        <is>
          <t>弹性元件</t>
        </is>
      </c>
      <c r="C58" t="inlineStr">
        <is>
          <t>相关</t>
        </is>
      </c>
      <c r="D58" t="inlineStr">
        <is>
          <t>300611</t>
        </is>
      </c>
      <c r="E58" t="inlineStr">
        <is>
          <t>美力科技</t>
        </is>
      </c>
    </row>
    <row r="59">
      <c r="A59" t="inlineStr">
        <is>
          <t>机器人</t>
        </is>
      </c>
      <c r="B59" t="inlineStr">
        <is>
          <t>电机</t>
        </is>
      </c>
      <c r="C59" t="inlineStr">
        <is>
          <t>相关</t>
        </is>
      </c>
      <c r="D59" t="inlineStr">
        <is>
          <t>300660</t>
        </is>
      </c>
      <c r="E59" t="inlineStr">
        <is>
          <t>江苏雷利</t>
        </is>
      </c>
    </row>
    <row r="60">
      <c r="A60" t="inlineStr">
        <is>
          <t>机器人</t>
        </is>
      </c>
      <c r="B60" t="inlineStr">
        <is>
          <t>灵巧手</t>
        </is>
      </c>
      <c r="C60" t="inlineStr">
        <is>
          <t>相关</t>
        </is>
      </c>
      <c r="D60" t="inlineStr">
        <is>
          <t>300680</t>
        </is>
      </c>
      <c r="E60" t="inlineStr">
        <is>
          <t>隆盛科技</t>
        </is>
      </c>
    </row>
    <row r="61">
      <c r="A61" t="inlineStr">
        <is>
          <t>机器人</t>
        </is>
      </c>
      <c r="B61" t="inlineStr">
        <is>
          <t>轴承</t>
        </is>
      </c>
      <c r="C61" t="inlineStr">
        <is>
          <t>相关</t>
        </is>
      </c>
      <c r="D61" t="inlineStr">
        <is>
          <t>300718</t>
        </is>
      </c>
      <c r="E61" t="inlineStr">
        <is>
          <t>长盛轴承</t>
        </is>
      </c>
    </row>
    <row r="62">
      <c r="A62" t="inlineStr">
        <is>
          <t>机器人</t>
        </is>
      </c>
      <c r="B62" t="inlineStr">
        <is>
          <t>丝杠设备</t>
        </is>
      </c>
      <c r="C62" t="inlineStr">
        <is>
          <t>相关</t>
        </is>
      </c>
      <c r="D62" t="inlineStr">
        <is>
          <t>300809</t>
        </is>
      </c>
      <c r="E62" t="inlineStr">
        <is>
          <t>华辰装备</t>
        </is>
      </c>
    </row>
    <row r="63">
      <c r="A63" t="inlineStr">
        <is>
          <t>物理AI</t>
        </is>
      </c>
      <c r="B63" t="inlineStr">
        <is>
          <t>物理AI_具身本体</t>
        </is>
      </c>
      <c r="C63" t="inlineStr">
        <is>
          <t>核心</t>
        </is>
      </c>
      <c r="D63" t="inlineStr">
        <is>
          <t>300853</t>
        </is>
      </c>
      <c r="E63" t="inlineStr">
        <is>
          <t>申昊科技</t>
        </is>
      </c>
    </row>
    <row r="64">
      <c r="A64" t="inlineStr">
        <is>
          <t>机器人</t>
        </is>
      </c>
      <c r="B64" t="inlineStr">
        <is>
          <t>腱绳材料</t>
        </is>
      </c>
      <c r="C64" t="inlineStr">
        <is>
          <t>相关</t>
        </is>
      </c>
      <c r="D64" t="inlineStr">
        <is>
          <t>300918</t>
        </is>
      </c>
      <c r="E64" t="inlineStr">
        <is>
          <t>南山智尚</t>
        </is>
      </c>
    </row>
    <row r="65">
      <c r="A65" t="inlineStr">
        <is>
          <t>机器人</t>
        </is>
      </c>
      <c r="B65" t="inlineStr">
        <is>
          <t>执行器</t>
        </is>
      </c>
      <c r="C65" t="inlineStr">
        <is>
          <t>相关</t>
        </is>
      </c>
      <c r="D65" t="inlineStr">
        <is>
          <t>300953</t>
        </is>
      </c>
      <c r="E65" t="inlineStr">
        <is>
          <t>震裕科技</t>
        </is>
      </c>
    </row>
    <row r="66">
      <c r="A66" t="inlineStr">
        <is>
          <t>机器人</t>
        </is>
      </c>
      <c r="B66" t="inlineStr">
        <is>
          <t>丝杠零部件</t>
        </is>
      </c>
      <c r="C66" t="inlineStr">
        <is>
          <t>相关</t>
        </is>
      </c>
      <c r="D66" t="inlineStr">
        <is>
          <t>300984</t>
        </is>
      </c>
      <c r="E66" t="inlineStr">
        <is>
          <t>金沃股份</t>
        </is>
      </c>
    </row>
    <row r="67">
      <c r="A67" t="inlineStr">
        <is>
          <t>机器人</t>
        </is>
      </c>
      <c r="B67" t="inlineStr">
        <is>
          <t>结构件</t>
        </is>
      </c>
      <c r="C67" t="inlineStr">
        <is>
          <t>相关</t>
        </is>
      </c>
      <c r="D67" t="inlineStr">
        <is>
          <t>301000</t>
        </is>
      </c>
      <c r="E67" t="inlineStr">
        <is>
          <t>肇民科技</t>
        </is>
      </c>
    </row>
    <row r="68">
      <c r="A68" t="inlineStr">
        <is>
          <t>机器人</t>
        </is>
      </c>
      <c r="B68" t="inlineStr">
        <is>
          <t>微特减速电机</t>
        </is>
      </c>
      <c r="C68" t="inlineStr">
        <is>
          <t>相关</t>
        </is>
      </c>
      <c r="D68" t="inlineStr">
        <is>
          <t>301023</t>
        </is>
      </c>
      <c r="E68" t="inlineStr">
        <is>
          <t>奕帆传动</t>
        </is>
      </c>
    </row>
    <row r="69">
      <c r="A69" t="inlineStr">
        <is>
          <t>机器人</t>
        </is>
      </c>
      <c r="B69" t="inlineStr">
        <is>
          <t>自动化集成</t>
        </is>
      </c>
      <c r="C69" t="inlineStr">
        <is>
          <t>核心</t>
        </is>
      </c>
      <c r="D69" t="inlineStr">
        <is>
          <t>301199</t>
        </is>
      </c>
      <c r="E69" t="inlineStr">
        <is>
          <t>迈赫股份</t>
        </is>
      </c>
    </row>
    <row r="70">
      <c r="A70" t="inlineStr">
        <is>
          <t>机器人</t>
        </is>
      </c>
      <c r="B70" t="inlineStr">
        <is>
          <t>减速器零部件</t>
        </is>
      </c>
      <c r="C70" t="inlineStr">
        <is>
          <t>相关</t>
        </is>
      </c>
      <c r="D70" t="inlineStr">
        <is>
          <t>301261</t>
        </is>
      </c>
      <c r="E70" t="inlineStr">
        <is>
          <t>恒工精密</t>
        </is>
      </c>
    </row>
    <row r="71">
      <c r="A71" t="inlineStr">
        <is>
          <t>机器人</t>
        </is>
      </c>
      <c r="B71" t="inlineStr">
        <is>
          <t>减速器</t>
        </is>
      </c>
      <c r="C71" t="inlineStr">
        <is>
          <t>相关</t>
        </is>
      </c>
      <c r="D71" t="inlineStr">
        <is>
          <t>301368</t>
        </is>
      </c>
      <c r="E71" t="inlineStr">
        <is>
          <t>丰立智能</t>
        </is>
      </c>
    </row>
    <row r="72">
      <c r="A72" t="inlineStr">
        <is>
          <t>物理AI</t>
        </is>
      </c>
      <c r="B72" t="inlineStr">
        <is>
          <t>物理AI_传感器</t>
        </is>
      </c>
      <c r="C72" t="inlineStr">
        <is>
          <t>相关</t>
        </is>
      </c>
      <c r="D72" t="inlineStr">
        <is>
          <t>301413</t>
        </is>
      </c>
      <c r="E72" t="inlineStr">
        <is>
          <t>安培龙</t>
        </is>
      </c>
    </row>
    <row r="73">
      <c r="A73" t="inlineStr">
        <is>
          <t>物理AI</t>
        </is>
      </c>
      <c r="B73" t="inlineStr">
        <is>
          <t>物理AI_智能控制</t>
        </is>
      </c>
      <c r="C73" t="inlineStr">
        <is>
          <t>核心</t>
        </is>
      </c>
      <c r="D73" t="inlineStr">
        <is>
          <t>301510</t>
        </is>
      </c>
      <c r="E73" t="inlineStr">
        <is>
          <t>固高科技</t>
        </is>
      </c>
    </row>
    <row r="74">
      <c r="A74" t="inlineStr">
        <is>
          <t>机器人</t>
        </is>
      </c>
      <c r="B74" t="inlineStr">
        <is>
          <t>减速器</t>
        </is>
      </c>
      <c r="C74" t="inlineStr">
        <is>
          <t>相关</t>
        </is>
      </c>
      <c r="D74" t="inlineStr">
        <is>
          <t>301550</t>
        </is>
      </c>
      <c r="E74" t="inlineStr">
        <is>
          <t>斯菱智驱</t>
        </is>
      </c>
    </row>
    <row r="75">
      <c r="A75" t="inlineStr">
        <is>
          <t>机器人</t>
        </is>
      </c>
      <c r="B75" t="inlineStr">
        <is>
          <t>减速器</t>
        </is>
      </c>
      <c r="C75" t="inlineStr">
        <is>
          <t>相关</t>
        </is>
      </c>
      <c r="D75" t="inlineStr">
        <is>
          <t>301596</t>
        </is>
      </c>
      <c r="E75" t="inlineStr">
        <is>
          <t>瑞迪智驱</t>
        </is>
      </c>
    </row>
    <row r="76">
      <c r="A76" t="inlineStr">
        <is>
          <t>机器人</t>
        </is>
      </c>
      <c r="B76" t="inlineStr">
        <is>
          <t>自动化集成</t>
        </is>
      </c>
      <c r="C76" t="inlineStr">
        <is>
          <t>核心</t>
        </is>
      </c>
      <c r="D76" t="inlineStr">
        <is>
          <t>600215</t>
        </is>
      </c>
      <c r="E76" t="inlineStr">
        <is>
          <t>派斯林</t>
        </is>
      </c>
    </row>
    <row r="77">
      <c r="A77" t="inlineStr">
        <is>
          <t>物理AI</t>
        </is>
      </c>
      <c r="B77" t="inlineStr">
        <is>
          <t>物理AI_传感器</t>
        </is>
      </c>
      <c r="C77" t="inlineStr">
        <is>
          <t>相关</t>
        </is>
      </c>
      <c r="D77" t="inlineStr">
        <is>
          <t>600480</t>
        </is>
      </c>
      <c r="E77" t="inlineStr">
        <is>
          <t>凌云股份</t>
        </is>
      </c>
    </row>
    <row r="78">
      <c r="A78" t="inlineStr">
        <is>
          <t>机器人</t>
        </is>
      </c>
      <c r="B78" t="inlineStr">
        <is>
          <t>电机</t>
        </is>
      </c>
      <c r="C78" t="inlineStr">
        <is>
          <t>相关</t>
        </is>
      </c>
      <c r="D78" t="inlineStr">
        <is>
          <t>600580</t>
        </is>
      </c>
      <c r="E78" t="inlineStr">
        <is>
          <t>卧龙电驱</t>
        </is>
      </c>
    </row>
    <row r="79">
      <c r="A79" t="inlineStr">
        <is>
          <t>物理AI</t>
        </is>
      </c>
      <c r="B79" t="inlineStr">
        <is>
          <t>物理AI_智能控制</t>
        </is>
      </c>
      <c r="C79" t="inlineStr">
        <is>
          <t>相关</t>
        </is>
      </c>
      <c r="D79" t="inlineStr">
        <is>
          <t>600699</t>
        </is>
      </c>
      <c r="E79" t="inlineStr">
        <is>
          <t>均胜电子</t>
        </is>
      </c>
    </row>
    <row r="80">
      <c r="A80" t="inlineStr">
        <is>
          <t>机器人</t>
        </is>
      </c>
      <c r="B80" t="inlineStr">
        <is>
          <t>丝杠</t>
        </is>
      </c>
      <c r="C80" t="inlineStr">
        <is>
          <t>相关</t>
        </is>
      </c>
      <c r="D80" t="inlineStr">
        <is>
          <t>601100</t>
        </is>
      </c>
      <c r="E80" t="inlineStr">
        <is>
          <t>恒立液压</t>
        </is>
      </c>
    </row>
    <row r="81">
      <c r="A81" t="inlineStr">
        <is>
          <t>机器人</t>
        </is>
      </c>
      <c r="B81" t="inlineStr">
        <is>
          <t>总成</t>
        </is>
      </c>
      <c r="C81" t="inlineStr">
        <is>
          <t>相关</t>
        </is>
      </c>
      <c r="D81" t="inlineStr">
        <is>
          <t>601689</t>
        </is>
      </c>
      <c r="E81" t="inlineStr">
        <is>
          <t>拓普集团</t>
        </is>
      </c>
    </row>
    <row r="82">
      <c r="A82" t="inlineStr">
        <is>
          <t>机器人</t>
        </is>
      </c>
      <c r="B82" t="inlineStr">
        <is>
          <t>腱绳材料</t>
        </is>
      </c>
      <c r="C82" t="inlineStr">
        <is>
          <t>相关</t>
        </is>
      </c>
      <c r="D82" t="inlineStr">
        <is>
          <t>603028</t>
        </is>
      </c>
      <c r="E82" t="inlineStr">
        <is>
          <t>赛福天</t>
        </is>
      </c>
    </row>
    <row r="83">
      <c r="A83" t="inlineStr">
        <is>
          <t>机器人</t>
        </is>
      </c>
      <c r="B83" t="inlineStr">
        <is>
          <t>场景应用</t>
        </is>
      </c>
      <c r="C83" t="inlineStr">
        <is>
          <t>相关</t>
        </is>
      </c>
      <c r="D83" t="inlineStr">
        <is>
          <t>603081</t>
        </is>
      </c>
      <c r="E83" t="inlineStr">
        <is>
          <t>大丰实业</t>
        </is>
      </c>
    </row>
    <row r="84">
      <c r="A84" t="inlineStr">
        <is>
          <t>机器人</t>
        </is>
      </c>
      <c r="B84" t="inlineStr">
        <is>
          <t>自动化集成</t>
        </is>
      </c>
      <c r="C84" t="inlineStr">
        <is>
          <t>核心</t>
        </is>
      </c>
      <c r="D84" t="inlineStr">
        <is>
          <t>603082</t>
        </is>
      </c>
      <c r="E84" t="inlineStr">
        <is>
          <t>北自科技</t>
        </is>
      </c>
    </row>
    <row r="85">
      <c r="A85" t="inlineStr">
        <is>
          <t>机器人</t>
        </is>
      </c>
      <c r="B85" t="inlineStr">
        <is>
          <t>结构件</t>
        </is>
      </c>
      <c r="C85" t="inlineStr">
        <is>
          <t>相关</t>
        </is>
      </c>
      <c r="D85" t="inlineStr">
        <is>
          <t>603119</t>
        </is>
      </c>
      <c r="E85" t="inlineStr">
        <is>
          <t>浙江荣泰</t>
        </is>
      </c>
    </row>
    <row r="86">
      <c r="A86" t="inlineStr">
        <is>
          <t>物理AI</t>
        </is>
      </c>
      <c r="B86" t="inlineStr">
        <is>
          <t>物理AI_通信模组</t>
        </is>
      </c>
      <c r="C86" t="inlineStr">
        <is>
          <t>核心</t>
        </is>
      </c>
      <c r="D86" t="inlineStr">
        <is>
          <t>603236</t>
        </is>
      </c>
      <c r="E86" t="inlineStr">
        <is>
          <t>移远通信</t>
        </is>
      </c>
    </row>
    <row r="87">
      <c r="A87" t="inlineStr">
        <is>
          <t>物理AI</t>
        </is>
      </c>
      <c r="B87" t="inlineStr">
        <is>
          <t>物理AI_传感器</t>
        </is>
      </c>
      <c r="C87" t="inlineStr">
        <is>
          <t>相关</t>
        </is>
      </c>
      <c r="D87" t="inlineStr">
        <is>
          <t>603286</t>
        </is>
      </c>
      <c r="E87" t="inlineStr">
        <is>
          <t>日盈电子</t>
        </is>
      </c>
    </row>
    <row r="88">
      <c r="A88" t="inlineStr">
        <is>
          <t>机器人</t>
        </is>
      </c>
      <c r="B88" t="inlineStr">
        <is>
          <t>结构件</t>
        </is>
      </c>
      <c r="C88" t="inlineStr">
        <is>
          <t>相关</t>
        </is>
      </c>
      <c r="D88" t="inlineStr">
        <is>
          <t>603305</t>
        </is>
      </c>
      <c r="E88" t="inlineStr">
        <is>
          <t>旭升集团</t>
        </is>
      </c>
    </row>
    <row r="89">
      <c r="A89" t="inlineStr">
        <is>
          <t>物理AI</t>
        </is>
      </c>
      <c r="B89" t="inlineStr">
        <is>
          <t>物理AI_具身本体</t>
        </is>
      </c>
      <c r="C89" t="inlineStr">
        <is>
          <t>相关</t>
        </is>
      </c>
      <c r="D89" t="inlineStr">
        <is>
          <t>603337</t>
        </is>
      </c>
      <c r="E89" t="inlineStr">
        <is>
          <t>杰克科技</t>
        </is>
      </c>
    </row>
    <row r="90">
      <c r="A90" t="inlineStr">
        <is>
          <t>物理AI</t>
        </is>
      </c>
      <c r="B90" t="inlineStr">
        <is>
          <t>物理AI_智能终端</t>
        </is>
      </c>
      <c r="C90" t="inlineStr">
        <is>
          <t>核心</t>
        </is>
      </c>
      <c r="D90" t="inlineStr">
        <is>
          <t>603341</t>
        </is>
      </c>
      <c r="E90" t="inlineStr">
        <is>
          <t>龙旗科技</t>
        </is>
      </c>
    </row>
    <row r="91">
      <c r="A91" t="inlineStr">
        <is>
          <t>机器人</t>
        </is>
      </c>
      <c r="B91" t="inlineStr">
        <is>
          <t>电机</t>
        </is>
      </c>
      <c r="C91" t="inlineStr">
        <is>
          <t>相关</t>
        </is>
      </c>
      <c r="D91" t="inlineStr">
        <is>
          <t>603350</t>
        </is>
      </c>
      <c r="E91" t="inlineStr">
        <is>
          <t>安乃达</t>
        </is>
      </c>
    </row>
    <row r="92">
      <c r="A92" t="inlineStr">
        <is>
          <t>机器人</t>
        </is>
      </c>
      <c r="B92" t="inlineStr">
        <is>
          <t>精密铁芯</t>
        </is>
      </c>
      <c r="C92" t="inlineStr">
        <is>
          <t>相关</t>
        </is>
      </c>
      <c r="D92" t="inlineStr">
        <is>
          <t>603370</t>
        </is>
      </c>
      <c r="E92" t="inlineStr">
        <is>
          <t>华新精科</t>
        </is>
      </c>
    </row>
    <row r="93">
      <c r="A93" t="inlineStr">
        <is>
          <t>机器人</t>
        </is>
      </c>
      <c r="B93" t="inlineStr">
        <is>
          <t>工业自动化</t>
        </is>
      </c>
      <c r="C93" t="inlineStr">
        <is>
          <t>相关</t>
        </is>
      </c>
      <c r="D93" t="inlineStr">
        <is>
          <t>603416</t>
        </is>
      </c>
      <c r="E93" t="inlineStr">
        <is>
          <t>信捷电气</t>
        </is>
      </c>
    </row>
    <row r="94">
      <c r="A94" t="inlineStr">
        <is>
          <t>物理AI</t>
        </is>
      </c>
      <c r="B94" t="inlineStr">
        <is>
          <t>物理AI_具身本体</t>
        </is>
      </c>
      <c r="C94" t="inlineStr">
        <is>
          <t>相关</t>
        </is>
      </c>
      <c r="D94" t="inlineStr">
        <is>
          <t>603528</t>
        </is>
      </c>
      <c r="E94" t="inlineStr">
        <is>
          <t>多伦科技</t>
        </is>
      </c>
    </row>
    <row r="95">
      <c r="A95" t="inlineStr">
        <is>
          <t>物理AI</t>
        </is>
      </c>
      <c r="B95" t="inlineStr">
        <is>
          <t>物理AI_具身本体</t>
        </is>
      </c>
      <c r="C95" t="inlineStr">
        <is>
          <t>相关</t>
        </is>
      </c>
      <c r="D95" t="inlineStr">
        <is>
          <t>603657</t>
        </is>
      </c>
      <c r="E95" t="inlineStr">
        <is>
          <t>春光科技</t>
        </is>
      </c>
    </row>
    <row r="96">
      <c r="A96" t="inlineStr">
        <is>
          <t>物理AI</t>
        </is>
      </c>
      <c r="B96" t="inlineStr">
        <is>
          <t>物理AI_传感器</t>
        </is>
      </c>
      <c r="C96" t="inlineStr">
        <is>
          <t>相关</t>
        </is>
      </c>
      <c r="D96" t="inlineStr">
        <is>
          <t>603662</t>
        </is>
      </c>
      <c r="E96" t="inlineStr">
        <is>
          <t>柯力传感</t>
        </is>
      </c>
    </row>
    <row r="97">
      <c r="A97" t="inlineStr">
        <is>
          <t>物理AI</t>
        </is>
      </c>
      <c r="B97" t="inlineStr">
        <is>
          <t>物理AI_具身本体</t>
        </is>
      </c>
      <c r="C97" t="inlineStr">
        <is>
          <t>核心</t>
        </is>
      </c>
      <c r="D97" t="inlineStr">
        <is>
          <t>603666</t>
        </is>
      </c>
      <c r="E97" t="inlineStr">
        <is>
          <t>亿嘉和</t>
        </is>
      </c>
    </row>
    <row r="98">
      <c r="A98" t="inlineStr">
        <is>
          <t>机器人</t>
        </is>
      </c>
      <c r="B98" t="inlineStr">
        <is>
          <t>丝杠</t>
        </is>
      </c>
      <c r="C98" t="inlineStr">
        <is>
          <t>相关</t>
        </is>
      </c>
      <c r="D98" t="inlineStr">
        <is>
          <t>603667</t>
        </is>
      </c>
      <c r="E98" t="inlineStr">
        <is>
          <t>五洲新春</t>
        </is>
      </c>
    </row>
    <row r="99">
      <c r="A99" t="inlineStr">
        <is>
          <t>机器人</t>
        </is>
      </c>
      <c r="B99" t="inlineStr">
        <is>
          <t>电机</t>
        </is>
      </c>
      <c r="C99" t="inlineStr">
        <is>
          <t>核心</t>
        </is>
      </c>
      <c r="D99" t="inlineStr">
        <is>
          <t>603728</t>
        </is>
      </c>
      <c r="E99" t="inlineStr">
        <is>
          <t>鸣志电器</t>
        </is>
      </c>
    </row>
    <row r="100">
      <c r="A100" t="inlineStr">
        <is>
          <t>机器人</t>
        </is>
      </c>
      <c r="B100" t="inlineStr">
        <is>
          <t>减速器</t>
        </is>
      </c>
      <c r="C100" t="inlineStr">
        <is>
          <t>相关</t>
        </is>
      </c>
      <c r="D100" t="inlineStr">
        <is>
          <t>603809</t>
        </is>
      </c>
      <c r="E100" t="inlineStr">
        <is>
          <t>豪能股份</t>
        </is>
      </c>
    </row>
    <row r="101">
      <c r="A101" t="inlineStr">
        <is>
          <t>物理AI</t>
        </is>
      </c>
      <c r="B101" t="inlineStr">
        <is>
          <t>物理AI_具身本体</t>
        </is>
      </c>
      <c r="C101" t="inlineStr">
        <is>
          <t>相关</t>
        </is>
      </c>
      <c r="D101" t="inlineStr">
        <is>
          <t>603901</t>
        </is>
      </c>
      <c r="E101" t="inlineStr">
        <is>
          <t>永创智能</t>
        </is>
      </c>
    </row>
    <row r="102">
      <c r="A102" t="inlineStr">
        <is>
          <t>机器人</t>
        </is>
      </c>
      <c r="B102" t="inlineStr">
        <is>
          <t>减速器</t>
        </is>
      </c>
      <c r="C102" t="inlineStr">
        <is>
          <t>相关</t>
        </is>
      </c>
      <c r="D102" t="inlineStr">
        <is>
          <t>603915</t>
        </is>
      </c>
      <c r="E102" t="inlineStr">
        <is>
          <t>国茂股份</t>
        </is>
      </c>
    </row>
    <row r="103">
      <c r="A103" t="inlineStr">
        <is>
          <t>机器人</t>
        </is>
      </c>
      <c r="B103" t="inlineStr">
        <is>
          <t>工业自动化</t>
        </is>
      </c>
      <c r="C103" t="inlineStr">
        <is>
          <t>相关</t>
        </is>
      </c>
      <c r="D103" t="inlineStr">
        <is>
          <t>603933</t>
        </is>
      </c>
      <c r="E103" t="inlineStr">
        <is>
          <t>睿能科技</t>
        </is>
      </c>
    </row>
    <row r="104">
      <c r="A104" t="inlineStr">
        <is>
          <t>物理AI</t>
        </is>
      </c>
      <c r="B104" t="inlineStr">
        <is>
          <t>物理AI_传感器</t>
        </is>
      </c>
      <c r="C104" t="inlineStr">
        <is>
          <t>相关</t>
        </is>
      </c>
      <c r="D104" t="inlineStr">
        <is>
          <t>605488</t>
        </is>
      </c>
      <c r="E104" t="inlineStr">
        <is>
          <t>福莱新材</t>
        </is>
      </c>
    </row>
    <row r="105">
      <c r="A105" t="inlineStr">
        <is>
          <t>机器人</t>
        </is>
      </c>
      <c r="B105" t="inlineStr">
        <is>
          <t>减速器</t>
        </is>
      </c>
      <c r="C105" t="inlineStr">
        <is>
          <t>核心</t>
        </is>
      </c>
      <c r="D105" t="inlineStr">
        <is>
          <t>688017</t>
        </is>
      </c>
      <c r="E105" t="inlineStr">
        <is>
          <t>绿的谐波</t>
        </is>
      </c>
    </row>
    <row r="106">
      <c r="A106" t="inlineStr">
        <is>
          <t>机器人</t>
        </is>
      </c>
      <c r="B106" t="inlineStr">
        <is>
          <t>加工刀具</t>
        </is>
      </c>
      <c r="C106" t="inlineStr">
        <is>
          <t>相关</t>
        </is>
      </c>
      <c r="D106" t="inlineStr">
        <is>
          <t>688028</t>
        </is>
      </c>
      <c r="E106" t="inlineStr">
        <is>
          <t>沃尔德</t>
        </is>
      </c>
    </row>
    <row r="107">
      <c r="A107" t="inlineStr">
        <is>
          <t>物理AI</t>
        </is>
      </c>
      <c r="B107" t="inlineStr">
        <is>
          <t>物理AI_传感器</t>
        </is>
      </c>
      <c r="C107" t="inlineStr">
        <is>
          <t>相关</t>
        </is>
      </c>
      <c r="D107" t="inlineStr">
        <is>
          <t>688071</t>
        </is>
      </c>
      <c r="E107" t="inlineStr">
        <is>
          <t>华依科技</t>
        </is>
      </c>
    </row>
    <row r="108">
      <c r="A108" t="inlineStr">
        <is>
          <t>机器人</t>
        </is>
      </c>
      <c r="B108" t="inlineStr">
        <is>
          <t>电机</t>
        </is>
      </c>
      <c r="C108" t="inlineStr">
        <is>
          <t>核心</t>
        </is>
      </c>
      <c r="D108" t="inlineStr">
        <is>
          <t>688160</t>
        </is>
      </c>
      <c r="E108" t="inlineStr">
        <is>
          <t>步科股份</t>
        </is>
      </c>
    </row>
    <row r="109">
      <c r="A109" t="inlineStr">
        <is>
          <t>机器人</t>
        </is>
      </c>
      <c r="B109" t="inlineStr">
        <is>
          <t>本体及应用</t>
        </is>
      </c>
      <c r="C109" t="inlineStr">
        <is>
          <t>核心</t>
        </is>
      </c>
      <c r="D109" t="inlineStr">
        <is>
          <t>688165</t>
        </is>
      </c>
      <c r="E109" t="inlineStr">
        <is>
          <t>埃夫特-U</t>
        </is>
      </c>
    </row>
    <row r="110">
      <c r="A110" t="inlineStr">
        <is>
          <t>机器人</t>
        </is>
      </c>
      <c r="B110" t="inlineStr">
        <is>
          <t>自动化集成</t>
        </is>
      </c>
      <c r="C110" t="inlineStr">
        <is>
          <t>核心</t>
        </is>
      </c>
      <c r="D110" t="inlineStr">
        <is>
          <t>688218</t>
        </is>
      </c>
      <c r="E110" t="inlineStr">
        <is>
          <t>江苏北人</t>
        </is>
      </c>
    </row>
    <row r="111">
      <c r="A111" t="inlineStr">
        <is>
          <t>机器人</t>
        </is>
      </c>
      <c r="B111" t="inlineStr">
        <is>
          <t>本体及应用</t>
        </is>
      </c>
      <c r="C111" t="inlineStr">
        <is>
          <t>核心</t>
        </is>
      </c>
      <c r="D111" t="inlineStr">
        <is>
          <t>688255</t>
        </is>
      </c>
      <c r="E111" t="inlineStr">
        <is>
          <t>凯尔达</t>
        </is>
      </c>
    </row>
    <row r="112">
      <c r="A112" t="inlineStr">
        <is>
          <t>物理AI</t>
        </is>
      </c>
      <c r="B112" t="inlineStr">
        <is>
          <t>物理AI_传感器</t>
        </is>
      </c>
      <c r="C112" t="inlineStr">
        <is>
          <t>核心</t>
        </is>
      </c>
      <c r="D112" t="inlineStr">
        <is>
          <t>688286</t>
        </is>
      </c>
      <c r="E112" t="inlineStr">
        <is>
          <t>敏芯股份</t>
        </is>
      </c>
    </row>
    <row r="113">
      <c r="A113" t="inlineStr">
        <is>
          <t>机器人</t>
        </is>
      </c>
      <c r="B113" t="inlineStr">
        <is>
          <t>自动化集成</t>
        </is>
      </c>
      <c r="C113" t="inlineStr">
        <is>
          <t>核心</t>
        </is>
      </c>
      <c r="D113" t="inlineStr">
        <is>
          <t>688306</t>
        </is>
      </c>
      <c r="E113" t="inlineStr">
        <is>
          <t>均普智能</t>
        </is>
      </c>
    </row>
    <row r="114">
      <c r="A114" t="inlineStr">
        <is>
          <t>物理AI</t>
        </is>
      </c>
      <c r="B114" t="inlineStr">
        <is>
          <t>物理AI_具身本体</t>
        </is>
      </c>
      <c r="C114" t="inlineStr">
        <is>
          <t>相关</t>
        </is>
      </c>
      <c r="D114" t="inlineStr">
        <is>
          <t>688306</t>
        </is>
      </c>
      <c r="E114" t="inlineStr">
        <is>
          <t>均普智能</t>
        </is>
      </c>
    </row>
    <row r="115">
      <c r="A115" t="inlineStr">
        <is>
          <t>机器人</t>
        </is>
      </c>
      <c r="B115" t="inlineStr">
        <is>
          <t>电机</t>
        </is>
      </c>
      <c r="C115" t="inlineStr">
        <is>
          <t>核心</t>
        </is>
      </c>
      <c r="D115" t="inlineStr">
        <is>
          <t>688320</t>
        </is>
      </c>
      <c r="E115" t="inlineStr">
        <is>
          <t>禾川科技</t>
        </is>
      </c>
    </row>
    <row r="116">
      <c r="A116" t="inlineStr">
        <is>
          <t>物理AI</t>
        </is>
      </c>
      <c r="B116" t="inlineStr">
        <is>
          <t>物理AI_机器视觉</t>
        </is>
      </c>
      <c r="C116" t="inlineStr">
        <is>
          <t>核心</t>
        </is>
      </c>
      <c r="D116" t="inlineStr">
        <is>
          <t>688322</t>
        </is>
      </c>
      <c r="E116" t="inlineStr">
        <is>
          <t>奥比中光-W</t>
        </is>
      </c>
    </row>
    <row r="117">
      <c r="A117" t="inlineStr">
        <is>
          <t>物理AI</t>
        </is>
      </c>
      <c r="B117" t="inlineStr">
        <is>
          <t>物理AI_仿真训练</t>
        </is>
      </c>
      <c r="C117" t="inlineStr">
        <is>
          <t>相关</t>
        </is>
      </c>
      <c r="D117" t="inlineStr">
        <is>
          <t>688327</t>
        </is>
      </c>
      <c r="E117" t="inlineStr">
        <is>
          <t>云从科技-UW</t>
        </is>
      </c>
    </row>
    <row r="118">
      <c r="A118" t="inlineStr">
        <is>
          <t>机器人</t>
        </is>
      </c>
      <c r="B118" t="inlineStr">
        <is>
          <t>线缆</t>
        </is>
      </c>
      <c r="C118" t="inlineStr">
        <is>
          <t>相关</t>
        </is>
      </c>
      <c r="D118" t="inlineStr">
        <is>
          <t>688386</t>
        </is>
      </c>
      <c r="E118" t="inlineStr">
        <is>
          <t>泛亚微透</t>
        </is>
      </c>
    </row>
    <row r="119">
      <c r="A119" t="inlineStr">
        <is>
          <t>物理AI</t>
        </is>
      </c>
      <c r="B119" t="inlineStr">
        <is>
          <t>物理AI_机器视觉</t>
        </is>
      </c>
      <c r="C119" t="inlineStr">
        <is>
          <t>核心</t>
        </is>
      </c>
      <c r="D119" t="inlineStr">
        <is>
          <t>688400</t>
        </is>
      </c>
      <c r="E119" t="inlineStr">
        <is>
          <t>凌云光</t>
        </is>
      </c>
    </row>
    <row r="120">
      <c r="A120" t="inlineStr">
        <is>
          <t>物理AI</t>
        </is>
      </c>
      <c r="B120" t="inlineStr">
        <is>
          <t>物理AI_仿真训练</t>
        </is>
      </c>
      <c r="C120" t="inlineStr">
        <is>
          <t>核心</t>
        </is>
      </c>
      <c r="D120" t="inlineStr">
        <is>
          <t>688507</t>
        </is>
      </c>
      <c r="E120" t="inlineStr">
        <is>
          <t>索辰科技</t>
        </is>
      </c>
    </row>
    <row r="121">
      <c r="A121" t="inlineStr">
        <is>
          <t>机器人</t>
        </is>
      </c>
      <c r="B121" t="inlineStr">
        <is>
          <t>丝杠设备</t>
        </is>
      </c>
      <c r="C121" t="inlineStr">
        <is>
          <t>相关</t>
        </is>
      </c>
      <c r="D121" t="inlineStr">
        <is>
          <t>688577</t>
        </is>
      </c>
      <c r="E121" t="inlineStr">
        <is>
          <t>浙海德曼</t>
        </is>
      </c>
    </row>
    <row r="122">
      <c r="A122" t="inlineStr">
        <is>
          <t>物理AI</t>
        </is>
      </c>
      <c r="B122" t="inlineStr">
        <is>
          <t>物理AI_传感器</t>
        </is>
      </c>
      <c r="C122" t="inlineStr">
        <is>
          <t>核心</t>
        </is>
      </c>
      <c r="D122" t="inlineStr">
        <is>
          <t>688582</t>
        </is>
      </c>
      <c r="E122" t="inlineStr">
        <is>
          <t>芯动联科</t>
        </is>
      </c>
    </row>
    <row r="123">
      <c r="A123" t="inlineStr">
        <is>
          <t>机器人</t>
        </is>
      </c>
      <c r="B123" t="inlineStr">
        <is>
          <t>物流系统</t>
        </is>
      </c>
      <c r="C123" t="inlineStr">
        <is>
          <t>核心</t>
        </is>
      </c>
      <c r="D123" t="inlineStr">
        <is>
          <t>688648</t>
        </is>
      </c>
      <c r="E123" t="inlineStr">
        <is>
          <t>中邮科技</t>
        </is>
      </c>
    </row>
    <row r="124">
      <c r="A124" t="inlineStr">
        <is>
          <t>物理AI</t>
        </is>
      </c>
      <c r="B124" t="inlineStr">
        <is>
          <t>物理AI_机器视觉</t>
        </is>
      </c>
      <c r="C124" t="inlineStr">
        <is>
          <t>核心</t>
        </is>
      </c>
      <c r="D124" t="inlineStr">
        <is>
          <t>688686</t>
        </is>
      </c>
      <c r="E124" t="inlineStr">
        <is>
          <t>奥普特</t>
        </is>
      </c>
    </row>
    <row r="125">
      <c r="A125" t="inlineStr">
        <is>
          <t>机器人</t>
        </is>
      </c>
      <c r="B125" t="inlineStr">
        <is>
          <t>电机</t>
        </is>
      </c>
      <c r="C125" t="inlineStr">
        <is>
          <t>相关</t>
        </is>
      </c>
      <c r="D125" t="inlineStr">
        <is>
          <t>688698</t>
        </is>
      </c>
      <c r="E125" t="inlineStr">
        <is>
          <t>伟创电气</t>
        </is>
      </c>
    </row>
    <row r="126">
      <c r="A126" t="inlineStr">
        <is>
          <t>机器人</t>
        </is>
      </c>
      <c r="B126" t="inlineStr">
        <is>
          <t>腱绳材料</t>
        </is>
      </c>
      <c r="C126" t="inlineStr">
        <is>
          <t>相关</t>
        </is>
      </c>
      <c r="D126" t="inlineStr">
        <is>
          <t>688722</t>
        </is>
      </c>
      <c r="E126" t="inlineStr">
        <is>
          <t>同益中</t>
        </is>
      </c>
    </row>
    <row r="127">
      <c r="A127" t="inlineStr">
        <is>
          <t>物理AI</t>
        </is>
      </c>
      <c r="B127" t="inlineStr">
        <is>
          <t>物理AI_具身本体</t>
        </is>
      </c>
      <c r="C127" t="inlineStr">
        <is>
          <t>核心</t>
        </is>
      </c>
      <c r="D127" t="inlineStr">
        <is>
          <t>688836</t>
        </is>
      </c>
      <c r="E127" t="inlineStr">
        <is>
          <t>宇树科技-W</t>
        </is>
      </c>
    </row>
    <row r="128">
      <c r="A128" t="inlineStr">
        <is>
          <t>机器人</t>
        </is>
      </c>
      <c r="B128" t="inlineStr">
        <is>
          <t>轴承</t>
        </is>
      </c>
      <c r="C128" t="inlineStr">
        <is>
          <t>相关</t>
        </is>
      </c>
      <c r="D128" t="inlineStr">
        <is>
          <t>920418</t>
        </is>
      </c>
      <c r="E128" t="inlineStr">
        <is>
          <t>苏轴股份</t>
        </is>
      </c>
    </row>
    <row r="129">
      <c r="A129" t="inlineStr">
        <is>
          <t>机器人</t>
        </is>
      </c>
      <c r="B129" t="inlineStr">
        <is>
          <t>执行器</t>
        </is>
      </c>
      <c r="C129" t="inlineStr">
        <is>
          <t>核心</t>
        </is>
      </c>
      <c r="D129" t="inlineStr">
        <is>
          <t>920593</t>
        </is>
      </c>
      <c r="E129" t="inlineStr">
        <is>
          <t>鼎智科技</t>
        </is>
      </c>
    </row>
    <row r="130">
      <c r="A130" t="inlineStr">
        <is>
          <t>机器人</t>
        </is>
      </c>
      <c r="B130" t="inlineStr">
        <is>
          <t>伺服系统</t>
        </is>
      </c>
      <c r="C130" t="inlineStr">
        <is>
          <t>相关</t>
        </is>
      </c>
      <c r="D130" t="inlineStr">
        <is>
          <t>920885</t>
        </is>
      </c>
      <c r="E130" t="inlineStr">
        <is>
          <t>星辰科技</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4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3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公式引用隐藏的概念展开表精确计数；一只股票可对应多个概念。</t>
        </is>
      </c>
    </row>
    <row r="4">
      <c r="B4" s="8" t="inlineStr">
        <is>
          <t>一级分类</t>
        </is>
      </c>
      <c r="C4" s="8" t="inlineStr">
        <is>
          <t>二级概念</t>
        </is>
      </c>
      <c r="D4" s="8" t="inlineStr">
        <is>
          <t>核心（只）</t>
        </is>
      </c>
      <c r="E4" s="8" t="inlineStr">
        <is>
          <t>相关（只）</t>
        </is>
      </c>
      <c r="F4" s="8" t="inlineStr">
        <is>
          <t>合计（只）</t>
        </is>
      </c>
    </row>
    <row r="5">
      <c r="B5" s="9" t="inlineStr">
        <is>
          <t>机器人</t>
        </is>
      </c>
      <c r="C5" s="10" t="inlineStr">
        <is>
          <t>丝杠</t>
        </is>
      </c>
      <c r="D5" s="11">
        <f>COUNTIFS('概念展开'!$A$2:$A$130,B5,'概念展开'!$B$2:$B$130,C5,'概念展开'!$C$2:$C$130,"核心")</f>
        <v/>
      </c>
      <c r="E5" s="11">
        <f>COUNTIFS('概念展开'!$A$2:$A$130,B5,'概念展开'!$B$2:$B$130,C5,'概念展开'!$C$2:$C$130,"相关")</f>
        <v/>
      </c>
      <c r="F5" s="12">
        <f>SUM(D5:E5)</f>
        <v/>
      </c>
    </row>
    <row r="6">
      <c r="B6" s="13" t="inlineStr">
        <is>
          <t>机器人</t>
        </is>
      </c>
      <c r="C6" s="14" t="inlineStr">
        <is>
          <t>丝杠设备</t>
        </is>
      </c>
      <c r="D6" s="15">
        <f>COUNTIFS('概念展开'!$A$2:$A$130,B6,'概念展开'!$B$2:$B$130,C6,'概念展开'!$C$2:$C$130,"核心")</f>
        <v/>
      </c>
      <c r="E6" s="15">
        <f>COUNTIFS('概念展开'!$A$2:$A$130,B6,'概念展开'!$B$2:$B$130,C6,'概念展开'!$C$2:$C$130,"相关")</f>
        <v/>
      </c>
      <c r="F6" s="16">
        <f>SUM(D6:E6)</f>
        <v/>
      </c>
    </row>
    <row r="7">
      <c r="B7" s="9" t="inlineStr">
        <is>
          <t>机器人</t>
        </is>
      </c>
      <c r="C7" s="10" t="inlineStr">
        <is>
          <t>丝杠零部件</t>
        </is>
      </c>
      <c r="D7" s="11">
        <f>COUNTIFS('概念展开'!$A$2:$A$130,B7,'概念展开'!$B$2:$B$130,C7,'概念展开'!$C$2:$C$130,"核心")</f>
        <v/>
      </c>
      <c r="E7" s="11">
        <f>COUNTIFS('概念展开'!$A$2:$A$130,B7,'概念展开'!$B$2:$B$130,C7,'概念展开'!$C$2:$C$130,"相关")</f>
        <v/>
      </c>
      <c r="F7" s="12">
        <f>SUM(D7:E7)</f>
        <v/>
      </c>
    </row>
    <row r="8">
      <c r="B8" s="13" t="inlineStr">
        <is>
          <t>机器人</t>
        </is>
      </c>
      <c r="C8" s="14" t="inlineStr">
        <is>
          <t>伺服系统</t>
        </is>
      </c>
      <c r="D8" s="15">
        <f>COUNTIFS('概念展开'!$A$2:$A$130,B8,'概念展开'!$B$2:$B$130,C8,'概念展开'!$C$2:$C$130,"核心")</f>
        <v/>
      </c>
      <c r="E8" s="15">
        <f>COUNTIFS('概念展开'!$A$2:$A$130,B8,'概念展开'!$B$2:$B$130,C8,'概念展开'!$C$2:$C$130,"相关")</f>
        <v/>
      </c>
      <c r="F8" s="16">
        <f>SUM(D8:E8)</f>
        <v/>
      </c>
    </row>
    <row r="9">
      <c r="B9" s="9" t="inlineStr">
        <is>
          <t>机器人</t>
        </is>
      </c>
      <c r="C9" s="10" t="inlineStr">
        <is>
          <t>关节模组</t>
        </is>
      </c>
      <c r="D9" s="11">
        <f>COUNTIFS('概念展开'!$A$2:$A$130,B9,'概念展开'!$B$2:$B$130,C9,'概念展开'!$C$2:$C$130,"核心")</f>
        <v/>
      </c>
      <c r="E9" s="11">
        <f>COUNTIFS('概念展开'!$A$2:$A$130,B9,'概念展开'!$B$2:$B$130,C9,'概念展开'!$C$2:$C$130,"相关")</f>
        <v/>
      </c>
      <c r="F9" s="12">
        <f>SUM(D9:E9)</f>
        <v/>
      </c>
    </row>
    <row r="10">
      <c r="B10" s="13" t="inlineStr">
        <is>
          <t>机器人</t>
        </is>
      </c>
      <c r="C10" s="14" t="inlineStr">
        <is>
          <t>减速器</t>
        </is>
      </c>
      <c r="D10" s="15">
        <f>COUNTIFS('概念展开'!$A$2:$A$130,B10,'概念展开'!$B$2:$B$130,C10,'概念展开'!$C$2:$C$130,"核心")</f>
        <v/>
      </c>
      <c r="E10" s="15">
        <f>COUNTIFS('概念展开'!$A$2:$A$130,B10,'概念展开'!$B$2:$B$130,C10,'概念展开'!$C$2:$C$130,"相关")</f>
        <v/>
      </c>
      <c r="F10" s="16">
        <f>SUM(D10:E10)</f>
        <v/>
      </c>
    </row>
    <row r="11">
      <c r="B11" s="9" t="inlineStr">
        <is>
          <t>机器人</t>
        </is>
      </c>
      <c r="C11" s="10" t="inlineStr">
        <is>
          <t>减速器零部件</t>
        </is>
      </c>
      <c r="D11" s="11">
        <f>COUNTIFS('概念展开'!$A$2:$A$130,B11,'概念展开'!$B$2:$B$130,C11,'概念展开'!$C$2:$C$130,"核心")</f>
        <v/>
      </c>
      <c r="E11" s="11">
        <f>COUNTIFS('概念展开'!$A$2:$A$130,B11,'概念展开'!$B$2:$B$130,C11,'概念展开'!$C$2:$C$130,"相关")</f>
        <v/>
      </c>
      <c r="F11" s="12">
        <f>SUM(D11:E11)</f>
        <v/>
      </c>
    </row>
    <row r="12">
      <c r="B12" s="13" t="inlineStr">
        <is>
          <t>机器人</t>
        </is>
      </c>
      <c r="C12" s="14" t="inlineStr">
        <is>
          <t>加工刀具</t>
        </is>
      </c>
      <c r="D12" s="15">
        <f>COUNTIFS('概念展开'!$A$2:$A$130,B12,'概念展开'!$B$2:$B$130,C12,'概念展开'!$C$2:$C$130,"核心")</f>
        <v/>
      </c>
      <c r="E12" s="15">
        <f>COUNTIFS('概念展开'!$A$2:$A$130,B12,'概念展开'!$B$2:$B$130,C12,'概念展开'!$C$2:$C$130,"相关")</f>
        <v/>
      </c>
      <c r="F12" s="16">
        <f>SUM(D12:E12)</f>
        <v/>
      </c>
    </row>
    <row r="13">
      <c r="B13" s="9" t="inlineStr">
        <is>
          <t>机器人</t>
        </is>
      </c>
      <c r="C13" s="10" t="inlineStr">
        <is>
          <t>场景应用</t>
        </is>
      </c>
      <c r="D13" s="11">
        <f>COUNTIFS('概念展开'!$A$2:$A$130,B13,'概念展开'!$B$2:$B$130,C13,'概念展开'!$C$2:$C$130,"核心")</f>
        <v/>
      </c>
      <c r="E13" s="11">
        <f>COUNTIFS('概念展开'!$A$2:$A$130,B13,'概念展开'!$B$2:$B$130,C13,'概念展开'!$C$2:$C$130,"相关")</f>
        <v/>
      </c>
      <c r="F13" s="12">
        <f>SUM(D13:E13)</f>
        <v/>
      </c>
    </row>
    <row r="14">
      <c r="B14" s="13" t="inlineStr">
        <is>
          <t>机器人</t>
        </is>
      </c>
      <c r="C14" s="14" t="inlineStr">
        <is>
          <t>工业自动化</t>
        </is>
      </c>
      <c r="D14" s="15">
        <f>COUNTIFS('概念展开'!$A$2:$A$130,B14,'概念展开'!$B$2:$B$130,C14,'概念展开'!$C$2:$C$130,"核心")</f>
        <v/>
      </c>
      <c r="E14" s="15">
        <f>COUNTIFS('概念展开'!$A$2:$A$130,B14,'概念展开'!$B$2:$B$130,C14,'概念展开'!$C$2:$C$130,"相关")</f>
        <v/>
      </c>
      <c r="F14" s="16">
        <f>SUM(D14:E14)</f>
        <v/>
      </c>
    </row>
    <row r="15">
      <c r="B15" s="9" t="inlineStr">
        <is>
          <t>机器人</t>
        </is>
      </c>
      <c r="C15" s="10" t="inlineStr">
        <is>
          <t>弹性元件</t>
        </is>
      </c>
      <c r="D15" s="11">
        <f>COUNTIFS('概念展开'!$A$2:$A$130,B15,'概念展开'!$B$2:$B$130,C15,'概念展开'!$C$2:$C$130,"核心")</f>
        <v/>
      </c>
      <c r="E15" s="11">
        <f>COUNTIFS('概念展开'!$A$2:$A$130,B15,'概念展开'!$B$2:$B$130,C15,'概念展开'!$C$2:$C$130,"相关")</f>
        <v/>
      </c>
      <c r="F15" s="12">
        <f>SUM(D15:E15)</f>
        <v/>
      </c>
    </row>
    <row r="16">
      <c r="B16" s="13" t="inlineStr">
        <is>
          <t>机器人</t>
        </is>
      </c>
      <c r="C16" s="14" t="inlineStr">
        <is>
          <t>微型链/灵巧手</t>
        </is>
      </c>
      <c r="D16" s="15">
        <f>COUNTIFS('概念展开'!$A$2:$A$130,B16,'概念展开'!$B$2:$B$130,C16,'概念展开'!$C$2:$C$130,"核心")</f>
        <v/>
      </c>
      <c r="E16" s="15">
        <f>COUNTIFS('概念展开'!$A$2:$A$130,B16,'概念展开'!$B$2:$B$130,C16,'概念展开'!$C$2:$C$130,"相关")</f>
        <v/>
      </c>
      <c r="F16" s="16">
        <f>SUM(D16:E16)</f>
        <v/>
      </c>
    </row>
    <row r="17">
      <c r="B17" s="9" t="inlineStr">
        <is>
          <t>机器人</t>
        </is>
      </c>
      <c r="C17" s="10" t="inlineStr">
        <is>
          <t>微特减速电机</t>
        </is>
      </c>
      <c r="D17" s="11">
        <f>COUNTIFS('概念展开'!$A$2:$A$130,B17,'概念展开'!$B$2:$B$130,C17,'概念展开'!$C$2:$C$130,"核心")</f>
        <v/>
      </c>
      <c r="E17" s="11">
        <f>COUNTIFS('概念展开'!$A$2:$A$130,B17,'概念展开'!$B$2:$B$130,C17,'概念展开'!$C$2:$C$130,"相关")</f>
        <v/>
      </c>
      <c r="F17" s="12">
        <f>SUM(D17:E17)</f>
        <v/>
      </c>
    </row>
    <row r="18">
      <c r="B18" s="13" t="inlineStr">
        <is>
          <t>机器人</t>
        </is>
      </c>
      <c r="C18" s="14" t="inlineStr">
        <is>
          <t>总成</t>
        </is>
      </c>
      <c r="D18" s="15">
        <f>COUNTIFS('概念展开'!$A$2:$A$130,B18,'概念展开'!$B$2:$B$130,C18,'概念展开'!$C$2:$C$130,"核心")</f>
        <v/>
      </c>
      <c r="E18" s="15">
        <f>COUNTIFS('概念展开'!$A$2:$A$130,B18,'概念展开'!$B$2:$B$130,C18,'概念展开'!$C$2:$C$130,"相关")</f>
        <v/>
      </c>
      <c r="F18" s="16">
        <f>SUM(D18:E18)</f>
        <v/>
      </c>
    </row>
    <row r="19">
      <c r="B19" s="9" t="inlineStr">
        <is>
          <t>机器人</t>
        </is>
      </c>
      <c r="C19" s="10" t="inlineStr">
        <is>
          <t>执行器</t>
        </is>
      </c>
      <c r="D19" s="11">
        <f>COUNTIFS('概念展开'!$A$2:$A$130,B19,'概念展开'!$B$2:$B$130,C19,'概念展开'!$C$2:$C$130,"核心")</f>
        <v/>
      </c>
      <c r="E19" s="11">
        <f>COUNTIFS('概念展开'!$A$2:$A$130,B19,'概念展开'!$B$2:$B$130,C19,'概念展开'!$C$2:$C$130,"相关")</f>
        <v/>
      </c>
      <c r="F19" s="12">
        <f>SUM(D19:E19)</f>
        <v/>
      </c>
    </row>
    <row r="20">
      <c r="B20" s="13" t="inlineStr">
        <is>
          <t>机器人</t>
        </is>
      </c>
      <c r="C20" s="14" t="inlineStr">
        <is>
          <t>本体及应用</t>
        </is>
      </c>
      <c r="D20" s="15">
        <f>COUNTIFS('概念展开'!$A$2:$A$130,B20,'概念展开'!$B$2:$B$130,C20,'概念展开'!$C$2:$C$130,"核心")</f>
        <v/>
      </c>
      <c r="E20" s="15">
        <f>COUNTIFS('概念展开'!$A$2:$A$130,B20,'概念展开'!$B$2:$B$130,C20,'概念展开'!$C$2:$C$130,"相关")</f>
        <v/>
      </c>
      <c r="F20" s="16">
        <f>SUM(D20:E20)</f>
        <v/>
      </c>
    </row>
    <row r="21">
      <c r="B21" s="9" t="inlineStr">
        <is>
          <t>机器人</t>
        </is>
      </c>
      <c r="C21" s="10" t="inlineStr">
        <is>
          <t>滚动体</t>
        </is>
      </c>
      <c r="D21" s="11">
        <f>COUNTIFS('概念展开'!$A$2:$A$130,B21,'概念展开'!$B$2:$B$130,C21,'概念展开'!$C$2:$C$130,"核心")</f>
        <v/>
      </c>
      <c r="E21" s="11">
        <f>COUNTIFS('概念展开'!$A$2:$A$130,B21,'概念展开'!$B$2:$B$130,C21,'概念展开'!$C$2:$C$130,"相关")</f>
        <v/>
      </c>
      <c r="F21" s="12">
        <f>SUM(D21:E21)</f>
        <v/>
      </c>
    </row>
    <row r="22">
      <c r="B22" s="13" t="inlineStr">
        <is>
          <t>机器人</t>
        </is>
      </c>
      <c r="C22" s="14" t="inlineStr">
        <is>
          <t>灵巧手</t>
        </is>
      </c>
      <c r="D22" s="15">
        <f>COUNTIFS('概念展开'!$A$2:$A$130,B22,'概念展开'!$B$2:$B$130,C22,'概念展开'!$C$2:$C$130,"核心")</f>
        <v/>
      </c>
      <c r="E22" s="15">
        <f>COUNTIFS('概念展开'!$A$2:$A$130,B22,'概念展开'!$B$2:$B$130,C22,'概念展开'!$C$2:$C$130,"相关")</f>
        <v/>
      </c>
      <c r="F22" s="16">
        <f>SUM(D22:E22)</f>
        <v/>
      </c>
    </row>
    <row r="23">
      <c r="B23" s="9" t="inlineStr">
        <is>
          <t>机器人</t>
        </is>
      </c>
      <c r="C23" s="10" t="inlineStr">
        <is>
          <t>物流系统</t>
        </is>
      </c>
      <c r="D23" s="11">
        <f>COUNTIFS('概念展开'!$A$2:$A$130,B23,'概念展开'!$B$2:$B$130,C23,'概念展开'!$C$2:$C$130,"核心")</f>
        <v/>
      </c>
      <c r="E23" s="11">
        <f>COUNTIFS('概念展开'!$A$2:$A$130,B23,'概念展开'!$B$2:$B$130,C23,'概念展开'!$C$2:$C$130,"相关")</f>
        <v/>
      </c>
      <c r="F23" s="12">
        <f>SUM(D23:E23)</f>
        <v/>
      </c>
    </row>
    <row r="24">
      <c r="B24" s="13" t="inlineStr">
        <is>
          <t>机器人</t>
        </is>
      </c>
      <c r="C24" s="14" t="inlineStr">
        <is>
          <t>电机</t>
        </is>
      </c>
      <c r="D24" s="15">
        <f>COUNTIFS('概念展开'!$A$2:$A$130,B24,'概念展开'!$B$2:$B$130,C24,'概念展开'!$C$2:$C$130,"核心")</f>
        <v/>
      </c>
      <c r="E24" s="15">
        <f>COUNTIFS('概念展开'!$A$2:$A$130,B24,'概念展开'!$B$2:$B$130,C24,'概念展开'!$C$2:$C$130,"相关")</f>
        <v/>
      </c>
      <c r="F24" s="16">
        <f>SUM(D24:E24)</f>
        <v/>
      </c>
    </row>
    <row r="25">
      <c r="B25" s="9" t="inlineStr">
        <is>
          <t>机器人</t>
        </is>
      </c>
      <c r="C25" s="10" t="inlineStr">
        <is>
          <t>精密铁芯</t>
        </is>
      </c>
      <c r="D25" s="11">
        <f>COUNTIFS('概念展开'!$A$2:$A$130,B25,'概念展开'!$B$2:$B$130,C25,'概念展开'!$C$2:$C$130,"核心")</f>
        <v/>
      </c>
      <c r="E25" s="11">
        <f>COUNTIFS('概念展开'!$A$2:$A$130,B25,'概念展开'!$B$2:$B$130,C25,'概念展开'!$C$2:$C$130,"相关")</f>
        <v/>
      </c>
      <c r="F25" s="12">
        <f>SUM(D25:E25)</f>
        <v/>
      </c>
    </row>
    <row r="26">
      <c r="B26" s="13" t="inlineStr">
        <is>
          <t>机器人</t>
        </is>
      </c>
      <c r="C26" s="14" t="inlineStr">
        <is>
          <t>线缆</t>
        </is>
      </c>
      <c r="D26" s="15">
        <f>COUNTIFS('概念展开'!$A$2:$A$130,B26,'概念展开'!$B$2:$B$130,C26,'概念展开'!$C$2:$C$130,"核心")</f>
        <v/>
      </c>
      <c r="E26" s="15">
        <f>COUNTIFS('概念展开'!$A$2:$A$130,B26,'概念展开'!$B$2:$B$130,C26,'概念展开'!$C$2:$C$130,"相关")</f>
        <v/>
      </c>
      <c r="F26" s="16">
        <f>SUM(D26:E26)</f>
        <v/>
      </c>
    </row>
    <row r="27">
      <c r="B27" s="9" t="inlineStr">
        <is>
          <t>机器人</t>
        </is>
      </c>
      <c r="C27" s="10" t="inlineStr">
        <is>
          <t>结构件</t>
        </is>
      </c>
      <c r="D27" s="11">
        <f>COUNTIFS('概念展开'!$A$2:$A$130,B27,'概念展开'!$B$2:$B$130,C27,'概念展开'!$C$2:$C$130,"核心")</f>
        <v/>
      </c>
      <c r="E27" s="11">
        <f>COUNTIFS('概念展开'!$A$2:$A$130,B27,'概念展开'!$B$2:$B$130,C27,'概念展开'!$C$2:$C$130,"相关")</f>
        <v/>
      </c>
      <c r="F27" s="12">
        <f>SUM(D27:E27)</f>
        <v/>
      </c>
    </row>
    <row r="28">
      <c r="B28" s="13" t="inlineStr">
        <is>
          <t>机器人</t>
        </is>
      </c>
      <c r="C28" s="14" t="inlineStr">
        <is>
          <t>腱绳材料</t>
        </is>
      </c>
      <c r="D28" s="15">
        <f>COUNTIFS('概念展开'!$A$2:$A$130,B28,'概念展开'!$B$2:$B$130,C28,'概念展开'!$C$2:$C$130,"核心")</f>
        <v/>
      </c>
      <c r="E28" s="15">
        <f>COUNTIFS('概念展开'!$A$2:$A$130,B28,'概念展开'!$B$2:$B$130,C28,'概念展开'!$C$2:$C$130,"相关")</f>
        <v/>
      </c>
      <c r="F28" s="16">
        <f>SUM(D28:E28)</f>
        <v/>
      </c>
    </row>
    <row r="29">
      <c r="B29" s="9" t="inlineStr">
        <is>
          <t>机器人</t>
        </is>
      </c>
      <c r="C29" s="10" t="inlineStr">
        <is>
          <t>自动化集成</t>
        </is>
      </c>
      <c r="D29" s="11">
        <f>COUNTIFS('概念展开'!$A$2:$A$130,B29,'概念展开'!$B$2:$B$130,C29,'概念展开'!$C$2:$C$130,"核心")</f>
        <v/>
      </c>
      <c r="E29" s="11">
        <f>COUNTIFS('概念展开'!$A$2:$A$130,B29,'概念展开'!$B$2:$B$130,C29,'概念展开'!$C$2:$C$130,"相关")</f>
        <v/>
      </c>
      <c r="F29" s="12">
        <f>SUM(D29:E29)</f>
        <v/>
      </c>
    </row>
    <row r="30">
      <c r="B30" s="13" t="inlineStr">
        <is>
          <t>机器人</t>
        </is>
      </c>
      <c r="C30" s="14" t="inlineStr">
        <is>
          <t>轴承</t>
        </is>
      </c>
      <c r="D30" s="15">
        <f>COUNTIFS('概念展开'!$A$2:$A$130,B30,'概念展开'!$B$2:$B$130,C30,'概念展开'!$C$2:$C$130,"核心")</f>
        <v/>
      </c>
      <c r="E30" s="15">
        <f>COUNTIFS('概念展开'!$A$2:$A$130,B30,'概念展开'!$B$2:$B$130,C30,'概念展开'!$C$2:$C$130,"相关")</f>
        <v/>
      </c>
      <c r="F30" s="16">
        <f>SUM(D30:E30)</f>
        <v/>
      </c>
    </row>
    <row r="31">
      <c r="B31" s="9" t="inlineStr">
        <is>
          <t>物理AI</t>
        </is>
      </c>
      <c r="C31" s="10" t="inlineStr">
        <is>
          <t>物理AI_仿真训练</t>
        </is>
      </c>
      <c r="D31" s="11">
        <f>COUNTIFS('概念展开'!$A$2:$A$130,B31,'概念展开'!$B$2:$B$130,C31,'概念展开'!$C$2:$C$130,"核心")</f>
        <v/>
      </c>
      <c r="E31" s="11">
        <f>COUNTIFS('概念展开'!$A$2:$A$130,B31,'概念展开'!$B$2:$B$130,C31,'概念展开'!$C$2:$C$130,"相关")</f>
        <v/>
      </c>
      <c r="F31" s="12">
        <f>SUM(D31:E31)</f>
        <v/>
      </c>
    </row>
    <row r="32">
      <c r="B32" s="13" t="inlineStr">
        <is>
          <t>物理AI</t>
        </is>
      </c>
      <c r="C32" s="14" t="inlineStr">
        <is>
          <t>物理AI_传感器</t>
        </is>
      </c>
      <c r="D32" s="15">
        <f>COUNTIFS('概念展开'!$A$2:$A$130,B32,'概念展开'!$B$2:$B$130,C32,'概念展开'!$C$2:$C$130,"核心")</f>
        <v/>
      </c>
      <c r="E32" s="15">
        <f>COUNTIFS('概念展开'!$A$2:$A$130,B32,'概念展开'!$B$2:$B$130,C32,'概念展开'!$C$2:$C$130,"相关")</f>
        <v/>
      </c>
      <c r="F32" s="16">
        <f>SUM(D32:E32)</f>
        <v/>
      </c>
    </row>
    <row r="33">
      <c r="B33" s="9" t="inlineStr">
        <is>
          <t>物理AI</t>
        </is>
      </c>
      <c r="C33" s="10" t="inlineStr">
        <is>
          <t>物理AI_具身本体</t>
        </is>
      </c>
      <c r="D33" s="11">
        <f>COUNTIFS('概念展开'!$A$2:$A$130,B33,'概念展开'!$B$2:$B$130,C33,'概念展开'!$C$2:$C$130,"核心")</f>
        <v/>
      </c>
      <c r="E33" s="11">
        <f>COUNTIFS('概念展开'!$A$2:$A$130,B33,'概念展开'!$B$2:$B$130,C33,'概念展开'!$C$2:$C$130,"相关")</f>
        <v/>
      </c>
      <c r="F33" s="12">
        <f>SUM(D33:E33)</f>
        <v/>
      </c>
    </row>
    <row r="34">
      <c r="B34" s="13" t="inlineStr">
        <is>
          <t>物理AI</t>
        </is>
      </c>
      <c r="C34" s="14" t="inlineStr">
        <is>
          <t>物理AI_动作捕捉</t>
        </is>
      </c>
      <c r="D34" s="15">
        <f>COUNTIFS('概念展开'!$A$2:$A$130,B34,'概念展开'!$B$2:$B$130,C34,'概念展开'!$C$2:$C$130,"核心")</f>
        <v/>
      </c>
      <c r="E34" s="15">
        <f>COUNTIFS('概念展开'!$A$2:$A$130,B34,'概念展开'!$B$2:$B$130,C34,'概念展开'!$C$2:$C$130,"相关")</f>
        <v/>
      </c>
      <c r="F34" s="16">
        <f>SUM(D34:E34)</f>
        <v/>
      </c>
    </row>
    <row r="35">
      <c r="B35" s="9" t="inlineStr">
        <is>
          <t>物理AI</t>
        </is>
      </c>
      <c r="C35" s="10" t="inlineStr">
        <is>
          <t>物理AI_数据采集</t>
        </is>
      </c>
      <c r="D35" s="11">
        <f>COUNTIFS('概念展开'!$A$2:$A$130,B35,'概念展开'!$B$2:$B$130,C35,'概念展开'!$C$2:$C$130,"核心")</f>
        <v/>
      </c>
      <c r="E35" s="11">
        <f>COUNTIFS('概念展开'!$A$2:$A$130,B35,'概念展开'!$B$2:$B$130,C35,'概念展开'!$C$2:$C$130,"相关")</f>
        <v/>
      </c>
      <c r="F35" s="12">
        <f>SUM(D35:E35)</f>
        <v/>
      </c>
    </row>
    <row r="36">
      <c r="B36" s="13" t="inlineStr">
        <is>
          <t>物理AI</t>
        </is>
      </c>
      <c r="C36" s="14" t="inlineStr">
        <is>
          <t>物理AI_智能控制</t>
        </is>
      </c>
      <c r="D36" s="15">
        <f>COUNTIFS('概念展开'!$A$2:$A$130,B36,'概念展开'!$B$2:$B$130,C36,'概念展开'!$C$2:$C$130,"核心")</f>
        <v/>
      </c>
      <c r="E36" s="15">
        <f>COUNTIFS('概念展开'!$A$2:$A$130,B36,'概念展开'!$B$2:$B$130,C36,'概念展开'!$C$2:$C$130,"相关")</f>
        <v/>
      </c>
      <c r="F36" s="16">
        <f>SUM(D36:E36)</f>
        <v/>
      </c>
    </row>
    <row r="37">
      <c r="B37" s="9" t="inlineStr">
        <is>
          <t>物理AI</t>
        </is>
      </c>
      <c r="C37" s="10" t="inlineStr">
        <is>
          <t>物理AI_智能终端</t>
        </is>
      </c>
      <c r="D37" s="11">
        <f>COUNTIFS('概念展开'!$A$2:$A$130,B37,'概念展开'!$B$2:$B$130,C37,'概念展开'!$C$2:$C$130,"核心")</f>
        <v/>
      </c>
      <c r="E37" s="11">
        <f>COUNTIFS('概念展开'!$A$2:$A$130,B37,'概念展开'!$B$2:$B$130,C37,'概念展开'!$C$2:$C$130,"相关")</f>
        <v/>
      </c>
      <c r="F37" s="12">
        <f>SUM(D37:E37)</f>
        <v/>
      </c>
    </row>
    <row r="38">
      <c r="B38" s="13" t="inlineStr">
        <is>
          <t>物理AI</t>
        </is>
      </c>
      <c r="C38" s="14" t="inlineStr">
        <is>
          <t>物理AI_机器视觉</t>
        </is>
      </c>
      <c r="D38" s="15">
        <f>COUNTIFS('概念展开'!$A$2:$A$130,B38,'概念展开'!$B$2:$B$130,C38,'概念展开'!$C$2:$C$130,"核心")</f>
        <v/>
      </c>
      <c r="E38" s="15">
        <f>COUNTIFS('概念展开'!$A$2:$A$130,B38,'概念展开'!$B$2:$B$130,C38,'概念展开'!$C$2:$C$130,"相关")</f>
        <v/>
      </c>
      <c r="F38" s="16">
        <f>SUM(D38:E38)</f>
        <v/>
      </c>
    </row>
    <row r="39">
      <c r="B39" s="9" t="inlineStr">
        <is>
          <t>物理AI</t>
        </is>
      </c>
      <c r="C39" s="10" t="inlineStr">
        <is>
          <t>物理AI_通信模组</t>
        </is>
      </c>
      <c r="D39" s="11">
        <f>COUNTIFS('概念展开'!$A$2:$A$130,B39,'概念展开'!$B$2:$B$130,C39,'概念展开'!$C$2:$C$130,"核心")</f>
        <v/>
      </c>
      <c r="E39" s="11">
        <f>COUNTIFS('概念展开'!$A$2:$A$130,B39,'概念展开'!$B$2:$B$130,C39,'概念展开'!$C$2:$C$130,"相关")</f>
        <v/>
      </c>
      <c r="F39" s="12">
        <f>SUM(D39:E39)</f>
        <v/>
      </c>
    </row>
    <row r="40">
      <c r="B40" s="17" t="inlineStr">
        <is>
          <t>合计（概念次数，非股票去重数）</t>
        </is>
      </c>
      <c r="D40" s="17">
        <f>SUM(D5:D39)</f>
        <v/>
      </c>
      <c r="E40" s="17">
        <f>SUM(E5:E39)</f>
        <v/>
      </c>
      <c r="F40" s="17">
        <f>SUM(F5:F39)</f>
        <v/>
      </c>
    </row>
  </sheetData>
  <autoFilter ref="B4:F39"/>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2026-10-27T01:33:57Z</dcterms:created>
  <dcterms:modified xmlns:dcterms="http://purl.org/dc/terms/" xmlns:xsi="http://www.w3.org/2001/XMLSchema-instance" xsi:type="dcterms:W3CDTF">2026-10-27T01:34:02Z</dcterms:modified>
</cp:coreProperties>
</file>