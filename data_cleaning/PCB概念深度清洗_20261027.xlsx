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封面" sheetId="1" state="visible" r:id="rId1"/>
    <sheet xmlns:r="http://schemas.openxmlformats.org/officeDocument/2006/relationships" name="清洗总表" sheetId="2" state="visible" r:id="rId2"/>
    <sheet xmlns:r="http://schemas.openxmlformats.org/officeDocument/2006/relationships" name="PCB" sheetId="3" state="visible" r:id="rId3"/>
    <sheet xmlns:r="http://schemas.openxmlformats.org/officeDocument/2006/relationships" name="摘除清单" sheetId="4" state="visible" r:id="rId4"/>
    <sheet xmlns:r="http://schemas.openxmlformats.org/officeDocument/2006/relationships" name="概念展开" sheetId="5" state="hidden" r:id="rId5"/>
    <sheet xmlns:r="http://schemas.openxmlformats.org/officeDocument/2006/relationships" name="概念统计" sheetId="6" state="visible" r:id="rId6"/>
  </sheets>
  <definedNames>
    <definedName name="_xlnm._FilterDatabase" localSheetId="1" hidden="1">'清洗总表'!$B$4:$M$93</definedName>
    <definedName name="_xlnm._FilterDatabase" localSheetId="2" hidden="1">'PCB'!$B$4:$M$80</definedName>
    <definedName name="_xlnm._FilterDatabase" localSheetId="3" hidden="1">'摘除清单'!$B$4:$M$17</definedName>
    <definedName name="_xlnm._FilterDatabase" localSheetId="5" hidden="1">'概念统计'!$B$4:$F$27</definedName>
  </definedNames>
  <calcPr calcMode="auto" fullCalcOnLoad="1" forceFullCalc="1" calcId="124519"/>
</workbook>
</file>

<file path=xl/styles.xml><?xml version="1.0" encoding="utf-8"?>
<styleSheet xmlns="http://schemas.openxmlformats.org/spreadsheetml/2006/main">
  <numFmts count="0"/>
  <fonts count="15">
    <font>
      <name val="Calibri"/>
      <family val="2"/>
      <color theme="1"/>
      <sz val="11"/>
      <scheme val="minor"/>
    </font>
    <font>
      <name val="Microsoft YaHei"/>
      <b val="1"/>
      <color rgb="0017365D"/>
      <sz val="18"/>
    </font>
    <font>
      <name val="Microsoft YaHei"/>
      <color rgb="00666666"/>
      <sz val="10"/>
    </font>
    <font>
      <name val="Microsoft YaHei"/>
      <b val="1"/>
      <color rgb="00FFFFFF"/>
    </font>
    <font>
      <name val="Microsoft YaHei"/>
      <color rgb="000066CC"/>
      <sz val="10"/>
    </font>
    <font>
      <name val="Microsoft YaHei"/>
      <color rgb="00FF0000"/>
      <sz val="10"/>
    </font>
    <font>
      <b val="1"/>
      <color rgb="00FFFFFF"/>
    </font>
    <font>
      <color rgb="000066CC"/>
    </font>
    <font>
      <color rgb="00008000"/>
    </font>
    <font>
      <b val="1"/>
    </font>
    <font>
      <name val="Microsoft YaHei"/>
      <b val="1"/>
      <color rgb="00333333"/>
    </font>
    <font>
      <name val="Microsoft YaHei"/>
      <b val="1"/>
      <color rgb="00008000"/>
      <sz val="14"/>
    </font>
    <font>
      <b val="1"/>
      <color rgb="0017365D"/>
      <sz val="13"/>
    </font>
    <font>
      <b val="1"/>
      <color rgb="000066CC"/>
    </font>
    <font>
      <color rgb="00666666"/>
      <sz val="10"/>
    </font>
  </fonts>
  <fills count="4">
    <fill>
      <patternFill/>
    </fill>
    <fill>
      <patternFill patternType="gray125"/>
    </fill>
    <fill>
      <patternFill patternType="solid">
        <fgColor rgb="0017365D"/>
      </patternFill>
    </fill>
    <fill>
      <patternFill patternType="solid">
        <fgColor rgb="00F5F7FA"/>
      </patternFill>
    </fill>
  </fills>
  <borders count="2">
    <border>
      <left/>
      <right/>
      <top/>
      <bottom/>
      <diagonal/>
    </border>
    <border>
      <bottom style="thin">
        <color rgb="00D0D7E2"/>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4" fillId="3" borderId="0" applyAlignment="1" pivotButton="0" quotePrefix="0" xfId="0">
      <alignment horizontal="left" vertical="top"/>
    </xf>
    <xf numFmtId="0" fontId="4" fillId="3" borderId="0" applyAlignment="1" pivotButton="0" quotePrefix="0" xfId="0">
      <alignment horizontal="left" vertical="top" wrapText="1"/>
    </xf>
    <xf numFmtId="0" fontId="5" fillId="3" borderId="0" applyAlignment="1" pivotButton="0" quotePrefix="0" xfId="0">
      <alignment horizontal="left" vertical="top" wrapText="1"/>
    </xf>
    <xf numFmtId="0" fontId="6" fillId="2" borderId="0" applyAlignment="1" pivotButton="0" quotePrefix="0" xfId="0">
      <alignment horizontal="center"/>
    </xf>
    <xf numFmtId="0" fontId="7" fillId="0" borderId="0" pivotButton="0" quotePrefix="0" xfId="0"/>
    <xf numFmtId="0" fontId="8" fillId="0" borderId="0" pivotButton="0" quotePrefix="0" xfId="0"/>
    <xf numFmtId="0" fontId="0" fillId="3" borderId="0" pivotButton="0" quotePrefix="0" xfId="0"/>
    <xf numFmtId="0" fontId="7" fillId="3" borderId="0" pivotButton="0" quotePrefix="0" xfId="0"/>
    <xf numFmtId="0" fontId="8" fillId="3"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6"/>
  <sheetViews>
    <sheetView showGridLines="0" workbookViewId="0">
      <selection activeCell="A1" sqref="A1"/>
    </sheetView>
  </sheetViews>
  <sheetFormatPr baseColWidth="8" defaultRowHeight="15" outlineLevelCol="0"/>
  <cols>
    <col width="2" customWidth="1" min="1" max="1"/>
    <col width="30" customWidth="1" min="2" max="2"/>
    <col width="18" customWidth="1" min="3" max="3"/>
    <col width="18" customWidth="1" min="4" max="4"/>
    <col width="18" customWidth="1" min="5" max="5"/>
    <col width="18" customWidth="1" min="6" max="6"/>
    <col width="18" customWidth="1" min="7" max="7"/>
    <col width="18" customWidth="1" min="8" max="8"/>
  </cols>
  <sheetData>
    <row r="2" ht="32" customHeight="1">
      <c r="B2" s="1" t="inlineStr">
        <is>
          <t>PCB概念深度清洗报告</t>
        </is>
      </c>
    </row>
    <row r="3">
      <c r="B3" s="2" t="inlineStr">
        <is>
          <t>复核日期：2026-10-27｜范围：89只｜重点：业务实质、产品层级、商业订单与二次边界复审</t>
        </is>
      </c>
    </row>
    <row r="6" ht="26" customHeight="1">
      <c r="B6" s="17" t="inlineStr">
        <is>
          <t>复核股票（只）</t>
        </is>
      </c>
      <c r="C6" s="18">
        <f>COUNTA('清洗总表'!$B$5:$B$93)</f>
        <v/>
      </c>
    </row>
    <row r="7" ht="26" customHeight="1">
      <c r="B7" s="17" t="inlineStr">
        <is>
          <t>保留PCB（只）</t>
        </is>
      </c>
      <c r="C7" s="18">
        <f>COUNTA('PCB'!$B$5:$B$80)</f>
        <v/>
      </c>
    </row>
    <row r="8" ht="26" customHeight="1">
      <c r="B8" s="17" t="inlineStr">
        <is>
          <t>核心判词（只）</t>
        </is>
      </c>
      <c r="C8" s="18">
        <f>COUNTIF('PCB'!$H$5:$H$80,"核心")</f>
        <v/>
      </c>
    </row>
    <row r="9" ht="26" customHeight="1">
      <c r="B9" s="17" t="inlineStr">
        <is>
          <t>相关判词（只）</t>
        </is>
      </c>
      <c r="C9" s="18">
        <f>COUNTIF('PCB'!$H$5:$H$80,"相关")</f>
        <v/>
      </c>
    </row>
    <row r="10" ht="26" customHeight="1">
      <c r="B10" s="17" t="inlineStr">
        <is>
          <t>纠错动作（只）</t>
        </is>
      </c>
      <c r="C10" s="18">
        <f>COUNTIF('清洗总表'!$E$5:$E$93,"纠错")</f>
        <v/>
      </c>
    </row>
    <row r="11" ht="26" customHeight="1">
      <c r="B11" s="17" t="inlineStr">
        <is>
          <t>完全摘除（只）</t>
        </is>
      </c>
      <c r="C11" s="18">
        <f>COUNTA('摘除清单'!$B$5:$B$17)</f>
        <v/>
      </c>
    </row>
    <row r="15">
      <c r="B15" s="19" t="inlineStr">
        <is>
          <t>工作表索引</t>
        </is>
      </c>
    </row>
    <row r="16">
      <c r="B16" s="20" t="inlineStr">
        <is>
          <t>清洗总表</t>
        </is>
      </c>
      <c r="C16" s="11" t="inlineStr">
        <is>
          <t>89只旧概念、新概念、动作、判词、详细理由和证据</t>
        </is>
      </c>
    </row>
    <row r="17">
      <c r="B17" s="20" t="inlineStr">
        <is>
          <t>PCB</t>
        </is>
      </c>
      <c r="C17" s="11" t="inlineStr">
        <is>
          <t>76只清洗后PCB公司</t>
        </is>
      </c>
    </row>
    <row r="18">
      <c r="B18" s="20" t="inlineStr">
        <is>
          <t>摘除清单</t>
        </is>
      </c>
      <c r="C18" s="11" t="inlineStr">
        <is>
          <t>13只通用业务或PCB证据不足公司</t>
        </is>
      </c>
    </row>
    <row r="19">
      <c r="B19" s="20" t="inlineStr">
        <is>
          <t>概念统计</t>
        </is>
      </c>
      <c r="C19" s="11" t="inlineStr">
        <is>
          <t>23个实际使用的二级概念</t>
        </is>
      </c>
    </row>
    <row r="23">
      <c r="B23" s="21" t="inlineStr">
        <is>
          <t>核心：PCB产业链是明确主营、重要收入来源，或已有规模化核心产品；相关：有真实PCB产品、订单、客户验证或交付，但早期、低占比、未拆分或其他行业为主。</t>
        </is>
      </c>
    </row>
    <row r="24">
      <c r="B24" s="21" t="inlineStr">
        <is>
          <t>摘除：MLCC、SOFC、MPO本身不属于PCB；只有潜在用途的粉体、树脂、设备，以及没有独立PCB业务的被动元件公司均摘除。AI服务器相关按真实板型重标。</t>
        </is>
      </c>
    </row>
    <row r="25">
      <c r="B25" s="21" t="inlineStr">
        <is>
          <t>二次复审：13只摘除结论全部维持；德福科技由相关上调核心，另补充12处真实产品标签并修正少量数字与理由。动作含纠错70只、保留6只、摘除13只。</t>
        </is>
      </c>
    </row>
    <row r="26">
      <c r="B26" s="21" t="inlineStr">
        <is>
          <t>主营与2025分部：iFinD ifind_get_stock_info、ifind_get_stock_business_segmentation（2026-10-27）；逐股公告与证据见Source列。</t>
        </is>
      </c>
    </row>
  </sheetData>
  <mergeCells count="10">
    <mergeCell ref="B26:H26"/>
    <mergeCell ref="C16:G16"/>
    <mergeCell ref="C19:G19"/>
    <mergeCell ref="B2:H2"/>
    <mergeCell ref="B24:H24"/>
    <mergeCell ref="B25:H25"/>
    <mergeCell ref="B3:H3"/>
    <mergeCell ref="C18:G18"/>
    <mergeCell ref="C17:G17"/>
    <mergeCell ref="B23:H2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M9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0" customWidth="1" min="4" max="4"/>
    <col width="10" customWidth="1" min="5" max="5"/>
    <col width="16" customWidth="1" min="6" max="6"/>
    <col width="60" customWidth="1" min="7" max="7"/>
    <col width="10" customWidth="1" min="8" max="8"/>
    <col width="125" customWidth="1" min="9" max="9"/>
    <col width="52" customWidth="1" min="10" max="10"/>
    <col width="14" customWidth="1" min="11" max="11"/>
    <col width="62" customWidth="1" min="12" max="12"/>
    <col width="82" customWidth="1" min="13" max="13"/>
  </cols>
  <sheetData>
    <row r="2" ht="32" customHeight="1">
      <c r="B2" s="1" t="inlineStr">
        <is>
          <t>PCB · 89只逐项复核</t>
        </is>
      </c>
    </row>
    <row r="3">
      <c r="B3" s="2" t="inlineStr">
        <is>
          <t>逐股核对真实产品、订单、客户、交付、运营与股权；区分PCB、传统军工航天和潜在联想。</t>
        </is>
      </c>
    </row>
    <row r="4">
      <c r="B4" s="3" t="inlineStr">
        <is>
          <t>代码</t>
        </is>
      </c>
      <c r="C4" s="3" t="inlineStr">
        <is>
          <t>名称</t>
        </is>
      </c>
      <c r="D4" s="3" t="inlineStr">
        <is>
          <t>旧PCB概念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104" customHeight="1">
      <c r="B5" s="4" t="inlineStr">
        <is>
          <t>000636</t>
        </is>
      </c>
      <c r="C5" s="4" t="inlineStr">
        <is>
          <t>风华高科</t>
        </is>
      </c>
      <c r="D5" s="5" t="inlineStr">
        <is>
          <t>PCB：MLCC</t>
        </is>
      </c>
      <c r="E5" s="4" t="inlineStr">
        <is>
          <t>摘除</t>
        </is>
      </c>
      <c r="F5" s="4" t="inlineStr">
        <is>
          <t>—</t>
        </is>
      </c>
      <c r="G5" s="5" t="inlineStr">
        <is>
          <t>—</t>
        </is>
      </c>
      <c r="H5" s="4" t="inlineStr">
        <is>
          <t>摘除</t>
        </is>
      </c>
      <c r="I5" s="5" t="inlineStr">
        <is>
          <t>公司真实产品是片式多层陶瓷电容器、片式电阻器、电感器及其他电子元器件和电子材料，MLCC属于被动元件，不是印制电路板，也不属于覆铜板、电子布、铜箔、PCB化学品、设备或刀具。2025年电子元器件收入56.5238亿元，其他业务1.0403亿元，合计营业收入57.5641亿元，元器件约占98.19%，但该口径包含多类被动元件，不能全部视为MLCC，更不能转换为PCB收入。公司虽具备电子材料平台属性，现有正式资料未显示独立PCB制造或直接专用材料、设备业务，因此按产业链排除规则定级为摘除。旧“PCB-MLCC”把下游元件与电路板混同，本次只删除该错误交叉标签，不处理公司其他产业分类。</t>
        </is>
      </c>
      <c r="J5" s="4" t="inlineStr">
        <is>
          <t>广东风华高新科技股份有限公司2025年度审计报告</t>
        </is>
      </c>
      <c r="K5" s="4" t="inlineStr">
        <is>
          <t>2026-04-21</t>
        </is>
      </c>
      <c r="L5" s="5" t="inlineStr">
        <is>
          <t>iFinD ifind_get_stock_info + ifind_get_stock_business_segmentation (as of 2026-10-27)；广东风华高新科技股份有限公司2025年度审计报告</t>
        </is>
      </c>
      <c r="M5" s="6" t="inlineStr">
        <is>
          <t>https://disc.static.szse.cn/disc/disk03/finalpage/2026-04-21/7f212725-e703-4a11-b8f5-5f873701e825.pdf</t>
        </is>
      </c>
    </row>
    <row r="6" ht="104" customHeight="1">
      <c r="B6" s="7" t="inlineStr">
        <is>
          <t>000657</t>
        </is>
      </c>
      <c r="C6" s="7" t="inlineStr">
        <is>
          <t>中钨高新</t>
        </is>
      </c>
      <c r="D6" s="8" t="inlineStr">
        <is>
          <t>PCB：钻针</t>
        </is>
      </c>
      <c r="E6" s="7" t="inlineStr">
        <is>
          <t>纠错</t>
        </is>
      </c>
      <c r="F6" s="7" t="inlineStr">
        <is>
          <t>PCB</t>
        </is>
      </c>
      <c r="G6" s="8" t="inlineStr">
        <is>
          <t>PCB刀具-钻针与铣刀</t>
        </is>
      </c>
      <c r="H6" s="7" t="inlineStr">
        <is>
          <t>核心</t>
        </is>
      </c>
      <c r="I6" s="8" t="inlineStr">
        <is>
          <t>公司旗下金洲公司直接生产PCB微型钻针等精密加工刀具，产品用于印制电路板微孔钻削，并非仅提供钨粉或硬质合金原料，具备真实规模化产品和经营收入。2025年集团营业收入176.3851亿元，切削刀具及工具收入36.1144亿元、占20.47%，其中还包含数控刀片和其他刀具；金洲公司营业收入约14.2亿元、约占集团8.05%，净利润约3.6亿元，该主体口径比刀具大类更接近PCB微钻业务，但也不能把集团全部钨产业链收入计入PCB。基于直接产品、独立经营主体及规模，定级为核心。旧“钨上游、微钻原料”明显低估业务环节，应纠正为PCB微钻及直接加工刀具，而非保留泛有色金属解释。</t>
        </is>
      </c>
      <c r="J6" s="7" t="inlineStr">
        <is>
          <t>中钨高新材料股份有限公司2025年年度报告</t>
        </is>
      </c>
      <c r="K6" s="7" t="inlineStr">
        <is>
          <t>2026-04-27</t>
        </is>
      </c>
      <c r="L6" s="8" t="inlineStr">
        <is>
          <t>iFinD ifind_get_stock_info + ifind_get_stock_business_segmentation (as of 2026-10-27)；中钨高新材料股份有限公司2025年年度报告</t>
        </is>
      </c>
      <c r="M6" s="9" t="inlineStr">
        <is>
          <t>http://notice.10jqka.com.cn/api/pdf/1fefdb8f1bbe9358.pdf</t>
        </is>
      </c>
    </row>
    <row r="7" ht="104" customHeight="1">
      <c r="B7" s="4" t="inlineStr">
        <is>
          <t>000733</t>
        </is>
      </c>
      <c r="C7" s="4" t="inlineStr">
        <is>
          <t>振华科技</t>
        </is>
      </c>
      <c r="D7" s="5" t="inlineStr">
        <is>
          <t>PCB：MLCC</t>
        </is>
      </c>
      <c r="E7" s="4" t="inlineStr">
        <is>
          <t>摘除</t>
        </is>
      </c>
      <c r="F7" s="4" t="inlineStr">
        <is>
          <t>—</t>
        </is>
      </c>
      <c r="G7" s="5" t="inlineStr">
        <is>
          <t>—</t>
        </is>
      </c>
      <c r="H7" s="4" t="inlineStr">
        <is>
          <t>摘除</t>
        </is>
      </c>
      <c r="I7" s="5" t="inlineStr">
        <is>
          <t>公司新型电子元器件包括电阻、电容、电感、半导体分立器件、继电器、连接器及混合集成电路等，MLCC和军用被动元件即使用于军工电子或服务器，也仍是安装在电路板上的元器件，不等于PCB本体或其直接材料、设备、刀具。2025年新型电子元器件收入57.0999亿元，现代服务业0.4499亿元，合计57.5497亿元，元器件约占99.22%，但这是多产品混合口径，未单列MLCC收入，也不存在可辨认的PCB收入。正式年报未显示公司有独立印制电路板制造或覆铜板等强相关业务，故按排除规则定级为摘除。旧“PCB-MLCC”属于产业环节错配，本次删除该PCB标签，不触碰其军工电子等其他标签。</t>
        </is>
      </c>
      <c r="J7" s="4" t="inlineStr">
        <is>
          <t>中国振华(集团)科技股份有限公司2025年年度报告</t>
        </is>
      </c>
      <c r="K7" s="4" t="inlineStr">
        <is>
          <t>2026-04-29</t>
        </is>
      </c>
      <c r="L7" s="5" t="inlineStr">
        <is>
          <t>iFinD ifind_get_stock_info + ifind_get_stock_business_segmentation (as of 2026-10-27)；中国振华(集团)科技股份有限公司2025年年度报告</t>
        </is>
      </c>
      <c r="M7" s="6" t="inlineStr">
        <is>
          <t>http://file.finance.sina.com.cn/211.154.219.97:9494/MRGG/CNSESZ_STOCK/2026/2026-4/2026-04-29/12267545.PDF</t>
        </is>
      </c>
    </row>
    <row r="8" ht="104" customHeight="1">
      <c r="B8" s="7" t="inlineStr">
        <is>
          <t>000823</t>
        </is>
      </c>
      <c r="C8" s="7" t="inlineStr">
        <is>
          <t>超声电子</t>
        </is>
      </c>
      <c r="D8" s="8" t="inlineStr">
        <is>
          <t>PCB：AI服务器相关</t>
        </is>
      </c>
      <c r="E8" s="7" t="inlineStr">
        <is>
          <t>纠错</t>
        </is>
      </c>
      <c r="F8" s="7" t="inlineStr">
        <is>
          <t>PCB</t>
        </is>
      </c>
      <c r="G8" s="8" t="inlineStr">
        <is>
          <t>PCB-HDI与任意层互连、覆铜板与粘结片</t>
        </is>
      </c>
      <c r="H8" s="7" t="inlineStr">
        <is>
          <t>核心</t>
        </is>
      </c>
      <c r="I8" s="8" t="inlineStr">
        <is>
          <t>公司直接生产双面及多层印制线路板、HDI高密度互连板，并生产覆铜板和半固化片，既覆盖PCB制造又覆盖其关键基材，产品和收入均有正式披露。2025年印制线路板收入31.4951亿元，占营业收入约49.75%；覆铜板收入11.0944亿元，占约17.52%，两项合计约67.27%，其余主要为液晶显示器17.4402亿元、超声电子仪器3.2805亿元，不能把公司全部63.3102亿元收入都归为PCB。印刷板与覆铜板分别构成重要收入来源，故定级为核心。旧“AI服务器相关”过于笼统且会把显示器等业务误带入算力链条，应改按实际板型列HDI与任意层互连，并补充覆铜板与粘结片，不额外推定服务器收入。</t>
        </is>
      </c>
      <c r="J8" s="7" t="inlineStr">
        <is>
          <t>超声电子：2025年年度报告</t>
        </is>
      </c>
      <c r="K8" s="7" t="inlineStr">
        <is>
          <t>2026-03-21</t>
        </is>
      </c>
      <c r="L8" s="8" t="inlineStr">
        <is>
          <t>iFinD ifind_get_stock_info + ifind_get_stock_business_segmentation (as of 2026-10-27)；超声电子：2025年年度报告</t>
        </is>
      </c>
      <c r="M8" s="9" t="inlineStr">
        <is>
          <t>http://money.finance.sina.com.cn/corp/view/vCB_AllBulletinDetail.php?stockid=000823&amp;id=12007875</t>
        </is>
      </c>
    </row>
    <row r="9" ht="104" customHeight="1">
      <c r="B9" s="4" t="inlineStr">
        <is>
          <t>001212</t>
        </is>
      </c>
      <c r="C9" s="4" t="inlineStr">
        <is>
          <t>中旗新材</t>
        </is>
      </c>
      <c r="D9" s="5" t="inlineStr">
        <is>
          <t>PCB：硅微粉</t>
        </is>
      </c>
      <c r="E9" s="4" t="inlineStr">
        <is>
          <t>摘除</t>
        </is>
      </c>
      <c r="F9" s="4" t="inlineStr">
        <is>
          <t>—</t>
        </is>
      </c>
      <c r="G9" s="5" t="inlineStr">
        <is>
          <t>—</t>
        </is>
      </c>
      <c r="H9" s="4" t="inlineStr">
        <is>
          <t>摘除</t>
        </is>
      </c>
      <c r="I9" s="5" t="inlineStr">
        <is>
          <t>公司现有人造石英石板材和台面是真实主营产品，高纯砂或石英砂粉也不能仅凭化学成分就自动认定为覆铜板用硅微粉。2025年板材收入3.2807亿元、占约78.58%，台面0.8177亿元、占约19.59%，高纯砂约0.0527亿元、占约1.26%，合计营业收入4.1751亿元；砂粉收入占比很小，且公司正式互动回复明确相关硅微粉尚未在PCB领域应用，因此没有真实供货或收入可支撑PCB标签。混合口径中绝大多数为建材产品，不能当作电子填料业务。按只有潜在用途即排除的规则定级为摘除。旧“硅微粉”虽指出材料形态，却错误暗示PCB应用，本次删除该标签，不另行扩展石英材料分类。</t>
        </is>
      </c>
      <c r="J9" s="4" t="inlineStr">
        <is>
          <t>中旗新材关于硅微粉应用领域的投资者互动回复</t>
        </is>
      </c>
      <c r="K9" s="4" t="inlineStr">
        <is>
          <t>2026-06-08</t>
        </is>
      </c>
      <c r="L9" s="5" t="inlineStr">
        <is>
          <t>iFinD ifind_get_stock_info + ifind_get_stock_business_segmentation (as of 2026-10-27)；中旗新材关于硅微粉应用领域的投资者互动回复</t>
        </is>
      </c>
      <c r="M9" s="6" t="inlineStr">
        <is>
          <t>https://api3.cls.cn/share/article/2400946?os=androids&amp;sv=860&amp;app=</t>
        </is>
      </c>
    </row>
    <row r="10" ht="104" customHeight="1">
      <c r="B10" s="7" t="inlineStr">
        <is>
          <t>001216</t>
        </is>
      </c>
      <c r="C10" s="7" t="inlineStr">
        <is>
          <t>华瓷股份</t>
        </is>
      </c>
      <c r="D10" s="8" t="inlineStr">
        <is>
          <t>PCB：MLCC</t>
        </is>
      </c>
      <c r="E10" s="7" t="inlineStr">
        <is>
          <t>摘除</t>
        </is>
      </c>
      <c r="F10" s="7" t="inlineStr">
        <is>
          <t>—</t>
        </is>
      </c>
      <c r="G10" s="8" t="inlineStr">
        <is>
          <t>—</t>
        </is>
      </c>
      <c r="H10" s="7" t="inlineStr">
        <is>
          <t>摘除</t>
        </is>
      </c>
      <c r="I10" s="8" t="inlineStr">
        <is>
          <t>公司主要产品为色釉陶瓷、釉下五彩瓷等日用陶瓷，另有电瓷和陶瓷新材料，陶瓷材料身份并不代表生产MLCC，更不代表生产PCB或其专用材料。2025年色釉陶瓷收入13.9364亿元，釉下五彩瓷0.3876亿元，电瓷0.2021亿元，陶瓷新材料0.1251亿元，营业收入合计14.7154亿元；日用陶瓷占绝对主体，电瓷属于电力绝缘器材，也不能转为电子元件或电路板收入。年报未显示印制电路板、覆铜板、电子布、PCB设备或刀具等独立业务，故按真实产品和产业边界定级为摘除。旧“PCB-MLCC”没有任何对应主营产品支撑，是把陶瓷概念错误映射到电子元件后再错配到PCB，本次删除该标签，不处理其他产业属性。</t>
        </is>
      </c>
      <c r="J10" s="7" t="inlineStr">
        <is>
          <t>湖南华联瓷业股份有限公司2025年年度报告</t>
        </is>
      </c>
      <c r="K10" s="7" t="inlineStr">
        <is>
          <t>2026-04-29</t>
        </is>
      </c>
      <c r="L10" s="8" t="inlineStr">
        <is>
          <t>iFinD ifind_get_stock_info + ifind_get_stock_business_segmentation (as of 2026-10-27)；湖南华联瓷业股份有限公司2025年年度报告</t>
        </is>
      </c>
      <c r="M10" s="9" t="inlineStr">
        <is>
          <t>http://file.finance.sina.com.cn/211.154.219.97:9494/MRGG/CNSESZ_STOCK/2026/2026-4/2026-04-29/12246740.PDF</t>
        </is>
      </c>
    </row>
    <row r="11" ht="104" customHeight="1">
      <c r="B11" s="4" t="inlineStr">
        <is>
          <t>001359</t>
        </is>
      </c>
      <c r="C11" s="4" t="inlineStr">
        <is>
          <t>平安电工</t>
        </is>
      </c>
      <c r="D11" s="5" t="inlineStr">
        <is>
          <t>PCB：电子布</t>
        </is>
      </c>
      <c r="E11" s="4" t="inlineStr">
        <is>
          <t>纠错</t>
        </is>
      </c>
      <c r="F11" s="4" t="inlineStr">
        <is>
          <t>PCB</t>
        </is>
      </c>
      <c r="G11" s="5" t="inlineStr">
        <is>
          <t>电子布与玻纤材料</t>
        </is>
      </c>
      <c r="H11" s="4" t="inlineStr">
        <is>
          <t>核心</t>
        </is>
      </c>
      <c r="I11" s="5" t="inlineStr">
        <is>
          <t>公司除云母绝缘材料外，还实际生产特种纤维及电子布，电子级玻纤布可作为覆铜板增强材料，属于PCB上游直接材料而非仅凭绝缘用途形成的潜在线索。2025年特种纤维及电子布收入1.3875亿元，占营业收入11.8940亿元的约11.67%；云母绝缘材料7.4543亿元、新能源绝缘材料2.9783亿元仍是更大收入来源，且上述分部同时含特种纤维，不能把1.3875亿元全部无条件视作PCB电子布。尽管如此，该产品已形成独立披露和亿元级销售规模，符合规模化核心产品标准，故定级为核心，同时保留混合收入边界。旧“云母绝缘材料、边缘”忽略已落地电子布，应纠正为电子布与玻纤材料，而非继续用主营云母否定全部PCB关联。</t>
        </is>
      </c>
      <c r="J11" s="4" t="inlineStr">
        <is>
          <t>平安电工：2025年年度报告</t>
        </is>
      </c>
      <c r="K11" s="4" t="inlineStr">
        <is>
          <t>2026-04-29</t>
        </is>
      </c>
      <c r="L11" s="5" t="inlineStr">
        <is>
          <t>iFinD ifind_get_stock_info + ifind_get_stock_business_segmentation (as of 2026-10-27)；平安电工：2025年年度报告</t>
        </is>
      </c>
      <c r="M11" s="6" t="inlineStr">
        <is>
          <t>http://money.finance.sina.com.cn/corp/view/vCB_AllBulletinDetail.php?stockid=001359&amp;id=12252614</t>
        </is>
      </c>
    </row>
    <row r="12" ht="104" customHeight="1">
      <c r="B12" s="7" t="inlineStr">
        <is>
          <t>001389</t>
        </is>
      </c>
      <c r="C12" s="7" t="inlineStr">
        <is>
          <t>广合科技</t>
        </is>
      </c>
      <c r="D12" s="8" t="inlineStr">
        <is>
          <t>PCB：PCB</t>
        </is>
      </c>
      <c r="E12" s="7" t="inlineStr">
        <is>
          <t>纠错</t>
        </is>
      </c>
      <c r="F12" s="7" t="inlineStr">
        <is>
          <t>PCB</t>
        </is>
      </c>
      <c r="G12" s="8" t="inlineStr">
        <is>
          <t>PCB-高多层与服务器板、PCB-HDI与任意层互连</t>
        </is>
      </c>
      <c r="H12" s="7" t="inlineStr">
        <is>
          <t>核心</t>
        </is>
      </c>
      <c r="I12" s="8" t="inlineStr">
        <is>
          <t>公司主营多高层印制电路板，真实产品覆盖服务器用高多层板及HDI等高密度互连产品，服务器板已有规模销售而非研发储备。2025年PCB板收入51.0189亿元，占营业收入93.0090%，其他业务收入3.8348亿元；年报进一步说明服务器用PCB约占产品收入八成，因此服务器板是公司最重要应用方向，但该比例口径是产品收入而非含其他业务的合并营收，不能机械把全部PCB都称为AI服务器板。PCB收入占绝对主导且服务器产品规模化，定级为核心。旧“PCB、多高层”方向正确但粒度过粗，应细化为高多层与服务器板，并按实际产品补充HDI与任意层互连，保留普通服务器、其他算力设备及非服务器板之间的收入边界。</t>
        </is>
      </c>
      <c r="J12" s="7" t="inlineStr">
        <is>
          <t>广合科技：2025年年度报告</t>
        </is>
      </c>
      <c r="K12" s="7" t="inlineStr">
        <is>
          <t>2026-03-28</t>
        </is>
      </c>
      <c r="L12" s="8" t="inlineStr">
        <is>
          <t>iFinD ifind_get_stock_info + ifind_get_stock_business_segmentation (as of 2026-10-27)；广合科技：2025年年度报告</t>
        </is>
      </c>
      <c r="M12" s="9" t="inlineStr">
        <is>
          <t>http://money.finance.sina.com.cn/corp/view/vCB_AllBulletinDetail.php?stockid=001389&amp;id=12033054</t>
        </is>
      </c>
    </row>
    <row r="13" ht="104" customHeight="1">
      <c r="B13" s="4" t="inlineStr">
        <is>
          <t>002080</t>
        </is>
      </c>
      <c r="C13" s="4" t="inlineStr">
        <is>
          <t>中材科技</t>
        </is>
      </c>
      <c r="D13" s="5" t="inlineStr">
        <is>
          <t>PCB：电子布</t>
        </is>
      </c>
      <c r="E13" s="4" t="inlineStr">
        <is>
          <t>纠错</t>
        </is>
      </c>
      <c r="F13" s="4" t="inlineStr">
        <is>
          <t>PCB</t>
        </is>
      </c>
      <c r="G13" s="5" t="inlineStr">
        <is>
          <t>电子布与玻纤材料</t>
        </is>
      </c>
      <c r="H13" s="4" t="inlineStr">
        <is>
          <t>相关</t>
        </is>
      </c>
      <c r="I13" s="5" t="inlineStr">
        <is>
          <t>公司全资子公司泰山玻纤实际销售电子布和特种纤维布，产品可用于覆铜板增强体系，具有真实PCB材料收入，不是把全部玻纤业务潜在用途都映射到PCB。2025年公司营业收入301.9549亿元，风电叶片125.9500亿元、无碱玻璃纤维及制品89.0494亿元、隔膜23.9782亿元构成主要混合业务；正式异动公告单列电子布收入3.60亿元、占1.19%，特种纤维布6.28亿元、占2.08%，合计9.88亿元、约3.27%，公司明确提示总体占比较小。由于产品真实且已有销售，但上市公司占比低，定级为相关。旧“电子布”方向可保留，但需用白名单统一名称，并纠正把全部玻纤或风电复合材料纳入PCB的宽泛理解。</t>
        </is>
      </c>
      <c r="J13" s="4" t="inlineStr">
        <is>
          <t>中材科技股份有限公司关于股票交易异常波动公告</t>
        </is>
      </c>
      <c r="K13" s="4" t="inlineStr">
        <is>
          <t>2026-06-29</t>
        </is>
      </c>
      <c r="L13" s="5" t="inlineStr">
        <is>
          <t>iFinD ifind_get_stock_info + ifind_get_stock_business_segmentation (as of 2026-10-27)；中材科技股份有限公司关于股票交易异常波动公告</t>
        </is>
      </c>
      <c r="M13" s="6" t="inlineStr">
        <is>
          <t>http://static.cninfo.com.cn/finalpage/2026-06-29/1225391023.PDF</t>
        </is>
      </c>
    </row>
    <row r="14" ht="104" customHeight="1">
      <c r="B14" s="7" t="inlineStr">
        <is>
          <t>002134</t>
        </is>
      </c>
      <c r="C14" s="7" t="inlineStr">
        <is>
          <t>天津普林</t>
        </is>
      </c>
      <c r="D14" s="8" t="inlineStr">
        <is>
          <t>PCB：PCB</t>
        </is>
      </c>
      <c r="E14" s="7" t="inlineStr">
        <is>
          <t>纠错</t>
        </is>
      </c>
      <c r="F14" s="7" t="inlineStr">
        <is>
          <t>PCB</t>
        </is>
      </c>
      <c r="G14" s="8" t="inlineStr">
        <is>
          <t>PCB-通用刚性板、PCB-HDI与任意层互连</t>
        </is>
      </c>
      <c r="H14" s="7" t="inlineStr">
        <is>
          <t>核心</t>
        </is>
      </c>
      <c r="I14" s="8" t="inlineStr">
        <is>
          <t>公司直接从事印制电路板研发、生产和销售，产品包括多层刚性板及HDI等高密度互连板，属于标准PCB制造企业，不是上游材料或仅提供潜在配套。2025年印制电路板收入13.7868亿元，占营业收入100%，收入来源高度集中，未混入需要剔除的其他产业板块；不过公司PCB下游包括工控、医疗、汽车、通信等多种场景，不能因行业景气就将全部收入描述为AI服务器或高阶算力板。基于全部主营收入和规模化制造能力，定级为核心。旧“PCB”标签方向正确但缺乏板型区分，本次按证据拆为通用刚性板与HDI和任意层互连，未获得明确服务器产品或客户证据的部分不追加服务器标签，避免把技术优势等同于特定终端收入。</t>
        </is>
      </c>
      <c r="J14" s="7" t="inlineStr">
        <is>
          <t>天津普林电路股份有限公司2025年年度报告</t>
        </is>
      </c>
      <c r="K14" s="7" t="inlineStr">
        <is>
          <t>2026-03-27</t>
        </is>
      </c>
      <c r="L14" s="8" t="inlineStr">
        <is>
          <t>iFinD ifind_get_stock_info + ifind_get_stock_business_segmentation (as of 2026-10-27)；天津普林电路股份有限公司2025年年度报告</t>
        </is>
      </c>
      <c r="M14" s="9" t="inlineStr">
        <is>
          <t>http://file.finance.sina.com.cn/211.154.219.97:9494/MRGG/CNSESZ_STOCK/2026/2026-3/2026-03-27/12022060.PDF</t>
        </is>
      </c>
    </row>
    <row r="15" ht="104" customHeight="1">
      <c r="B15" s="4" t="inlineStr">
        <is>
          <t>002141</t>
        </is>
      </c>
      <c r="C15" s="4" t="inlineStr">
        <is>
          <t>贤丰控股</t>
        </is>
      </c>
      <c r="D15" s="5" t="inlineStr">
        <is>
          <t>PCB：覆铜板</t>
        </is>
      </c>
      <c r="E15" s="4" t="inlineStr">
        <is>
          <t>纠错</t>
        </is>
      </c>
      <c r="F15" s="4" t="inlineStr">
        <is>
          <t>PCB</t>
        </is>
      </c>
      <c r="G15" s="5" t="inlineStr">
        <is>
          <t>覆铜板与粘结片</t>
        </is>
      </c>
      <c r="H15" s="4" t="inlineStr">
        <is>
          <t>核心</t>
        </is>
      </c>
      <c r="I15" s="5" t="inlineStr">
        <is>
          <t>公司通过高硕航宇等经营主体实际生产覆铜板及PP，PP即半固化片或粘结片，属于PCB直接基材，已形成大额销售而不是产业投资或规划项目。2025年覆铜板及PP收入7.4893亿元，占营业收入11.5562亿元的64.8073%；其余包括饲料3.2099亿元、猪苗0.4013亿元和其他0.4557亿元，这些养殖及其他收入不能计入电子材料。覆铜板业务已成为上市公司第一大收入来源和重要经营板块，故定级为核心，同时明确合并报表仍是混合业务结构。旧“覆铜板”方向正确但遗漏PP，应统一纠正为白名单“覆铜板与粘结片”，不能因公司历史主营或其他板块而否定当前真实电子材料主业，也不把全部营收当作PCB。</t>
        </is>
      </c>
      <c r="J15" s="4" t="inlineStr">
        <is>
          <t>贤丰控股：2025年年度报告</t>
        </is>
      </c>
      <c r="K15" s="4" t="inlineStr">
        <is>
          <t>2026-04-22</t>
        </is>
      </c>
      <c r="L15" s="5" t="inlineStr">
        <is>
          <t>iFinD ifind_get_stock_info + ifind_get_stock_business_segmentation (as of 2026-10-27)；贤丰控股：2025年年度报告</t>
        </is>
      </c>
      <c r="M15" s="6" t="inlineStr">
        <is>
          <t>https://money.finance.sina.com.cn/corp/view/vCB_AllBulletinDetail.php?stockid=002141&amp;id=12135633</t>
        </is>
      </c>
    </row>
    <row r="16" ht="104" customHeight="1">
      <c r="B16" s="7" t="inlineStr">
        <is>
          <t>002409</t>
        </is>
      </c>
      <c r="C16" s="7" t="inlineStr">
        <is>
          <t>雅克科技</t>
        </is>
      </c>
      <c r="D16" s="8" t="inlineStr">
        <is>
          <t>PCB：硅微粉</t>
        </is>
      </c>
      <c r="E16" s="7" t="inlineStr">
        <is>
          <t>纠错</t>
        </is>
      </c>
      <c r="F16" s="7" t="inlineStr">
        <is>
          <t>PCB</t>
        </is>
      </c>
      <c r="G16" s="8" t="inlineStr">
        <is>
          <t>填料-硅微粉与功能粉体</t>
        </is>
      </c>
      <c r="H16" s="7" t="inlineStr">
        <is>
          <t>相关</t>
        </is>
      </c>
      <c r="I16" s="8" t="inlineStr">
        <is>
          <t>公司实际生产硅微粉等功能粉体，可用于覆铜板和电子封装树脂体系，具备真实PCB材料应用，但同一产品也服务半导体封装等下游，不能全部归入PCB。2025年硅微粉收入2.8824亿元，约占营业收入86.14亿元的3.35%；半导体化学材料21.1076亿元、光刻胶及配套19.5966亿元、电子特气4.1737亿元、LNG板材23.7044亿元构成其他主要混合收入，硅微粉虽单列金额，却未按覆铜板与封装用途进一步拆分。考虑直接材料真实、收入占比不高且下游混合，定级为相关。旧“硅微粉”可保留实质，但应规范为填料-硅微粉与功能粉体，并纠正以公司整体电子材料收入证明PCB核心地位的做法。</t>
        </is>
      </c>
      <c r="J16" s="7" t="inlineStr">
        <is>
          <t>雅克科技：2025年年度报告</t>
        </is>
      </c>
      <c r="K16" s="7" t="inlineStr">
        <is>
          <t>2026-04-28</t>
        </is>
      </c>
      <c r="L16" s="8" t="inlineStr">
        <is>
          <t>iFinD ifind_get_stock_info + ifind_get_stock_business_segmentation (as of 2026-10-27)；雅克科技：2025年年度报告</t>
        </is>
      </c>
      <c r="M16" s="9" t="inlineStr">
        <is>
          <t>http://money.finance.sina.com.cn/corp/view/vCB_AllBulletinDetail.php?stockid=002409&amp;id=12232855</t>
        </is>
      </c>
    </row>
    <row r="17" ht="104" customHeight="1">
      <c r="B17" s="4" t="inlineStr">
        <is>
          <t>002463</t>
        </is>
      </c>
      <c r="C17" s="4" t="inlineStr">
        <is>
          <t>沪电股份</t>
        </is>
      </c>
      <c r="D17" s="5" t="inlineStr">
        <is>
          <t>PCB：AI服务器相关</t>
        </is>
      </c>
      <c r="E17" s="4" t="inlineStr">
        <is>
          <t>纠错</t>
        </is>
      </c>
      <c r="F17" s="4" t="inlineStr">
        <is>
          <t>PCB</t>
        </is>
      </c>
      <c r="G17" s="5" t="inlineStr">
        <is>
          <t>PCB-高多层与服务器板、PCB-HDI与任意层互连</t>
        </is>
      </c>
      <c r="H17" s="4" t="inlineStr">
        <is>
          <t>核心</t>
        </is>
      </c>
      <c r="I17" s="5" t="inlineStr">
        <is>
          <t>公司直接生产高多层、高速及HDI印制电路板，真实用于AI服务器、高性能计算、通用服务器和高速交换机路由器，具备明确产品与收入证据。2025年PCB收入181.43亿元，占营业收入约95.77%；其中企业通讯市场板146.5630亿元、汽车板30.4458亿元、工控及其他4.4243亿元。总经理工作报告进一步披露AI服务器及HPC相关收入30.06亿元、通用服务器25.40亿元、高速交换机及路由器81.69亿元，这些是企业通讯板内部的应用拆分，不能与企业通讯板收入重复相加，也不能把汽车板纳入算力。PCB主业占绝对主导，定级为核心。旧“AI服务器相关”过窄且笼统，应改按实际板型归高多层与服务器板并补充HDI。</t>
        </is>
      </c>
      <c r="J17" s="4" t="inlineStr">
        <is>
          <t>沪电股份：2025年度总经理工作报告</t>
        </is>
      </c>
      <c r="K17" s="4" t="inlineStr">
        <is>
          <t>2026-03-25</t>
        </is>
      </c>
      <c r="L17" s="5" t="inlineStr">
        <is>
          <t>iFinD ifind_get_stock_info + ifind_get_stock_business_segmentation (as of 2026-10-27)；沪电股份：2025年度总经理工作报告</t>
        </is>
      </c>
      <c r="M17" s="6" t="inlineStr">
        <is>
          <t>http://money.finance.sina.com.cn/corp/view/vCB_AllBulletinDetail.php?stockid=002463&amp;id=12014861</t>
        </is>
      </c>
    </row>
    <row r="18" ht="104" customHeight="1">
      <c r="B18" s="7" t="inlineStr">
        <is>
          <t>002552</t>
        </is>
      </c>
      <c r="C18" s="7" t="inlineStr">
        <is>
          <t>宝鼎科技</t>
        </is>
      </c>
      <c r="D18" s="8" t="inlineStr">
        <is>
          <t>PCB：HVLP</t>
        </is>
      </c>
      <c r="E18" s="7" t="inlineStr">
        <is>
          <t>纠错</t>
        </is>
      </c>
      <c r="F18" s="7" t="inlineStr">
        <is>
          <t>PCB</t>
        </is>
      </c>
      <c r="G18" s="8" t="inlineStr">
        <is>
          <t>覆铜板与粘结片、铜箔-通用PCB、铜箔-HVLP与高频高速</t>
        </is>
      </c>
      <c r="H18" s="7" t="inlineStr">
        <is>
          <t>核心</t>
        </is>
      </c>
      <c r="I18" s="8" t="inlineStr">
        <is>
          <t>公司实际生产FR-4及复合基覆铜板、HTE等普通电子电路铜箔，并有少量HVLP低轮廓铜箔销售，产品均与PCB直接相关。2025年覆铜板收入20.7091亿元、占65.81%，铜箔5.1798亿元、占16.46%，成品金5.0848亿元，合并营业收入31.4677亿元，黄金等业务不能计入PCB。核心定级由覆铜板和通用铜箔的规模收入支撑，而非HVLP；正式公告明确2025年HVLP销量仅占铜箔销量0.03%，尚处认证及市场拓展阶段、未形成批量生产，M7和M9亦无订单及收入，故高频高速标签只保留早期业务边界。旧“HVLP”单独突出会严重夸大高端化，应补齐覆铜板与通用铜箔并明确极小占比。</t>
        </is>
      </c>
      <c r="J18" s="7" t="inlineStr">
        <is>
          <t>宝鼎科技股份有限公司股票交易异常波动公告</t>
        </is>
      </c>
      <c r="K18" s="7" t="inlineStr">
        <is>
          <t>2026-05-13</t>
        </is>
      </c>
      <c r="L18" s="8" t="inlineStr">
        <is>
          <t>iFinD ifind_get_stock_info + ifind_get_stock_business_segmentation (as of 2026-10-27)；宝鼎科技股份有限公司股票交易异常波动公告</t>
        </is>
      </c>
      <c r="M18" s="9" t="inlineStr">
        <is>
          <t>https://money.finance.sina.com.cn/corp/view/vCB_AllBulletinDetail.php?stockid=002552&amp;id=12314801</t>
        </is>
      </c>
    </row>
    <row r="19" ht="104" customHeight="1">
      <c r="B19" s="4" t="inlineStr">
        <is>
          <t>002579</t>
        </is>
      </c>
      <c r="C19" s="4" t="inlineStr">
        <is>
          <t>中京电子</t>
        </is>
      </c>
      <c r="D19" s="5" t="inlineStr">
        <is>
          <t>PCB：AI服务器相关</t>
        </is>
      </c>
      <c r="E19" s="4" t="inlineStr">
        <is>
          <t>纠错</t>
        </is>
      </c>
      <c r="F19" s="4" t="inlineStr">
        <is>
          <t>PCB</t>
        </is>
      </c>
      <c r="G19" s="5" t="inlineStr">
        <is>
          <t>PCB-通用刚性板、PCB-HDI与任意层互连、PCB-FPC与刚挠结合、PCB-高多层与服务器板</t>
        </is>
      </c>
      <c r="H19" s="4" t="inlineStr">
        <is>
          <t>核心</t>
        </is>
      </c>
      <c r="I19" s="5" t="inlineStr">
        <is>
          <t>公司直接制造刚性印制电路板、HDI、柔性电路板及刚挠结合产品，并披露AI加速卡、交换机等高端应用产品，板型和算力应用均有真实业务基础。2025年刚性电路板收入20.7345亿元，占约66.02%；柔性电路板及其应用模组8.6068亿元，占约27.40%，其他收入2.0652亿元，合计营业收入31.4065亿元，PCB构成主营。刚性板是包含不同层数和终端的宽口径，柔性模组也包含非服务器应用，不能将两部分全部视为AI收入；AI相关板型未单列金额。基于PCB整体主业定级为核心。旧“AI服务器相关”过度聚焦单一应用，应改为通用刚性板、HDI、FPC与刚挠结合，并对有证据的算力产品补充高多层与服务器板。</t>
        </is>
      </c>
      <c r="J19" s="4" t="inlineStr">
        <is>
          <t>惠州中京电子科技股份有限公司2025年年度报告</t>
        </is>
      </c>
      <c r="K19" s="4" t="inlineStr">
        <is>
          <t>2026-04-24</t>
        </is>
      </c>
      <c r="L19" s="5" t="inlineStr">
        <is>
          <t>iFinD ifind_get_stock_info + ifind_get_stock_business_segmentation (as of 2026-10-27)；惠州中京电子科技股份有限公司2025年年度报告</t>
        </is>
      </c>
      <c r="M19" s="6" t="inlineStr">
        <is>
          <t>https://static.cninfo.com.cn/finalpage/2026-04-24/1225167909.PDF</t>
        </is>
      </c>
    </row>
    <row r="20" ht="104" customHeight="1">
      <c r="B20" s="7" t="inlineStr">
        <is>
          <t>002636</t>
        </is>
      </c>
      <c r="C20" s="7" t="inlineStr">
        <is>
          <t>金安国纪</t>
        </is>
      </c>
      <c r="D20" s="8" t="inlineStr">
        <is>
          <t>PCB：电子布</t>
        </is>
      </c>
      <c r="E20" s="7" t="inlineStr">
        <is>
          <t>纠错</t>
        </is>
      </c>
      <c r="F20" s="7" t="inlineStr">
        <is>
          <t>PCB</t>
        </is>
      </c>
      <c r="G20" s="8" t="inlineStr">
        <is>
          <t>覆铜板与粘结片、电子布与玻纤材料、PCB-通用刚性板</t>
        </is>
      </c>
      <c r="H20" s="7" t="inlineStr">
        <is>
          <t>核心</t>
        </is>
      </c>
      <c r="I20" s="8" t="inlineStr">
        <is>
          <t>公司形成电子级玻纤布、覆铜板及PCB的实际产业链，覆铜板含半固化片，电子布既保障自用也有销售，PCB则是独立下游产品，三类均有经营证据。2025年覆铜板及相关产品收入41.2092亿元，占营业收入44.8024亿元的约91.98%；PCB收入1.1061亿元、占约2.47%，医疗器械和医药等其余业务不能纳入PCB。电子布未单列收入，不能把覆铜板收入重复解释为电子布外销收入，也不能把全部产品宣称为AI高速板。覆铜板占绝对主导，定级为核心。旧“电子布”并非虚假但严重遗漏主业，应补为覆铜板与粘结片、电子布与玻纤材料及通用刚性板，且不使用未经证实的高频高速或服务器标签。</t>
        </is>
      </c>
      <c r="J20" s="7" t="inlineStr">
        <is>
          <t>金安国纪集团股份有限公司2025年年度报告</t>
        </is>
      </c>
      <c r="K20" s="7" t="inlineStr">
        <is>
          <t>2026-04-29</t>
        </is>
      </c>
      <c r="L20" s="8" t="inlineStr">
        <is>
          <t>iFinD ifind_get_stock_info + ifind_get_stock_business_segmentation (as of 2026-10-27)；金安国纪集团股份有限公司2025年年度报告</t>
        </is>
      </c>
      <c r="M20" s="9" t="inlineStr">
        <is>
          <t>http://file.finance.sina.com.cn/211.154.219.97:9494/MRGG/CNSESZ_STOCK/2026/2026-4/2026-04-29/12249105.PDF</t>
        </is>
      </c>
    </row>
    <row r="21" ht="104" customHeight="1">
      <c r="B21" s="4" t="inlineStr">
        <is>
          <t>002815</t>
        </is>
      </c>
      <c r="C21" s="4" t="inlineStr">
        <is>
          <t>崇达技术</t>
        </is>
      </c>
      <c r="D21" s="5" t="inlineStr">
        <is>
          <t>PCB：AI服务器相关</t>
        </is>
      </c>
      <c r="E21" s="4" t="inlineStr">
        <is>
          <t>纠错</t>
        </is>
      </c>
      <c r="F21" s="4" t="inlineStr">
        <is>
          <t>PCB</t>
        </is>
      </c>
      <c r="G21" s="5" t="inlineStr">
        <is>
          <t>PCB-高多层与服务器板、PCB-HDI与任意层互连、PCB-IC载板、PCB-FPC与刚挠结合</t>
        </is>
      </c>
      <c r="H21" s="4" t="inlineStr">
        <is>
          <t>核心</t>
        </is>
      </c>
      <c r="I21" s="5" t="inlineStr">
        <is>
          <t>公司产品覆盖高多层板、HDI、高频高速板、软硬结合板及IC封装基板，具备大容量服务器主板、高速背板和加速卡用HDI能力；子公司普诺威已量产MEMS、射频滤波器及SiP封装基板，IC载板有独立真实产品。2025年PCB收入67.1073亿元，占营业收入88.96%，其他业务8.3297亿元；高多层、HDI和IC载板等高端产品合计收入占比超过60%，但这是三类合计口径，不能分别套用，也不能把普通PCB与IC载板混为同一产品。基于PCB主业和规模化高端产品定级为核心。旧“AI服务器相关”过窄，应按实际板型纠正并分列IC载板和FPC，AI相关收入不得外推为全部PCB收入。</t>
        </is>
      </c>
      <c r="J21" s="4" t="inlineStr">
        <is>
          <t>崇达技术股份有限公司2025年年度报告</t>
        </is>
      </c>
      <c r="K21" s="4" t="inlineStr">
        <is>
          <t>2026-04-29</t>
        </is>
      </c>
      <c r="L21" s="5" t="inlineStr">
        <is>
          <t>iFinD ifind_get_stock_info + ifind_get_stock_business_segmentation (as of 2026-10-27)；崇达技术股份有限公司2025年年度报告</t>
        </is>
      </c>
      <c r="M21" s="6" t="inlineStr">
        <is>
          <t>http://static.cninfo.com.cn/finalpage/2026-04-29/1225231026.PDF</t>
        </is>
      </c>
    </row>
    <row r="22" ht="104" customHeight="1">
      <c r="B22" s="7" t="inlineStr">
        <is>
          <t>002859</t>
        </is>
      </c>
      <c r="C22" s="7" t="inlineStr">
        <is>
          <t>洁美科技</t>
        </is>
      </c>
      <c r="D22" s="8" t="inlineStr">
        <is>
          <t>PCB：MLCC</t>
        </is>
      </c>
      <c r="E22" s="7" t="inlineStr">
        <is>
          <t>摘除</t>
        </is>
      </c>
      <c r="F22" s="7" t="inlineStr">
        <is>
          <t>—</t>
        </is>
      </c>
      <c r="G22" s="8" t="inlineStr">
        <is>
          <t>—</t>
        </is>
      </c>
      <c r="H22" s="7" t="inlineStr">
        <is>
          <t>摘除</t>
        </is>
      </c>
      <c r="I22" s="8" t="inlineStr">
        <is>
          <t>公司真实产品为纸质载带、塑料载带、上下胶带及离型膜等电子封装和薄膜材料，主要服务MLCC等被动元件的包装、运输和制造过程；载带不是印制电路板，离型膜也不能仅因用于电子元件就归为PCB材料。2025年电子封装材料收入17.3910亿元，占约82.80%，膜材料2.5977亿元，占约12.37%，其他1.0155亿元，合计约21.0042亿元；这些收入口径均不能转换成PCB制造、覆铜板、电子布、设备或刀具收入。公司虽有电子材料主业，但现有正式资料不支持独立PCB业务，故定级为摘除。旧“PCB-MLCC”虽提到真实下游元件，却把元件封装耗材错接到PCB链条，本次删除该交叉标签，不处理其MLCC耗材等其他产业属性。</t>
        </is>
      </c>
      <c r="J22" s="7" t="inlineStr">
        <is>
          <t>洁美科技：2025年年度报告</t>
        </is>
      </c>
      <c r="K22" s="7" t="inlineStr">
        <is>
          <t>2026-04-21</t>
        </is>
      </c>
      <c r="L22" s="8" t="inlineStr">
        <is>
          <t>iFinD ifind_get_stock_info + ifind_get_stock_business_segmentation (as of 2026-10-27)；洁美科技：2025年年度报告</t>
        </is>
      </c>
      <c r="M22" s="9" t="inlineStr">
        <is>
          <t>https://money.finance.sina.com.cn/corp/view/vCB_AllBulletinDetail.php?stockid=002859&amp;id=12122734</t>
        </is>
      </c>
    </row>
    <row r="23" ht="104" customHeight="1">
      <c r="B23" s="4" t="inlineStr">
        <is>
          <t>002913</t>
        </is>
      </c>
      <c r="C23" s="4" t="inlineStr">
        <is>
          <t>奥士康</t>
        </is>
      </c>
      <c r="D23" s="5" t="inlineStr">
        <is>
          <t>PCB：PCB</t>
        </is>
      </c>
      <c r="E23" s="4" t="inlineStr">
        <is>
          <t>纠错</t>
        </is>
      </c>
      <c r="F23" s="4" t="inlineStr">
        <is>
          <t>PCB</t>
        </is>
      </c>
      <c r="G23" s="5" t="inlineStr">
        <is>
          <t>PCB-高多层与服务器板、PCB-通用刚性板、PCB-HDI与任意层互连</t>
        </is>
      </c>
      <c r="H23" s="4" t="inlineStr">
        <is>
          <t>核心</t>
        </is>
      </c>
      <c r="I23" s="5" t="inlineStr">
        <is>
          <t>公司专业制造高精密PCB，产品包括单双面板、四层及以上多层板和HDI，并有数据中心及服务器用高层数、高频高速板实际应用，具备规模化生产体系。2025年PCB收入50.5990亿元，占营业收入91.5057%；其中四层及以上板41.7793亿元、约占75.56%，单双面板8.8197亿元、约占15.95%，其他业务收入4.6970亿元不能并入PCB。四层以上产品还覆盖汽车、通信、消费和工控等用途，服务器产品也未在年报中单独拆分全年收入，因此不能将全部高多层板等同AI服务器板。整体PCB主业占绝对主导，定级为核心。旧“高精密PCB”方向正确，应细化为高多层与服务器板、通用刚性板和HDI，同时保留AI收入未拆分边界。</t>
        </is>
      </c>
      <c r="J23" s="4" t="inlineStr">
        <is>
          <t>奥士康科技股份有限公司2025年年度报告</t>
        </is>
      </c>
      <c r="K23" s="4" t="inlineStr">
        <is>
          <t>2026-04-29</t>
        </is>
      </c>
      <c r="L23" s="5" t="inlineStr">
        <is>
          <t>iFinD ifind_get_stock_info + ifind_get_stock_business_segmentation (as of 2026-10-27)；奥士康科技股份有限公司2025年年度报告</t>
        </is>
      </c>
      <c r="M23" s="6" t="inlineStr">
        <is>
          <t>https://static.cninfo.com.cn/finalpage/2026-04-29/1225229100.PDF</t>
        </is>
      </c>
    </row>
    <row r="24" ht="104" customHeight="1">
      <c r="B24" s="7" t="inlineStr">
        <is>
          <t>002916</t>
        </is>
      </c>
      <c r="C24" s="7" t="inlineStr">
        <is>
          <t>深南电路</t>
        </is>
      </c>
      <c r="D24" s="8" t="inlineStr">
        <is>
          <t>PCB：AI服务器相关</t>
        </is>
      </c>
      <c r="E24" s="7" t="inlineStr">
        <is>
          <t>纠错</t>
        </is>
      </c>
      <c r="F24" s="7" t="inlineStr">
        <is>
          <t>PCB</t>
        </is>
      </c>
      <c r="G24" s="8" t="inlineStr">
        <is>
          <t>PCB-高多层与服务器板、PCB-IC载板、PCB设计与SMT服务</t>
        </is>
      </c>
      <c r="H24" s="7" t="inlineStr">
        <is>
          <t>核心</t>
        </is>
      </c>
      <c r="I24" s="8" t="inlineStr">
        <is>
          <t>公司同时经营印制电路板、封装基板和电子装联，PCB包含数据中心、服务器及通信用高多层高速产品，封装基板属于IC载板，电子装联则提供PCBA和SMT相关制造服务，三项均为实际规模化业务。2025年PCB收入143.5927亿元、占60.72%，封装基板41.4779亿元、占17.54%，电子装联30.7496亿元，另有其他及其他业务收入，合计营业收入约236.4703亿元。三类产品必须分别核算，不能把普通PCB收入并入IC载板，也不能把电子装联当作裸板销售。PCB及直接相关服务占绝对主体，定级为核心。旧“AI服务器相关、ABF载板”混淆板型与用途，应改为高多层与服务器板、PCB-IC载板及PCB设计与SMT服务。</t>
        </is>
      </c>
      <c r="J24" s="7" t="inlineStr">
        <is>
          <t>深南电路：2025年年度报告</t>
        </is>
      </c>
      <c r="K24" s="7" t="inlineStr">
        <is>
          <t>2026-03-13</t>
        </is>
      </c>
      <c r="L24" s="8" t="inlineStr">
        <is>
          <t>iFinD ifind_get_stock_info + ifind_get_stock_business_segmentation (as of 2026-10-27)；深南电路：2025年年度报告</t>
        </is>
      </c>
      <c r="M24" s="9" t="inlineStr">
        <is>
          <t>https://money.finance.sina.com.cn/corp/view/vCB_AllBulletinDetail.php?stockid=002916&amp;id=11992852</t>
        </is>
      </c>
    </row>
    <row r="25" ht="104" customHeight="1">
      <c r="B25" s="4" t="inlineStr">
        <is>
          <t>002938</t>
        </is>
      </c>
      <c r="C25" s="4" t="inlineStr">
        <is>
          <t>鹏鼎控股</t>
        </is>
      </c>
      <c r="D25" s="5" t="inlineStr">
        <is>
          <t>PCB：AI服务器相关</t>
        </is>
      </c>
      <c r="E25" s="4" t="inlineStr">
        <is>
          <t>纠错</t>
        </is>
      </c>
      <c r="F25" s="4" t="inlineStr">
        <is>
          <t>PCB</t>
        </is>
      </c>
      <c r="G25" s="5" t="inlineStr">
        <is>
          <t>PCB-高多层与服务器板、PCB-HDI与任意层互连、PCB-FPC与刚挠结合</t>
        </is>
      </c>
      <c r="H25" s="4" t="inlineStr">
        <is>
          <t>核心</t>
        </is>
      </c>
      <c r="I25" s="5" t="inlineStr">
        <is>
          <t>公司研发、设计和制造各类印制电路板，真实产品包括FPC、刚挠结合板、HDI及高多层板，并覆盖通讯、消费电子、计算机、汽车和服务器等应用，属于全品类PCB规模制造商。2025年通讯用板收入254.3674亿元、占64.98%，消费电子及计算机用板112.8697亿元、占28.83%，汽车、服务器用板及其他用板21.1885亿元、占5.41%，印制电路板合计占99.2223%。通讯板包含大量手机等非服务器产品，最后一大类又混合汽车和其他用途，不能全部认作AI服务器收入。基于PCB绝对主业定级为核心。旧“AI服务器相关”不能概括公司产品结构，应改为高多层与服务器板、HDI及FPC与刚挠结合，并保留混合下游口径。</t>
        </is>
      </c>
      <c r="J25" s="4" t="inlineStr">
        <is>
          <t>鹏鼎控股：2025年年度报告</t>
        </is>
      </c>
      <c r="K25" s="4" t="inlineStr">
        <is>
          <t>2026-03-31</t>
        </is>
      </c>
      <c r="L25" s="5" t="inlineStr">
        <is>
          <t>iFinD ifind_get_stock_info + ifind_get_stock_business_segmentation (as of 2026-10-27)；鹏鼎控股：2025年年度报告</t>
        </is>
      </c>
      <c r="M25" s="6" t="inlineStr">
        <is>
          <t>http://money.finance.sina.com.cn/corp/view/vCB_AllBulletinDetail.php?stockid=002938&amp;id=12046827</t>
        </is>
      </c>
    </row>
    <row r="26" ht="104" customHeight="1">
      <c r="B26" s="7" t="inlineStr">
        <is>
          <t>300243</t>
        </is>
      </c>
      <c r="C26" s="7" t="inlineStr">
        <is>
          <t>瑞丰高材</t>
        </is>
      </c>
      <c r="D26" s="8" t="inlineStr">
        <is>
          <t>PCB：树脂增韧剂</t>
        </is>
      </c>
      <c r="E26" s="7" t="inlineStr">
        <is>
          <t>纠错</t>
        </is>
      </c>
      <c r="F26" s="7" t="inlineStr">
        <is>
          <t>PCB</t>
        </is>
      </c>
      <c r="G26" s="8" t="inlineStr">
        <is>
          <t>PCB材料-其他关键材料</t>
        </is>
      </c>
      <c r="H26" s="7" t="inlineStr">
        <is>
          <t>相关</t>
        </is>
      </c>
      <c r="I26" s="8" t="inlineStr">
        <is>
          <t>公司CSR核壳橡胶增韧剂已在中试线实现小批量出货，正式投资者关系记录明确其用于汽车、覆铜板、风电和封装等树脂体系的增韧改性，因此存在真实PCB材料应用，不能按纯PVC助剂或潜在概念直接摘除。2025年工程塑料助剂收入1.4703亿元，占营业收入约19.6896亿元的7.47%，ACR、MBS、MC等PVC助剂仍是主体；CSR未单列收入，公司明确当前出货数量及收入非常小，且下游混合，不能把工程塑料助剂全部算作PCB。CSR是树脂改性添加剂，并非环氧树脂或碳氢树脂本体，故归入其他关键材料并定级为相关。旧“树脂增韧剂”需按白名单纠正，同时不得宣传为已规模量产的M9材料。</t>
        </is>
      </c>
      <c r="J26" s="7" t="inlineStr">
        <is>
          <t>山东瑞丰高分子材料股份有限公司投资者关系活动记录表</t>
        </is>
      </c>
      <c r="K26" s="7" t="inlineStr">
        <is>
          <t>2026-05-07</t>
        </is>
      </c>
      <c r="L26" s="8" t="inlineStr">
        <is>
          <t>iFinD ifind_get_stock_info + ifind_get_stock_business_segmentation (as of 2026-10-27)；山东瑞丰高分子材料股份有限公司投资者关系活动记录表</t>
        </is>
      </c>
      <c r="M26" s="9" t="inlineStr">
        <is>
          <t>http://money.finance.sina.com.cn/corp/view/vCB_AllBulletinDetail.php?stockid=300243&amp;id=12299610</t>
        </is>
      </c>
    </row>
    <row r="27" ht="104" customHeight="1">
      <c r="B27" s="4" t="inlineStr">
        <is>
          <t>300283</t>
        </is>
      </c>
      <c r="C27" s="4" t="inlineStr">
        <is>
          <t>温州宏丰</t>
        </is>
      </c>
      <c r="D27" s="5" t="inlineStr">
        <is>
          <t>PCB：钻针</t>
        </is>
      </c>
      <c r="E27" s="4" t="inlineStr">
        <is>
          <t>纠错</t>
        </is>
      </c>
      <c r="F27" s="4" t="inlineStr">
        <is>
          <t>PCB</t>
        </is>
      </c>
      <c r="G27" s="5" t="inlineStr">
        <is>
          <t>PCB刀具-钻针与铣刀</t>
        </is>
      </c>
      <c r="H27" s="4" t="inlineStr">
        <is>
          <t>相关</t>
        </is>
      </c>
      <c r="I27" s="5" t="inlineStr">
        <is>
          <t>公司2025年报产品表明确列示硬质合金纳米晶微钻，适用于刃径0.25毫米以下PCB钻针及高硬切削用铣刀，并说明硬质合金微钻用于印刷电路板钻孔，因此具备直接PCB刀具证据，不能因铜箔为锂电用途或缺少客户名单而摘除。2025年硬质合金收入5.0880亿元，占营业收入36.5601亿元的约13.92%；该板块还包含棒材、旋转锉、枪钻、数控刀片和矿用工具，未单列PCB微钻收入，不能把全部硬质合金算作PCB。考虑真实直接产品但细分收入和规模无法拆分，定级为相关。旧“PCB钻针材料”表述不够准确，公司已有微钻产品，应纠正为PCB刀具-钻针与铣刀，同时排除锂电铜箔的误关联。</t>
        </is>
      </c>
      <c r="J27" s="4" t="inlineStr">
        <is>
          <t>温州宏丰电工合金股份有限公司2025年年度报告</t>
        </is>
      </c>
      <c r="K27" s="4" t="inlineStr">
        <is>
          <t>2026-03-31</t>
        </is>
      </c>
      <c r="L27" s="5" t="inlineStr">
        <is>
          <t>iFinD ifind_get_stock_info + ifind_get_stock_business_segmentation (as of 2026-10-27)；温州宏丰电工合金股份有限公司2025年年度报告</t>
        </is>
      </c>
      <c r="M27" s="6" t="inlineStr">
        <is>
          <t>http://static.cninfo.com.cn/finalpage/2026-03-31/1225051867.PDF</t>
        </is>
      </c>
    </row>
    <row r="28" ht="104" customHeight="1">
      <c r="B28" s="7" t="inlineStr">
        <is>
          <t>300285</t>
        </is>
      </c>
      <c r="C28" s="7" t="inlineStr">
        <is>
          <t>国瓷材料</t>
        </is>
      </c>
      <c r="D28" s="8" t="inlineStr">
        <is>
          <t>PCB：硅微粉、MLCC</t>
        </is>
      </c>
      <c r="E28" s="7" t="inlineStr">
        <is>
          <t>纠错</t>
        </is>
      </c>
      <c r="F28" s="7" t="inlineStr">
        <is>
          <t>PCB</t>
        </is>
      </c>
      <c r="G28" s="8" t="inlineStr">
        <is>
          <t>填料-硅微粉与功能粉体</t>
        </is>
      </c>
      <c r="H28" s="7" t="inlineStr">
        <is>
          <t>相关</t>
        </is>
      </c>
      <c r="I28" s="8" t="inlineStr">
        <is>
          <t>公司年报单列覆铜板用填充材料项目，实际产品包括低损耗球形氧化硅等，部分产品已通过客户验证并实现小批量销售，具备真实覆铜板应用，不是把MLCC粉体误当硅微粉。2025年公司营业收入45.8255亿元，其他材料板块收入10.8310亿元、约占23.64%，该板块还包括陶瓷墨水、纺织墨水和膜用填充材料，年报未单列覆铜板填料收入及占比；电子材料板块6.9345亿元主要对应MLCC介质粉体和浆料，也不能拿来证明PCB规模。基于直接产品已小批量销售但收入未拆分、占比有限，定级为相关。旧“硅微粉、MLCC”混合了两类材料，应只保留覆铜板用功能填料，并删除PCB项下MLCC错标。</t>
        </is>
      </c>
      <c r="J28" s="7" t="inlineStr">
        <is>
          <t>国瓷材料：2025年年度报告</t>
        </is>
      </c>
      <c r="K28" s="7" t="inlineStr">
        <is>
          <t>2026-04-21</t>
        </is>
      </c>
      <c r="L28" s="8" t="inlineStr">
        <is>
          <t>iFinD ifind_get_stock_info + ifind_get_stock_business_segmentation (as of 2026-10-27)；国瓷材料：2025年年度报告</t>
        </is>
      </c>
      <c r="M28" s="9" t="inlineStr">
        <is>
          <t>http://money.finance.sina.com.cn/corp/view/vCB_AllBulletinDetail.php?stockid=300285&amp;id=12120185</t>
        </is>
      </c>
    </row>
    <row r="29" ht="104" customHeight="1">
      <c r="B29" s="4" t="inlineStr">
        <is>
          <t>300395</t>
        </is>
      </c>
      <c r="C29" s="4" t="inlineStr">
        <is>
          <t>菲利华</t>
        </is>
      </c>
      <c r="D29" s="5" t="inlineStr">
        <is>
          <t>PCB：电子布</t>
        </is>
      </c>
      <c r="E29" s="4" t="inlineStr">
        <is>
          <t>纠错</t>
        </is>
      </c>
      <c r="F29" s="4" t="inlineStr">
        <is>
          <t>PCB</t>
        </is>
      </c>
      <c r="G29" s="5" t="inlineStr">
        <is>
          <t>电子布与玻纤材料</t>
        </is>
      </c>
      <c r="H29" s="4" t="inlineStr">
        <is>
          <t>相关</t>
        </is>
      </c>
      <c r="I29" s="5" t="inlineStr">
        <is>
          <t>公司真实生产石英玻璃纤维及石英电子布，石英布可作为高频高速覆铜板的低介电增强材料，具有直接PCB应用基础，不是把全部石英玻璃制品都潜在映射到PCB。2025年石英玻璃材料收入12.5846亿元，石英玻璃制品7.5239亿元，其他0.0550亿元，合计约20.1635亿元；两大分部同时服务航空航天、半导体、光通讯及其他领域，年报未单列石英电子布或覆铜板客户收入，不能把20.1085亿元主业收入全部视为电子布。考虑产品和应用真实、但PCB专用收入未拆分且混合用途广泛，定级为相关。旧“电子布”方向可保留并规范为电子布与玻纤材料，同时应纠正以石英材料总规模证明PCB重要收入的口径。</t>
        </is>
      </c>
      <c r="J29" s="4" t="inlineStr">
        <is>
          <t>湖北菲利华石英玻璃股份有限公司2025年年度报告</t>
        </is>
      </c>
      <c r="K29" s="4" t="inlineStr">
        <is>
          <t>2026-04-24</t>
        </is>
      </c>
      <c r="L29" s="5" t="inlineStr">
        <is>
          <t>iFinD ifind_get_stock_info + ifind_get_stock_business_segmentation (as of 2026-10-27)；湖北菲利华石英玻璃股份有限公司2025年年度报告</t>
        </is>
      </c>
      <c r="M29" s="6" t="inlineStr">
        <is>
          <t>https://static.cninfo.com.cn/finalpage/2026-04-24/1225161586.PDF</t>
        </is>
      </c>
    </row>
    <row r="30" ht="104" customHeight="1">
      <c r="B30" s="7" t="inlineStr">
        <is>
          <t>300408</t>
        </is>
      </c>
      <c r="C30" s="7" t="inlineStr">
        <is>
          <t>三环集团</t>
        </is>
      </c>
      <c r="D30" s="8" t="inlineStr">
        <is>
          <t>PCB：MLCC、SOFC、MPO/连接器</t>
        </is>
      </c>
      <c r="E30" s="7" t="inlineStr">
        <is>
          <t>摘除</t>
        </is>
      </c>
      <c r="F30" s="7" t="inlineStr">
        <is>
          <t>—</t>
        </is>
      </c>
      <c r="G30" s="8" t="inlineStr">
        <is>
          <t>—</t>
        </is>
      </c>
      <c r="H30" s="7" t="inlineStr">
        <is>
          <t>摘除</t>
        </is>
      </c>
      <c r="I30" s="8" t="inlineStr">
        <is>
          <t>公司真实产品包括MLCC、陶瓷插芯及配套件、MT插芯、陶瓷封装管壳和SOFC相关陶瓷部件，这些分别属于被动元件、光通信和燃料电池领域，本身均不是PCB制造、覆铜板材料、PCB设备或刀具。2025年营业收入90.0715亿元，电子元件收入33.0809亿元、通信器件25.9431亿元、电子及陶瓷材料19.5938亿元、设备组件6.0175亿元，均为混合产品口径，不能全部归为MLCC或MPO，更不存在可辨认的PCB收入。即使MLCC用于服务器、MT插芯用于数据中心，终端相同也不改变产业环节。按无独立PCB业务必须排除的规则定级为摘除。旧PCB项下MLCC、SOFC和MPO均为交叉错标，本次仅删除这些PCB标签，不处理其他产业分类。</t>
        </is>
      </c>
      <c r="J30" s="7" t="inlineStr">
        <is>
          <t>三环集团：2025年年度报告</t>
        </is>
      </c>
      <c r="K30" s="7" t="inlineStr">
        <is>
          <t>2026-03-28</t>
        </is>
      </c>
      <c r="L30" s="8" t="inlineStr">
        <is>
          <t>iFinD ifind_get_stock_info + ifind_get_stock_business_segmentation (as of 2026-10-27)；三环集团：2025年年度报告</t>
        </is>
      </c>
      <c r="M30" s="9" t="inlineStr">
        <is>
          <t>https://money.finance.sina.com.cn/corp/view/vCB_AllBulletinDetail.php?stockid=300408&amp;id=12028356</t>
        </is>
      </c>
    </row>
    <row r="31" ht="104" customHeight="1">
      <c r="B31" s="4" t="inlineStr">
        <is>
          <t>300410</t>
        </is>
      </c>
      <c r="C31" s="4" t="inlineStr">
        <is>
          <t>正业科技</t>
        </is>
      </c>
      <c r="D31" s="5" t="inlineStr">
        <is>
          <t>PCB：检测</t>
        </is>
      </c>
      <c r="E31" s="4" t="inlineStr">
        <is>
          <t>纠错</t>
        </is>
      </c>
      <c r="F31" s="4" t="inlineStr">
        <is>
          <t>PCB</t>
        </is>
      </c>
      <c r="G31" s="5" t="inlineStr">
        <is>
          <t>PCB设备-检测与测试</t>
        </is>
      </c>
      <c r="H31" s="4" t="inlineStr">
        <is>
          <t>核心</t>
        </is>
      </c>
      <c r="I31" s="5" t="inlineStr">
        <is>
          <t>公司在PCB行业长期提供线宽测量、铜厚和板厚测试、尺寸测量、板弯板翘检测、检孔、阻抗测试及实验仪器，并有字符喷印和层压自动化设备，属于直接PCB检测与测试装备，不是生产PCB裸板。2025年PCB检测自动化收入1.0195亿元，占营业收入8.6922亿元的11.73%，同比增长50.03%；高端新材料2.6405亿元、X光检测2.5576亿元、显示模组1.7911亿元等属于其他混合业务，不能并入PCB设备。该业务虽占比不算绝对多数，但为独立披露、规模过亿元且持续增长的核心产品线，定级为核心。旧“检测”过于宽泛，可能误含锂电X光检测，应明确纠正为PCB设备-检测与测试并保留收入边界。</t>
        </is>
      </c>
      <c r="J31" s="4" t="inlineStr">
        <is>
          <t>正业科技：2025年年度报告</t>
        </is>
      </c>
      <c r="K31" s="4" t="inlineStr">
        <is>
          <t>2026-04-15</t>
        </is>
      </c>
      <c r="L31" s="5" t="inlineStr">
        <is>
          <t>iFinD ifind_get_stock_info + ifind_get_stock_business_segmentation (as of 2026-10-27)；正业科技：2025年年度报告</t>
        </is>
      </c>
      <c r="M31" s="6" t="inlineStr">
        <is>
          <t>https://money.finance.sina.com.cn/corp/view/vCB_AllBulletinDetail.php?stockid=300410&amp;id=12086819</t>
        </is>
      </c>
    </row>
    <row r="32" ht="104" customHeight="1">
      <c r="B32" s="7" t="inlineStr">
        <is>
          <t>300476</t>
        </is>
      </c>
      <c r="C32" s="7" t="inlineStr">
        <is>
          <t>胜宏科技</t>
        </is>
      </c>
      <c r="D32" s="8" t="inlineStr">
        <is>
          <t>PCB：AI服务器相关</t>
        </is>
      </c>
      <c r="E32" s="7" t="inlineStr">
        <is>
          <t>纠错</t>
        </is>
      </c>
      <c r="F32" s="7" t="inlineStr">
        <is>
          <t>PCB</t>
        </is>
      </c>
      <c r="G32" s="8" t="inlineStr">
        <is>
          <t>PCB-高多层与服务器板、PCB-HDI与任意层互连、PCB-FPC与刚挠结合</t>
        </is>
      </c>
      <c r="H32" s="7" t="inlineStr">
        <is>
          <t>核心</t>
        </is>
      </c>
      <c r="I32" s="8" t="inlineStr">
        <is>
          <t>公司专业制造高密度印制线路板，产品覆盖以多层板和高阶HDI为核心的刚性板，以及单双面、多层和刚挠结合FPC；年报明确AI算力卡、数据中心UBB和交换机产品具有实际市场地位，并实现高阶HDI规模生产，算力证据充分。2025年PCB制造收入180.8369亿元，占营业收入93.7352%，其他业务12.0862亿元，不能纳入PCB；PCB内部还包括汽车、医疗、工控等非算力应用，年报未把180.8369亿元全部拆为AI收入，因此不得全部贴上AI服务器口径。基于PCB绝对主业和高端产品规模定级为核心。旧“AI服务器相关”只覆盖部分应用，应按真实板型纠正为高多层与服务器板、HDI及FPC与刚挠结合。</t>
        </is>
      </c>
      <c r="J32" s="7" t="inlineStr">
        <is>
          <t>胜宏科技：2025年年度报告</t>
        </is>
      </c>
      <c r="K32" s="7" t="inlineStr">
        <is>
          <t>2026-03-13</t>
        </is>
      </c>
      <c r="L32" s="8" t="inlineStr">
        <is>
          <t>iFinD ifind_get_stock_info + ifind_get_stock_business_segmentation (as of 2026-10-27)；胜宏科技：2025年年度报告</t>
        </is>
      </c>
      <c r="M32" s="9" t="inlineStr">
        <is>
          <t>https://vip.stock.finance.sina.com.cn/corp/view/vCB_AllBulletinDetail.php?CompanyCode=80323384&amp;gather=1&amp;id=11993270</t>
        </is>
      </c>
    </row>
    <row r="33" ht="104" customHeight="1">
      <c r="B33" s="4" t="inlineStr">
        <is>
          <t>300522</t>
        </is>
      </c>
      <c r="C33" s="4" t="inlineStr">
        <is>
          <t>世名科技</t>
        </is>
      </c>
      <c r="D33" s="5" t="inlineStr">
        <is>
          <t>PCB：碳氢树脂M9</t>
        </is>
      </c>
      <c r="E33" s="4" t="inlineStr">
        <is>
          <t>纠错</t>
        </is>
      </c>
      <c r="F33" s="4" t="inlineStr">
        <is>
          <t>PCB</t>
        </is>
      </c>
      <c r="G33" s="5" t="inlineStr">
        <is>
          <t>树脂-环氧与碳氢</t>
        </is>
      </c>
      <c r="H33" s="4" t="inlineStr">
        <is>
          <t>相关</t>
        </is>
      </c>
      <c r="I33" s="5" t="inlineStr">
        <is>
          <t>公司电子级碳氢树脂已形成小批量供货，正式公告明确主要应用于M6至M8级高速覆铜板，具有真实PCB材料收入；但针对M9或更高等级产品仍处研发储备，尚未落地量产，旧标签必须纠正。2025年公司合并营业收入7.18482亿元，电子级碳氢树脂收入325.97万元、约占0.45%，出货仅7.3吨，设计产能利用率3.3%；着色剂5.7158亿元、特种添加剂1.0904亿元等仍是主要混合业务，树脂类宽口径也不能全部视为电子级碳氢树脂。基于真实销售但占比极低、仍处市场开拓期，定级为相关。旧“碳氢树脂M9”把研发能力误写成量产产品，应改为不加M9限定的树脂-环氧与碳氢，并保留低占比边界。</t>
        </is>
      </c>
      <c r="J33" s="4" t="inlineStr">
        <is>
          <t>世名科技：股票交易严重异常波动公告</t>
        </is>
      </c>
      <c r="K33" s="4" t="inlineStr">
        <is>
          <t>2026-06-25</t>
        </is>
      </c>
      <c r="L33" s="5" t="inlineStr">
        <is>
          <t>iFinD ifind_get_stock_info + ifind_get_stock_business_segmentation (as of 2026-10-27)；世名科技：股票交易严重异常波动公告</t>
        </is>
      </c>
      <c r="M33" s="6" t="inlineStr">
        <is>
          <t>https://money.finance.sina.com.cn/corp/view/vCB_AllBulletinDetail.php?stockid=300522&amp;id=12410088</t>
        </is>
      </c>
    </row>
    <row r="34" ht="104" customHeight="1">
      <c r="B34" s="7" t="inlineStr">
        <is>
          <t>300586</t>
        </is>
      </c>
      <c r="C34" s="7" t="inlineStr">
        <is>
          <t>美联新材</t>
        </is>
      </c>
      <c r="D34" s="8" t="inlineStr">
        <is>
          <t>PCB：苊烯树脂</t>
        </is>
      </c>
      <c r="E34" s="7" t="inlineStr">
        <is>
          <t>纠错</t>
        </is>
      </c>
      <c r="F34" s="7" t="inlineStr">
        <is>
          <t>PCB</t>
        </is>
      </c>
      <c r="G34" s="8" t="inlineStr">
        <is>
          <t>树脂-苊烯与特种</t>
        </is>
      </c>
      <c r="H34" s="7" t="inlineStr">
        <is>
          <t>相关</t>
        </is>
      </c>
      <c r="I34" s="8" t="inlineStr">
        <is>
          <t>公司控股孙公司辉虹科技实际生产EX电子材料，即苊烯类高频高速特种树脂，年报明确其用于高端覆铜板电绝缘层并可服务M8、M9级产品，已有200吨年产能及销售记录，不能按无实际业务的色母粒延伸概念摘除。2025年公司营业收入16.6374亿元，辉虹科技收入0.8306亿元、约占4.99%，但该主体收入主要来自染料、颜料及中间体，年报未单列EX全年收入，故不能将辉虹科技全部收入认作PCB；2025年上半年EX收入911.62万元仅作早期规模旁证。基于真实产品和产能、收入未完整拆分且占比较低，定级为相关。旧“苊烯树脂”方向正确，应规范为树脂-苊烯与特种，并纠正把公司整体精细化工收入混入PCB的口径。</t>
        </is>
      </c>
      <c r="J34" s="7" t="inlineStr">
        <is>
          <t>广东美联新材料股份有限公司2025年年度报告</t>
        </is>
      </c>
      <c r="K34" s="7" t="inlineStr">
        <is>
          <t>2026-03-31</t>
        </is>
      </c>
      <c r="L34" s="8" t="inlineStr">
        <is>
          <t>iFinD ifind_get_stock_info + ifind_get_stock_business_segmentation (as of 2026-10-27)；广东美联新材料股份有限公司2025年年度报告</t>
        </is>
      </c>
      <c r="M34" s="9" t="inlineStr">
        <is>
          <t>http://static.cninfo.com.cn/finalpage/2026-03-31/1225059308.PDF</t>
        </is>
      </c>
    </row>
    <row r="35" ht="104" customHeight="1">
      <c r="B35" s="4" t="inlineStr">
        <is>
          <t>300724</t>
        </is>
      </c>
      <c r="C35" s="4" t="inlineStr">
        <is>
          <t>捷佳伟创</t>
        </is>
      </c>
      <c r="D35" s="5" t="inlineStr">
        <is>
          <t>PCB：电镀</t>
        </is>
      </c>
      <c r="E35" s="4" t="inlineStr">
        <is>
          <t>纠错</t>
        </is>
      </c>
      <c r="F35" s="4" t="inlineStr">
        <is>
          <t>PCB</t>
        </is>
      </c>
      <c r="G35" s="5" t="inlineStr">
        <is>
          <t>PCB设备-电镀</t>
        </is>
      </c>
      <c r="H35" s="4" t="inlineStr">
        <is>
          <t>相关</t>
        </is>
      </c>
      <c r="I35" s="5" t="inlineStr">
        <is>
          <t>公司2025年的真实主业仍是太阳能电池生产设备，收入154.7167亿元、占营业收入100%，其中工艺设备126.6299亿元、自动化设备20.8071亿元，不能把这些光伏湿法、镀膜或自动化设备收入推定为PCB电镀收入。年报同时明确披露自主研发的全自动移载式填孔电镀设备用于PCB及IC载制程，首条设备于2026年3月出货，正式互动亦确认可生产多类型PCB，因而并非仅凭光伏设备作概念联想。不过该业务刚进入客户交付阶段，2025年没有单列PCB收入，也未形成可验证的规模占比，故定为相关而非核心；旧“电镀”保留产业方向但纠正收入归属和成熟阶段。</t>
        </is>
      </c>
      <c r="J35" s="4" t="inlineStr">
        <is>
          <t>捷佳伟创：2025年年度报告</t>
        </is>
      </c>
      <c r="K35" s="4" t="inlineStr">
        <is>
          <t>2026-04-27</t>
        </is>
      </c>
      <c r="L35" s="5" t="inlineStr">
        <is>
          <t>iFinD ifind_get_stock_info + ifind_get_stock_business_segmentation (as of 2026-10-27)；捷佳伟创：2025年年度报告</t>
        </is>
      </c>
      <c r="M35" s="6" t="inlineStr">
        <is>
          <t>https://pdf.dfcfw.com/pdf/H2_AN202604261821591929_1.pdf</t>
        </is>
      </c>
    </row>
    <row r="36" ht="104" customHeight="1">
      <c r="B36" s="7" t="inlineStr">
        <is>
          <t>300758</t>
        </is>
      </c>
      <c r="C36" s="7" t="inlineStr">
        <is>
          <t>七彩化学</t>
        </is>
      </c>
      <c r="D36" s="8" t="inlineStr">
        <is>
          <t>PCB：苊烯树脂</t>
        </is>
      </c>
      <c r="E36" s="7" t="inlineStr">
        <is>
          <t>纠错</t>
        </is>
      </c>
      <c r="F36" s="7" t="inlineStr">
        <is>
          <t>PCB</t>
        </is>
      </c>
      <c r="G36" s="8" t="inlineStr">
        <is>
          <t>PCB股权与产业投资</t>
        </is>
      </c>
      <c r="H36" s="7" t="inlineStr">
        <is>
          <t>相关</t>
        </is>
      </c>
      <c r="I36" s="8" t="inlineStr">
        <is>
          <t>公司自身2025年主营为高性能有机颜料、染料和材料单体，染颜料收入12.3772亿元、约占营业收入82.78%，中间体及材料单体收入2.3998亿元、约占16.05%，均不能直接列为苊烯树脂或PCB收入。年报显示公司以权益法持有辽宁美彩新材料有限公司31.50%股权，正式互动确认参股企业辉虹科技的EX电子材料可用于M9级高端覆铜板，真实关系是参股产业链而非上市公司自身已有规模化苊烯主营。公司没有单列PCB营业收入，亦不能把全部精细化工收入混入该概念，因此定为相关；旧“苊烯树脂”容易被理解为自产产品，现纠正为PCB股权与产业投资，并明确产品、收入和经营主体边界。</t>
        </is>
      </c>
      <c r="J36" s="7" t="inlineStr">
        <is>
          <t>七彩化学关于参股企业辉虹科技EX电子材料应用的互动易回复</t>
        </is>
      </c>
      <c r="K36" s="7" t="inlineStr">
        <is>
          <t>2026-01-22</t>
        </is>
      </c>
      <c r="L36" s="8" t="inlineStr">
        <is>
          <t>iFinD ifind_get_stock_info + ifind_get_stock_business_segmentation (as of 2026-10-27)；七彩化学关于参股企业辉虹科技EX电子材料应用的互动易回复</t>
        </is>
      </c>
      <c r="M36" s="9" t="inlineStr">
        <is>
          <t>https://ir.p5w.net/question/00018E0DB9C9817B4E85B0F479C80E31738A.shtml</t>
        </is>
      </c>
    </row>
    <row r="37" ht="104" customHeight="1">
      <c r="B37" s="4" t="inlineStr">
        <is>
          <t>300814</t>
        </is>
      </c>
      <c r="C37" s="4" t="inlineStr">
        <is>
          <t>中富电路</t>
        </is>
      </c>
      <c r="D37" s="5" t="inlineStr">
        <is>
          <t>PCB：AI服务器相关</t>
        </is>
      </c>
      <c r="E37" s="4" t="inlineStr">
        <is>
          <t>纠错</t>
        </is>
      </c>
      <c r="F37" s="4" t="inlineStr">
        <is>
          <t>PCB</t>
        </is>
      </c>
      <c r="G37" s="5" t="inlineStr">
        <is>
          <t>PCB-高多层与服务器板、PCB-HDI与任意层互连</t>
        </is>
      </c>
      <c r="H37" s="4" t="inlineStr">
        <is>
          <t>核心</t>
        </is>
      </c>
      <c r="I37" s="5" t="inlineStr">
        <is>
          <t>公司真实产品是单双面板、多层板、封装基板、高频高速板、刚挠结合板和高阶HDI板，直接从事PCB研发、生产和销售，并非仅由下游服务器需求作概念外推。2025年印制电路板收入16.7795亿元、占营业收入89.2939%，其他业务2.0118亿元、占10.7061%，后者不得并入PCB产品收入；通信及数据中心应用收入7.5764亿元、占主营业务收入约45.15%，同比增长约76.95%，主要受数据中心电源和天线板需求带动，证明服务器相关应用已有实际收入而非纯研发题材。PCB主业占比和数据中心业务规模均支持核心定级；旧“AI服务器相关”纠正为更准确的高多层与服务器板，并补充已有真实产品的高阶HDI标签。</t>
        </is>
      </c>
      <c r="J37" s="4" t="inlineStr">
        <is>
          <t>中富电路：2025年年度报告</t>
        </is>
      </c>
      <c r="K37" s="4" t="inlineStr">
        <is>
          <t>2026-04-29</t>
        </is>
      </c>
      <c r="L37" s="5" t="inlineStr">
        <is>
          <t>iFinD ifind_get_stock_info + ifind_get_stock_business_segmentation (as of 2026-10-27)；中富电路：2025年年度报告</t>
        </is>
      </c>
      <c r="M37" s="6" t="inlineStr">
        <is>
          <t>https://pdf.dfcfw.com/pdf/H2_AN202604281821705314_1.pdf</t>
        </is>
      </c>
    </row>
    <row r="38" ht="104" customHeight="1">
      <c r="B38" s="7" t="inlineStr">
        <is>
          <t>300903</t>
        </is>
      </c>
      <c r="C38" s="7" t="inlineStr">
        <is>
          <t>科翔股份</t>
        </is>
      </c>
      <c r="D38" s="8" t="inlineStr">
        <is>
          <t>PCB：AI服务器相关</t>
        </is>
      </c>
      <c r="E38" s="7" t="inlineStr">
        <is>
          <t>纠错</t>
        </is>
      </c>
      <c r="F38" s="7" t="inlineStr">
        <is>
          <t>PCB</t>
        </is>
      </c>
      <c r="G38" s="8" t="inlineStr">
        <is>
          <t>PCB-高多层与服务器板、PCB-HDI与任意层互连</t>
        </is>
      </c>
      <c r="H38" s="7" t="inlineStr">
        <is>
          <t>核心</t>
        </is>
      </c>
      <c r="I38" s="8" t="inlineStr">
        <is>
          <t>公司直接研发、生产和销售高密度印制电路板，真实产品包括高多层板、HDI、厚铜板、高频高速板、金属基板及软硬结合板，PCB产品属性和高多层、高密度技术路线均有年报支撑。2025年PCB制造收入33.7952亿元、占营业收入90.8367%，其他业务收入3.3791亿元、占9.0824%，正极材料收入0.0301亿元、占0.0808%，两项非PCB口径不得混入；年报披露AI服务器PCB研发，但服务器专用产品未单列收入，因此不能把全部PCB制造收入都表述为AI服务器收入。核心结论来自PCB绝对主营和规模化产品，而非对单一终端的想象；旧笼统“AI服务器相关”现细化为高多层与服务器板及HDI两类真实产品标签。</t>
        </is>
      </c>
      <c r="J38" s="7" t="inlineStr">
        <is>
          <t>科翔股份：2025年年度报告</t>
        </is>
      </c>
      <c r="K38" s="7" t="inlineStr">
        <is>
          <t>2026-04-25</t>
        </is>
      </c>
      <c r="L38" s="8" t="inlineStr">
        <is>
          <t>iFinD ifind_get_stock_info + ifind_get_stock_business_segmentation (as of 2026-10-27)；科翔股份：2025年年度报告</t>
        </is>
      </c>
      <c r="M38" s="9" t="inlineStr">
        <is>
          <t>https://pdf.dfcfw.com/pdf/H2_AN202604241821559658_1.pdf</t>
        </is>
      </c>
    </row>
    <row r="39" ht="104" customHeight="1">
      <c r="B39" s="4" t="inlineStr">
        <is>
          <t>301013</t>
        </is>
      </c>
      <c r="C39" s="4" t="inlineStr">
        <is>
          <t>利和兴</t>
        </is>
      </c>
      <c r="D39" s="5" t="inlineStr">
        <is>
          <t>PCB：MLCC</t>
        </is>
      </c>
      <c r="E39" s="4" t="inlineStr">
        <is>
          <t>摘除</t>
        </is>
      </c>
      <c r="F39" s="4" t="inlineStr">
        <is>
          <t>—</t>
        </is>
      </c>
      <c r="G39" s="5" t="inlineStr">
        <is>
          <t>—</t>
        </is>
      </c>
      <c r="H39" s="4" t="inlineStr">
        <is>
          <t>摘除</t>
        </is>
      </c>
      <c r="I39" s="5" t="inlineStr">
        <is>
          <t>公司2025年真实业务为移动智能终端等自动化测试、组装设备以及MLCC电子元器件，专用设备制造业收入3.0935亿元、占65.8114%，电子元器件制造业收入1.6071亿元、占34.1886%。年报所列MLCC包括高频高容、高强度、射频微波高Q等电容器，应用于通信、消费电子、汽车及工业电源；MLCC是贴装到电路板上的元器件，不是PCB裸板、覆铜板、PCB材料或PCB专用设备，产品用于PCB布局或承受PCB弯曲也不改变其产业分类。公司没有披露独立PCB制造或PCB专用设备收入，智能制造设备收入也不能因涉及PCBA组装工序就全部归入PCB。旧“MLCC”标签属于跨概念误映射，故本次摘除PCB标签，其他超节点或服务器分类不在本次处理范围。</t>
        </is>
      </c>
      <c r="J39" s="4" t="inlineStr">
        <is>
          <t>利和兴：2025年年度报告</t>
        </is>
      </c>
      <c r="K39" s="4" t="inlineStr">
        <is>
          <t>2026-04-27</t>
        </is>
      </c>
      <c r="L39" s="5" t="inlineStr">
        <is>
          <t>iFinD ifind_get_stock_info + ifind_get_stock_business_segmentation (as of 2026-10-27)；利和兴：2025年年度报告</t>
        </is>
      </c>
      <c r="M39" s="6" t="inlineStr">
        <is>
          <t>https://pdf.dfcfw.com/pdf/H2_AN202604261821591854_1.pdf</t>
        </is>
      </c>
    </row>
    <row r="40" ht="104" customHeight="1">
      <c r="B40" s="7" t="inlineStr">
        <is>
          <t>301021</t>
        </is>
      </c>
      <c r="C40" s="7" t="inlineStr">
        <is>
          <t>英诺激光</t>
        </is>
      </c>
      <c r="D40" s="8" t="inlineStr">
        <is>
          <t>PCB：钻孔</t>
        </is>
      </c>
      <c r="E40" s="7" t="inlineStr">
        <is>
          <t>保留</t>
        </is>
      </c>
      <c r="F40" s="7" t="inlineStr">
        <is>
          <t>PCB</t>
        </is>
      </c>
      <c r="G40" s="8" t="inlineStr">
        <is>
          <t>PCB设备-钻孔与激光加工</t>
        </is>
      </c>
      <c r="H40" s="7" t="inlineStr">
        <is>
          <t>相关</t>
        </is>
      </c>
      <c r="I40" s="8" t="inlineStr">
        <is>
          <t>公司主营微加工激光器和定制激光模组，真实PCB相关产品包括FPC激光高速钻孔设备、超快激光钻孔设备及PCB加工激光模组，属于直接的激光钻孔与加工链条，不是仅凭激光器具有理论用途加标。2025年激光器收入2.8942亿元、定制激光模组1.6159亿元，营业收入合计5.1331亿元；其中年报明确PCB加工激光模组收入4934万元，按营业收入计算约占9.61%，其余激光器和模组还面向半导体、医疗、消费电子等多种用途，不能全部算作PCB收入。PCB业务已有实际销售但占比不足一成且产品仍在拓展，故维持相关而非核心；旧“钻孔”统一为白名单的钻孔与激光加工概念。</t>
        </is>
      </c>
      <c r="J40" s="7" t="inlineStr">
        <is>
          <t>英诺激光：2025年年度报告</t>
        </is>
      </c>
      <c r="K40" s="7" t="inlineStr">
        <is>
          <t>2026-04-25</t>
        </is>
      </c>
      <c r="L40" s="8" t="inlineStr">
        <is>
          <t>iFinD ifind_get_stock_info + ifind_get_stock_business_segmentation (as of 2026-10-27)；英诺激光：2025年年度报告</t>
        </is>
      </c>
      <c r="M40" s="9" t="inlineStr">
        <is>
          <t>https://pdf.dfcfw.com/pdf/H2_AN202604241821560685_1.pdf</t>
        </is>
      </c>
    </row>
    <row r="41" ht="104" customHeight="1">
      <c r="B41" s="4" t="inlineStr">
        <is>
          <t>301132</t>
        </is>
      </c>
      <c r="C41" s="4" t="inlineStr">
        <is>
          <t>满坤科技</t>
        </is>
      </c>
      <c r="D41" s="5" t="inlineStr">
        <is>
          <t>PCB：AI服务器相关</t>
        </is>
      </c>
      <c r="E41" s="4" t="inlineStr">
        <is>
          <t>纠错</t>
        </is>
      </c>
      <c r="F41" s="4" t="inlineStr">
        <is>
          <t>PCB</t>
        </is>
      </c>
      <c r="G41" s="5" t="inlineStr">
        <is>
          <t>PCB-通用刚性板</t>
        </is>
      </c>
      <c r="H41" s="4" t="inlineStr">
        <is>
          <t>核心</t>
        </is>
      </c>
      <c r="I41" s="5" t="inlineStr">
        <is>
          <t>公司真实主营为印制电路板研发、生产和销售，产品以单双面板和多层刚性板为主。2025年PCB产品收入14.7052亿元、约占总营收16.4715亿元的89.28%，其他业务1.7664亿元不能混入PCB产品收入，核心定级由PCB主业支撑。年报除披露AI服务器领域的布局、接触、试样、试产和联合研发外，还明确中高端服务器电源产品订单增长并已规模化批量出货，说明该类电源PCB已形成实际交付；但公司未单列AI服务器板收入，服务器电源PCB也不能等同全部AI服务器板。因此维持核心和通用刚性板标签，既不把研发机会当成收入，也不遗漏服务器电源产品的量产事实。</t>
        </is>
      </c>
      <c r="J41" s="4" t="inlineStr">
        <is>
          <t>吉安满坤科技股份有限公司2025年年度报告</t>
        </is>
      </c>
      <c r="K41" s="4" t="inlineStr">
        <is>
          <t>2026-04-28</t>
        </is>
      </c>
      <c r="L41" s="5" t="inlineStr">
        <is>
          <t>iFinD ifind_get_stock_info + ifind_get_stock_business_segmentation (as of 2026-10-27)；吉安满坤科技股份有限公司2025年年度报告</t>
        </is>
      </c>
      <c r="M41" s="6" t="inlineStr">
        <is>
          <t>https://pdf.dfcfw.com/pdf/H2_AN202604281821694054_1.pdf</t>
        </is>
      </c>
    </row>
    <row r="42" ht="104" customHeight="1">
      <c r="B42" s="7" t="inlineStr">
        <is>
          <t>301176</t>
        </is>
      </c>
      <c r="C42" s="7" t="inlineStr">
        <is>
          <t>逸豪新材</t>
        </is>
      </c>
      <c r="D42" s="8" t="inlineStr">
        <is>
          <t>PCB：HVLP</t>
        </is>
      </c>
      <c r="E42" s="7" t="inlineStr">
        <is>
          <t>纠错</t>
        </is>
      </c>
      <c r="F42" s="7" t="inlineStr">
        <is>
          <t>PCB</t>
        </is>
      </c>
      <c r="G42" s="8" t="inlineStr">
        <is>
          <t>铜箔-通用PCB、PCB-通用刚性板、覆铜板与粘结片</t>
        </is>
      </c>
      <c r="H42" s="7" t="inlineStr">
        <is>
          <t>核心</t>
        </is>
      </c>
      <c r="I42" s="8" t="inlineStr">
        <is>
          <t>公司形成电子电路铜箔、铝基覆铜板和印制电路板的垂直产品链，2025年电子电路铜箔收入12.3161亿元、约占营业收入71.61%，PCB收入4.3620亿元、约占25.36%，两项均为真实规模化收入，其他业务0.5218亿元不应计入。年报明确HVLP铜箔仍处于研发、送样和客户认证阶段，没有单列HVLP销售收入，因此旧“HVLP”不能代表当前主要收入，应纠正为已规模销售的通用PCB铜箔，并补充真实PCB及覆铜板产品。公司电子电路铜箔已覆盖多家覆铜板和PCB客户，产业链收入合计占绝对多数，核心定级有充分依据；同时不将尚处认证的高端产品与现有标准铜箔收入混为一谈。</t>
        </is>
      </c>
      <c r="J42" s="7" t="inlineStr">
        <is>
          <t>逸豪新材：2025年年度报告</t>
        </is>
      </c>
      <c r="K42" s="7" t="inlineStr">
        <is>
          <t>2026-04-24</t>
        </is>
      </c>
      <c r="L42" s="8" t="inlineStr">
        <is>
          <t>iFinD ifind_get_stock_info + ifind_get_stock_business_segmentation (as of 2026-10-27)；逸豪新材：2025年年度报告</t>
        </is>
      </c>
      <c r="M42" s="9" t="inlineStr">
        <is>
          <t>https://pdf.dfcfw.com/pdf/H2_AN202604231821515504_1.pdf</t>
        </is>
      </c>
    </row>
    <row r="43" ht="104" customHeight="1">
      <c r="B43" s="4" t="inlineStr">
        <is>
          <t>301200</t>
        </is>
      </c>
      <c r="C43" s="4" t="inlineStr">
        <is>
          <t>大族数控</t>
        </is>
      </c>
      <c r="D43" s="5" t="inlineStr">
        <is>
          <t>PCB：钻孔</t>
        </is>
      </c>
      <c r="E43" s="4" t="inlineStr">
        <is>
          <t>纠错</t>
        </is>
      </c>
      <c r="F43" s="4" t="inlineStr">
        <is>
          <t>PCB</t>
        </is>
      </c>
      <c r="G43" s="5" t="inlineStr">
        <is>
          <t>PCB设备-钻孔与激光加工、PCB设备-检测与测试、PCB设备-曝光与成像</t>
        </is>
      </c>
      <c r="H43" s="4" t="inlineStr">
        <is>
          <t>核心</t>
        </is>
      </c>
      <c r="I43" s="5" t="inlineStr">
        <is>
          <t>公司主营就是PCB专用设备，真实产品覆盖机械钻孔机、CO2及超快激光钻孔设备、曝光设备、成型设备和电性能测试设备，并非一般工业激光或通用机床的潜在外推。2025年专用设备收入57.7294亿元，年报行业口径PCB占100%；其中钻孔类设备41.6735亿元、约占营业收入72.19%，检测类5.3352亿元、约占9.24%，曝光类3.2218亿元、约占5.58%，成型类2.7019亿元、其他业务3.4291亿元，各口径应分别看待而不能全归为钻孔。收入规模和完整产品矩阵均支持核心定级；旧“钻孔”只覆盖最大产品线，现纠正并补充已有独立收入的检测测试和曝光成像设备标签。</t>
        </is>
      </c>
      <c r="J43" s="4" t="inlineStr">
        <is>
          <t>大族数控：2025年年度报告</t>
        </is>
      </c>
      <c r="K43" s="4" t="inlineStr">
        <is>
          <t>2026-03-31</t>
        </is>
      </c>
      <c r="L43" s="5" t="inlineStr">
        <is>
          <t>iFinD ifind_get_stock_info + ifind_get_stock_business_segmentation (as of 2026-10-27)；大族数控：2025年年度报告</t>
        </is>
      </c>
      <c r="M43" s="6" t="inlineStr">
        <is>
          <t>https://pdf.dfcfw.com/pdf/H2_AN202603301820871045_1.pdf</t>
        </is>
      </c>
    </row>
    <row r="44" ht="104" customHeight="1">
      <c r="B44" s="7" t="inlineStr">
        <is>
          <t>301217</t>
        </is>
      </c>
      <c r="C44" s="7" t="inlineStr">
        <is>
          <t>铜冠铜箔</t>
        </is>
      </c>
      <c r="D44" s="8" t="inlineStr">
        <is>
          <t>PCB：HVLP</t>
        </is>
      </c>
      <c r="E44" s="7" t="inlineStr">
        <is>
          <t>纠错</t>
        </is>
      </c>
      <c r="F44" s="7" t="inlineStr">
        <is>
          <t>PCB</t>
        </is>
      </c>
      <c r="G44" s="8" t="inlineStr">
        <is>
          <t>铜箔-HVLP与高频高速、铜箔-通用PCB</t>
        </is>
      </c>
      <c r="H44" s="7" t="inlineStr">
        <is>
          <t>核心</t>
        </is>
      </c>
      <c r="I44" s="8" t="inlineStr">
        <is>
          <t>公司真实产品同时包括PCB铜箔和锂电池铜箔，PCB方向已有HTE、RTF及HVLP等电子电路铜箔产品，高频高速低轮廓铜箔不是由锂电铜箔用途推导而来。2025年PCB铜箔收入37.0375亿元、约占营业收入55.36%，锂电池铜箔26.2153亿元、约占39.19%，铜扁线等3.0742亿元、其他业务0.5652亿元，必须严格分开，不能把制造业66.8921亿元全部算作PCB收入。PCB铜箔已经过半且绝对规模较大，因此由旧“相关”上调为核心；旧“HVLP”保留为高端产品线，同时补充通用PCB铜箔以覆盖实际收入主体，但未披露HVLP单独收入，故不把37.0375亿元全部解释为HVLP收入。</t>
        </is>
      </c>
      <c r="J44" s="7" t="inlineStr">
        <is>
          <t>铜冠铜箔：2025年年度报告</t>
        </is>
      </c>
      <c r="K44" s="7" t="inlineStr">
        <is>
          <t>2026-04-18</t>
        </is>
      </c>
      <c r="L44" s="8" t="inlineStr">
        <is>
          <t>iFinD ifind_get_stock_info + ifind_get_stock_business_segmentation (as of 2026-10-27)；铜冠铜箔：2025年年度报告</t>
        </is>
      </c>
      <c r="M44" s="9" t="inlineStr">
        <is>
          <t>https://pdf.dfcfw.com/pdf/H2_AN202604171821300925_1.pdf</t>
        </is>
      </c>
    </row>
    <row r="45" ht="104" customHeight="1">
      <c r="B45" s="4" t="inlineStr">
        <is>
          <t>301251</t>
        </is>
      </c>
      <c r="C45" s="4" t="inlineStr">
        <is>
          <t>威尔高</t>
        </is>
      </c>
      <c r="D45" s="5" t="inlineStr">
        <is>
          <t>PCB：AI服务器相关</t>
        </is>
      </c>
      <c r="E45" s="4" t="inlineStr">
        <is>
          <t>保留</t>
        </is>
      </c>
      <c r="F45" s="4" t="inlineStr">
        <is>
          <t>PCB</t>
        </is>
      </c>
      <c r="G45" s="5" t="inlineStr">
        <is>
          <t>PCB-高多层与服务器板</t>
        </is>
      </c>
      <c r="H45" s="4" t="inlineStr">
        <is>
          <t>核心</t>
        </is>
      </c>
      <c r="I45" s="5" t="inlineStr">
        <is>
          <t>公司直接从事印制电路板研发、生产和销售，真实优势产品包括高多层厚铜板、电源板、HDI及光模块板，AI服务器电源PCB已有订单和持续交付，不是单纯概念映射。2025年印制电路板收入13.4287亿元、占营业收入86.9564%，其他业务收入2.0143亿元、占13.0436%，不得计入PCB；年报进一步披露AI服务器AC-DC订单增长明显，占主营业务收入约42%，DC-DC高端电源模块已实现批量生产和持续交付，说明服务器电源产品已形成实际业务。PCB整体占比与AI电源细分规模均支持核心结论，维持核心及服务器板方向；旧“AI服务器相关”规范为高多层与服务器板，同时避免把其余汽车、工控和MiniLED产品收入全部归入AI服务器。</t>
        </is>
      </c>
      <c r="J45" s="4" t="inlineStr">
        <is>
          <t>威尔高：2025年年度报告</t>
        </is>
      </c>
      <c r="K45" s="4" t="inlineStr">
        <is>
          <t>2026-04-28</t>
        </is>
      </c>
      <c r="L45" s="5" t="inlineStr">
        <is>
          <t>iFinD ifind_get_stock_info + ifind_get_stock_business_segmentation (as of 2026-10-27)；威尔高：2025年年度报告</t>
        </is>
      </c>
      <c r="M45" s="6" t="inlineStr">
        <is>
          <t>https://pdf.dfcfw.com/pdf/H2_AN202604271821623877_1.pdf</t>
        </is>
      </c>
    </row>
    <row r="46" ht="104" customHeight="1">
      <c r="B46" s="7" t="inlineStr">
        <is>
          <t>301338</t>
        </is>
      </c>
      <c r="C46" s="7" t="inlineStr">
        <is>
          <t>凯格精机</t>
        </is>
      </c>
      <c r="D46" s="8" t="inlineStr">
        <is>
          <t>PCB：贴片</t>
        </is>
      </c>
      <c r="E46" s="7" t="inlineStr">
        <is>
          <t>保留</t>
        </is>
      </c>
      <c r="F46" s="7" t="inlineStr">
        <is>
          <t>PCB</t>
        </is>
      </c>
      <c r="G46" s="8" t="inlineStr">
        <is>
          <t>PCB设备-SMT与贴装</t>
        </is>
      </c>
      <c r="H46" s="7" t="inlineStr">
        <is>
          <t>核心</t>
        </is>
      </c>
      <c r="I46" s="8" t="inlineStr">
        <is>
          <t>公司真实核心产品为SMT产线锡膏印刷设备，并经营点胶、封装和柔性自动化设备。锡膏印刷设备将锡膏精准印刷至PCB焊盘，是PCBA表面贴装的首道核心工序，属于白名单明确的SMT与贴装设备，但应与PCB裸板制造设备区分。2025年锡膏印刷设备收入7.4186亿元、约占营业收入64.18%，封装设备1.4417亿元、点胶设备1.3989亿元、柔性自动化设备0.8812亿元、其他业务0.4179亿元，不能将专用设备11.5583亿元全部算作锡膏印刷或PCB收入。锡膏印刷已经形成主要收入来源和规模产品，故维持核心；旧“贴片”纠正表述为更准确的SMT与贴装，不暗示公司直接生产PCB裸板。</t>
        </is>
      </c>
      <c r="J46" s="7" t="inlineStr">
        <is>
          <t>凯格精机：2025年年度报告</t>
        </is>
      </c>
      <c r="K46" s="7" t="inlineStr">
        <is>
          <t>2026-04-28</t>
        </is>
      </c>
      <c r="L46" s="8" t="inlineStr">
        <is>
          <t>iFinD ifind_get_stock_info + ifind_get_stock_business_segmentation (as of 2026-10-27)；凯格精机：2025年年度报告</t>
        </is>
      </c>
      <c r="M46" s="9" t="inlineStr">
        <is>
          <t>https://pdf.dfcfw.com/pdf/H2_AN202604271821622387_1.pdf</t>
        </is>
      </c>
    </row>
    <row r="47" ht="104" customHeight="1">
      <c r="B47" s="4" t="inlineStr">
        <is>
          <t>301366</t>
        </is>
      </c>
      <c r="C47" s="4" t="inlineStr">
        <is>
          <t>一博科技</t>
        </is>
      </c>
      <c r="D47" s="5" t="inlineStr">
        <is>
          <t>PCB：PCB</t>
        </is>
      </c>
      <c r="E47" s="4" t="inlineStr">
        <is>
          <t>纠错</t>
        </is>
      </c>
      <c r="F47" s="4" t="inlineStr">
        <is>
          <t>PCB</t>
        </is>
      </c>
      <c r="G47" s="5" t="inlineStr">
        <is>
          <t>PCB设计与SMT服务</t>
        </is>
      </c>
      <c r="H47" s="4" t="inlineStr">
        <is>
          <t>核心</t>
        </is>
      </c>
      <c r="I47" s="5" t="inlineStr">
        <is>
          <t>公司以PCB研发设计为基础，提供PCBA制造和一站式硬件创新服务，真实业务同时覆盖设计、研发打样及贴装制造，不是单纯PCB裸板生产商。2025年PCBA制造服务收入8.9823亿元，按营业收入11.2713亿元计算约占79.69%；PCB设计服务收入2.2105亿元、约占19.61%，其他业务0.0785亿元、约占0.70%。网络通信、工业控制、集成电路、医疗电子和人工智能等是按下游应用划分的混合口径，不能与PCBA、设计服务收入重复相加，也不能把人工智能领域收入全部解释为AI服务器PCB。两项直接业务合计接近全部收入，核心定级明确；旧笼统“PCB”现纠正为PCB设计与SMT服务，准确反映其服务和制造边界。</t>
        </is>
      </c>
      <c r="J47" s="4" t="inlineStr">
        <is>
          <t>一博科技：2025年年度报告</t>
        </is>
      </c>
      <c r="K47" s="4" t="inlineStr">
        <is>
          <t>2026-04-16</t>
        </is>
      </c>
      <c r="L47" s="5" t="inlineStr">
        <is>
          <t>iFinD ifind_get_stock_info + ifind_get_stock_business_segmentation (as of 2026-10-27)；一博科技：2025年年度报告</t>
        </is>
      </c>
      <c r="M47" s="6" t="inlineStr">
        <is>
          <t>https://pdf.dfcfw.com/pdf/H2_AN202604151821243093_1.pdf</t>
        </is>
      </c>
    </row>
    <row r="48" ht="104" customHeight="1">
      <c r="B48" s="7" t="inlineStr">
        <is>
          <t>301373</t>
        </is>
      </c>
      <c r="C48" s="7" t="inlineStr">
        <is>
          <t>凌玮科技</t>
        </is>
      </c>
      <c r="D48" s="8" t="inlineStr">
        <is>
          <t>PCB：硅微粉</t>
        </is>
      </c>
      <c r="E48" s="7" t="inlineStr">
        <is>
          <t>纠错</t>
        </is>
      </c>
      <c r="F48" s="7" t="inlineStr">
        <is>
          <t>PCB</t>
        </is>
      </c>
      <c r="G48" s="8" t="inlineStr">
        <is>
          <t>填料-硅微粉与功能粉体</t>
        </is>
      </c>
      <c r="H48" s="7" t="inlineStr">
        <is>
          <t>相关</t>
        </is>
      </c>
      <c r="I48" s="8" t="inlineStr">
        <is>
          <t>公司原有主营为纳米二氧化硅等纳米新材料，2025年纳米新材料收入4.8239亿元，约占营业收入96.43%，主要服务涂料等既有应用，不能全部算作覆铜板硅微粉收入。2026年公司取得江苏辉迈控制权后形成更直接的球形硅微粉布局，但官方风险公告明确：江苏辉迈2025年收入约占公司整体收入5%，且纳入的是2026年合并报表；其球形硅微粉用于M9覆铜板仍处下游客户小试，尚未进入实质生产、未形成订单。由此可见产品有真实研发和验证基础，但目前属于早期低占比业务，不支持旧“核心”判断，故降为相关；旧“硅微粉”保留方向，同时纠正把既有纳米材料收入和未来M9潜在用途混同的错误。</t>
        </is>
      </c>
      <c r="J48" s="7" t="inlineStr">
        <is>
          <t>凌玮科技：关于股票交易严重异常波动的公告</t>
        </is>
      </c>
      <c r="K48" s="7" t="inlineStr">
        <is>
          <t>2026-03-10</t>
        </is>
      </c>
      <c r="L48" s="8" t="inlineStr">
        <is>
          <t>iFinD ifind_get_stock_info + ifind_get_stock_business_segmentation (as of 2026-10-27)；凌玮科技：关于股票交易严重异常波动的公告</t>
        </is>
      </c>
      <c r="M48" s="9" t="inlineStr">
        <is>
          <t>https://pdf.dfcfw.com/pdf/H2_AN202603101820462610_1.pdf</t>
        </is>
      </c>
    </row>
    <row r="49" ht="104" customHeight="1">
      <c r="B49" s="4" t="inlineStr">
        <is>
          <t>301377</t>
        </is>
      </c>
      <c r="C49" s="4" t="inlineStr">
        <is>
          <t>鼎泰高科</t>
        </is>
      </c>
      <c r="D49" s="5" t="inlineStr">
        <is>
          <t>PCB：钻针</t>
        </is>
      </c>
      <c r="E49" s="4" t="inlineStr">
        <is>
          <t>保留</t>
        </is>
      </c>
      <c r="F49" s="4" t="inlineStr">
        <is>
          <t>PCB</t>
        </is>
      </c>
      <c r="G49" s="5" t="inlineStr">
        <is>
          <t>PCB刀具-钻针与铣刀</t>
        </is>
      </c>
      <c r="H49" s="4" t="inlineStr">
        <is>
          <t>核心</t>
        </is>
      </c>
      <c r="I49" s="5" t="inlineStr">
        <is>
          <t>公司直接为PCB及数控精密机件客户提供工具、材料和装备，核心真实产品包括PCB微型钻针、铣刀等精密刀具，具有明确的PCB加工用途和客户基础，并非通用刀具的简单概念延伸。2025年刀具产品收入17.3985亿元，按营业收入约21.4215亿元计算约占81.22%；研磨抛光材料1.9245亿元、自动化设备0.7679亿元、功能性膜产品0.7369亿元、其他业务0.5936亿元，不能全部并入PCB钻针收入。刀具分部还包含少量非PCB精密加工应用，年报未拆出纯PCB刀具收入，因此不虚构更精确的PCB占比。刀具为公司绝对主要收入来源且PCB钻针具有规模和市场地位，维持核心；旧“钻针”规范为钻针与铣刀概念。</t>
        </is>
      </c>
      <c r="J49" s="4" t="inlineStr">
        <is>
          <t>鼎泰高科：2025年年度报告</t>
        </is>
      </c>
      <c r="K49" s="4" t="inlineStr">
        <is>
          <t>2026-03-27</t>
        </is>
      </c>
      <c r="L49" s="5" t="inlineStr">
        <is>
          <t>iFinD ifind_get_stock_info + ifind_get_stock_business_segmentation (as of 2026-10-27)；鼎泰高科：2025年年度报告</t>
        </is>
      </c>
      <c r="M49" s="6" t="inlineStr">
        <is>
          <t>https://pdf.dfcfw.com/pdf/H2_AN202603261820774160_1.pdf</t>
        </is>
      </c>
    </row>
    <row r="50" ht="104" customHeight="1">
      <c r="B50" s="7" t="inlineStr">
        <is>
          <t>301389</t>
        </is>
      </c>
      <c r="C50" s="7" t="inlineStr">
        <is>
          <t>隆扬电子</t>
        </is>
      </c>
      <c r="D50" s="8" t="inlineStr">
        <is>
          <t>PCB：HVLP</t>
        </is>
      </c>
      <c r="E50" s="7" t="inlineStr">
        <is>
          <t>纠错</t>
        </is>
      </c>
      <c r="F50" s="7" t="inlineStr">
        <is>
          <t>PCB</t>
        </is>
      </c>
      <c r="G50" s="8" t="inlineStr">
        <is>
          <t>铜箔-HVLP与高频高速</t>
        </is>
      </c>
      <c r="H50" s="7" t="inlineStr">
        <is>
          <t>相关</t>
        </is>
      </c>
      <c r="I50" s="8" t="inlineStr">
        <is>
          <t>公司2025年主要收入仍来自电磁屏蔽、缓冲减震和电子胶黏材料，其中屏蔽材料2.7751亿元、约占营业收入55.03%，缓冲减震材料1.00467亿元、电子胶粘材料0.881375亿元，均不能作为PCB收入。真实PCB关联来自电子铜箔材料；年报分产品表已单列电子铜箔材料收入182,214.80元，即0.001822148亿元，占总营收约0.0361%，按年报两位小数披露为0.04%，因此初审“没有单列可靠占比”应更正。HVLP5铜箔未来主要用作覆铜板和PCB原材料，但截至期末尚未规模化量产销售，仍处客户技术适配与可靠性验证，仅有少量样品订单，对当期收入影响极小。该证据支持保留早期相关业务，而非按成熟铜箔企业定核心；维持相关，屏蔽材料收入不得用来证明HVLP业务规模。</t>
        </is>
      </c>
      <c r="J50" s="7" t="inlineStr">
        <is>
          <t>隆扬电子：2025年年度报告</t>
        </is>
      </c>
      <c r="K50" s="7" t="inlineStr">
        <is>
          <t>2026-04-27</t>
        </is>
      </c>
      <c r="L50" s="8" t="inlineStr">
        <is>
          <t>iFinD ifind_get_stock_info + ifind_get_stock_business_segmentation (as of 2026-10-27)；隆扬电子：2025年年度报告</t>
        </is>
      </c>
      <c r="M50" s="9" t="inlineStr">
        <is>
          <t>https://pdf.dfcfw.com/pdf/H2_AN202604261821589798_1.pdf</t>
        </is>
      </c>
    </row>
    <row r="51" ht="104" customHeight="1">
      <c r="B51" s="4" t="inlineStr">
        <is>
          <t>301511</t>
        </is>
      </c>
      <c r="C51" s="4" t="inlineStr">
        <is>
          <t>德福科技</t>
        </is>
      </c>
      <c r="D51" s="5" t="inlineStr">
        <is>
          <t>PCB：HVLP</t>
        </is>
      </c>
      <c r="E51" s="4" t="inlineStr">
        <is>
          <t>纠错</t>
        </is>
      </c>
      <c r="F51" s="4" t="inlineStr">
        <is>
          <t>PCB</t>
        </is>
      </c>
      <c r="G51" s="5" t="inlineStr">
        <is>
          <t>铜箔-HVLP与高频高速、铜箔-通用PCB</t>
        </is>
      </c>
      <c r="H51" s="4" t="inlineStr">
        <is>
          <t>核心</t>
        </is>
      </c>
      <c r="I51" s="5" t="inlineStr">
        <is>
          <t>公司真实产品分为锂电铜箔与电子电路铜箔，后者用于覆铜板和PCB，RTF、HVLP及载体铜箔等高频高速产品已有研发、认证或量产进展，具备直接产业证据。2025年电子电路铜箔收入17.8106亿元，按营业收入124.3653亿元计算约占14.32%；锂电铜箔收入100.2560亿元、约占80.61%，其他业务6.2987亿元，绝不能把铜箔总收入或锂电收入全部算入PCB。电子电路铜箔已经形成较大绝对收入，但在公司整体中仍为少数，且HVLP没有单列收入，故维持相关而非因高端产品题材上调核心；旧“HVLP”补充通用PCB铜箔以反映实际收入主体，并明确高频高速产品与混合铜箔收入的边界。</t>
        </is>
      </c>
      <c r="J51" s="4" t="inlineStr">
        <is>
          <t>德福科技：2025年年度报告</t>
        </is>
      </c>
      <c r="K51" s="4" t="inlineStr">
        <is>
          <t>2026-04-25</t>
        </is>
      </c>
      <c r="L51" s="5" t="inlineStr">
        <is>
          <t>iFinD ifind_get_stock_info + ifind_get_stock_business_segmentation (as of 2026-10-27)；德福科技：2025年年度报告</t>
        </is>
      </c>
      <c r="M51" s="6" t="inlineStr">
        <is>
          <t>https://pdf.dfcfw.com/pdf/H2_AN202604241821556579_1.pdf</t>
        </is>
      </c>
    </row>
    <row r="52" ht="104" customHeight="1">
      <c r="B52" s="7" t="inlineStr">
        <is>
          <t>301526</t>
        </is>
      </c>
      <c r="C52" s="7" t="inlineStr">
        <is>
          <t>国际复材</t>
        </is>
      </c>
      <c r="D52" s="8" t="inlineStr">
        <is>
          <t>PCB：电子布</t>
        </is>
      </c>
      <c r="E52" s="7" t="inlineStr">
        <is>
          <t>纠错</t>
        </is>
      </c>
      <c r="F52" s="7" t="inlineStr">
        <is>
          <t>PCB</t>
        </is>
      </c>
      <c r="G52" s="8" t="inlineStr">
        <is>
          <t>电子布与玻纤材料</t>
        </is>
      </c>
      <c r="H52" s="7" t="inlineStr">
        <is>
          <t>相关</t>
        </is>
      </c>
      <c r="I52" s="8" t="inlineStr">
        <is>
          <t>公司真实产品包括玻璃纤维细纱、电子纱及细纱布，细纱布按用途分为电子布和工业布，电子布可经树脂浸渍、覆铜和热压形成覆铜板，属于PCB直接上游材料，不是泛玻纤用途推导。2025年玻璃纤维及制品收入84.2518亿元、约占营业收入97.31%，但该分部同时包含风电、汽车、建筑、工业等粗纱和制品，不能全部归入电子布或PCB；年报未单独披露电子布收入及占比，也没有足够依据把低介电高端电子布的行业需求等同于公司已实现收入。公司有真实电子纱和电子布产品及技术投入，故保留PCB关联，但考虑独立收入边界不清、玻纤主业下游高度混合，由旧“核心”降为相关，避免用全部玻纤规模支撑过高定级。</t>
        </is>
      </c>
      <c r="J52" s="7" t="inlineStr">
        <is>
          <t>国际复材：2025年年度报告</t>
        </is>
      </c>
      <c r="K52" s="7" t="inlineStr">
        <is>
          <t>2026-04-23</t>
        </is>
      </c>
      <c r="L52" s="8" t="inlineStr">
        <is>
          <t>iFinD ifind_get_stock_info + ifind_get_stock_business_segmentation (as of 2026-10-27)；国际复材：2025年年度报告</t>
        </is>
      </c>
      <c r="M52" s="9" t="inlineStr">
        <is>
          <t>https://pdf.dfcfw.com/pdf/H2_AN202604221821461875_1.pdf</t>
        </is>
      </c>
    </row>
    <row r="53" ht="104" customHeight="1">
      <c r="B53" s="4" t="inlineStr">
        <is>
          <t>301566</t>
        </is>
      </c>
      <c r="C53" s="4" t="inlineStr">
        <is>
          <t>达利凯普</t>
        </is>
      </c>
      <c r="D53" s="5" t="inlineStr">
        <is>
          <t>PCB：MLCC</t>
        </is>
      </c>
      <c r="E53" s="4" t="inlineStr">
        <is>
          <t>摘除</t>
        </is>
      </c>
      <c r="F53" s="4" t="inlineStr">
        <is>
          <t>—</t>
        </is>
      </c>
      <c r="G53" s="5" t="inlineStr">
        <is>
          <t>—</t>
        </is>
      </c>
      <c r="H53" s="4" t="inlineStr">
        <is>
          <t>摘除</t>
        </is>
      </c>
      <c r="I53" s="5" t="inlineStr">
        <is>
          <t>公司真实主营是射频微波瓷介电容器研发、制造和销售，产品包括片式射频微波MLCC及带金属引脚的电容器，主要服务射频微波、通信、医疗和军工等电子整机。2025年瓷介电容器收入3.5782亿元，按营业收入3.6236亿元计算约占98.75%，其他收入0.0454亿元，主业高度集中且边界清楚。MLCC属于安装在PCB上的电子元器件，不是印制电路板、覆铜板、铜箔、树脂、加工刀具或PCB生产设备；其产品用于电路板贴装并不意味着公司具有独立PCB业务。年报没有披露PCB制造、PCB材料或PCB设备销售收入，因此旧“MLCC”被放入PCB体系属于概念错配，且原“核心”定级放大了错误，本次直接摘除PCB标签。</t>
        </is>
      </c>
      <c r="J53" s="4" t="inlineStr">
        <is>
          <t>达利凯普：2025年年度报告</t>
        </is>
      </c>
      <c r="K53" s="4" t="inlineStr">
        <is>
          <t>2026-04-27</t>
        </is>
      </c>
      <c r="L53" s="5" t="inlineStr">
        <is>
          <t>iFinD ifind_get_stock_info + ifind_get_stock_business_segmentation (as of 2026-10-27)；达利凯普：2025年年度报告</t>
        </is>
      </c>
      <c r="M53" s="6" t="inlineStr">
        <is>
          <t>https://pdf.dfcfw.com/pdf/H2_AN202604261821588733_1.pdf</t>
        </is>
      </c>
    </row>
    <row r="54" ht="104" customHeight="1">
      <c r="B54" s="7" t="inlineStr">
        <is>
          <t>301678</t>
        </is>
      </c>
      <c r="C54" s="7" t="inlineStr">
        <is>
          <t>新恒汇</t>
        </is>
      </c>
      <c r="D54" s="8" t="inlineStr">
        <is>
          <t>PCB：曝光</t>
        </is>
      </c>
      <c r="E54" s="7" t="inlineStr">
        <is>
          <t>摘除</t>
        </is>
      </c>
      <c r="F54" s="7" t="inlineStr">
        <is>
          <t>—</t>
        </is>
      </c>
      <c r="G54" s="8" t="inlineStr">
        <is>
          <t>—</t>
        </is>
      </c>
      <c r="H54" s="7" t="inlineStr">
        <is>
          <t>摘除</t>
        </is>
      </c>
      <c r="I54" s="8" t="inlineStr">
        <is>
          <t>公司真实业务为智能卡模块、蚀刻引线框架和物联网eSIM芯片封测，2025年智能卡业务收入4.8353亿元、约占营业收入52.37%，蚀刻引线框架3.1321亿元、约占33.92%，物联网eSIM封测0.6510亿元、约占7.05%。年报所述LDI曝光、卷式真空连续蚀刻和选择性电镀是公司制造蚀刻引线框架的内部核心工艺，用于芯片封装载体生产，并非对外销售PCB直接成像或曝光设备；年报亦未出现PCB产品业务。引线框架与普通PCB、IC载板不能仅因工艺相似而混同，相关制造收入也不能归入PCB设备或PCB收入。旧“曝光”把生产工序误映射为PCB设备产品，缺少独立PCB业务证据，故本次摘除PCB标签。</t>
        </is>
      </c>
      <c r="J54" s="7" t="inlineStr">
        <is>
          <t>新恒汇：2025年年度报告</t>
        </is>
      </c>
      <c r="K54" s="7" t="inlineStr">
        <is>
          <t>2026-04-22</t>
        </is>
      </c>
      <c r="L54" s="8" t="inlineStr">
        <is>
          <t>iFinD ifind_get_stock_info + ifind_get_stock_business_segmentation (as of 2026-10-27)；新恒汇：2025年年度报告</t>
        </is>
      </c>
      <c r="M54" s="9" t="inlineStr">
        <is>
          <t>https://pdf.dfcfw.com/pdf/H2_AN202604211821395269_1.pdf</t>
        </is>
      </c>
    </row>
    <row r="55" ht="104" customHeight="1">
      <c r="B55" s="4" t="inlineStr">
        <is>
          <t>600110</t>
        </is>
      </c>
      <c r="C55" s="4" t="inlineStr">
        <is>
          <t>诺德股份</t>
        </is>
      </c>
      <c r="D55" s="5" t="inlineStr">
        <is>
          <t>PCB：HVLP</t>
        </is>
      </c>
      <c r="E55" s="4" t="inlineStr">
        <is>
          <t>纠错</t>
        </is>
      </c>
      <c r="F55" s="4" t="inlineStr">
        <is>
          <t>PCB</t>
        </is>
      </c>
      <c r="G55" s="5" t="inlineStr">
        <is>
          <t>铜箔-HVLP与高频高速、铜箔-通用PCB</t>
        </is>
      </c>
      <c r="H55" s="4" t="inlineStr">
        <is>
          <t>相关</t>
        </is>
      </c>
      <c r="I55" s="5" t="inlineStr">
        <is>
          <t>公司真实产品既包括动力电池和储能电池用锂电铜箔，也包括PCB用电解铜箔、RTF、HTE及HVLP超低轮廓铜箔；年报明确HVLP用于挠性、高频和超微细电路板，因此PCB关联有具体产品而非概念联想。2025年铜箔产品收入67.4534亿元、占营业收入92.0477%，但该口径混合了锂电与PCB铜箔，不能全部归入PCB，更不能把3—6微米超薄锂电铜箔收入算作HVLP收入；电线电缆、贸易、发电储能和其他业务也应排除。公司未单列PCB铜箔及HVLP收入占比，且整体主营仍以锂电铜箔为重要基本盘，故维持相关而非核心；旧标签补充通用PCB铜箔并纠正混合收入口径。</t>
        </is>
      </c>
      <c r="J55" s="4" t="inlineStr">
        <is>
          <t>诺德股份：2025年年度报告</t>
        </is>
      </c>
      <c r="K55" s="4" t="inlineStr">
        <is>
          <t>2026-04-23</t>
        </is>
      </c>
      <c r="L55" s="5" t="inlineStr">
        <is>
          <t>iFinD ifind_get_stock_info + ifind_get_stock_business_segmentation (as of 2026-10-27)；诺德股份：2025年年度报告</t>
        </is>
      </c>
      <c r="M55" s="6" t="inlineStr">
        <is>
          <t>https://pdf.dfcfw.com/pdf/H2_AN202604221821457812_1.pdf</t>
        </is>
      </c>
    </row>
    <row r="56" ht="104" customHeight="1">
      <c r="B56" s="7" t="inlineStr">
        <is>
          <t>600176</t>
        </is>
      </c>
      <c r="C56" s="7" t="inlineStr">
        <is>
          <t>中国巨石</t>
        </is>
      </c>
      <c r="D56" s="8" t="inlineStr">
        <is>
          <t>PCB：电子布</t>
        </is>
      </c>
      <c r="E56" s="7" t="inlineStr">
        <is>
          <t>纠错</t>
        </is>
      </c>
      <c r="F56" s="7" t="inlineStr">
        <is>
          <t>PCB</t>
        </is>
      </c>
      <c r="G56" s="8" t="inlineStr">
        <is>
          <t>电子布与玻纤材料</t>
        </is>
      </c>
      <c r="H56" s="7" t="inlineStr">
        <is>
          <t>核心</t>
        </is>
      </c>
      <c r="I56" s="8" t="inlineStr">
        <is>
          <t>公司真实PCB上游产品为电子级玻纤细纱和电子布，电子布与树脂、铜箔经热压形成覆铜板，再用于制造PCB，产品用途直接且已有大规模销售。官方公告明确2025年电子布销量10.62亿米、相关收入占营业收入17.77%，按营业收入188.8087亿元估算约33.55亿元；玻纤及制品收入183.4508亿元还包含大量粗纱和非电子用途制品，不能全部计入PCB。公告同时指出当前电子布主要是普通布、薄布系列，低介电等特种电子布尚未形成订单及收入，故不能把17.77%进一步包装成高端低介电业务。电子布独立占比和绝对规模均已达到重要主营产品标准，因此由旧“相关”上调为核心，同时保留普通电子布与潜在特种产品的清晰边界。</t>
        </is>
      </c>
      <c r="J56" s="7" t="inlineStr">
        <is>
          <t>中国巨石：关于股票交易异常波动的公告</t>
        </is>
      </c>
      <c r="K56" s="7" t="inlineStr">
        <is>
          <t>2026-06-25</t>
        </is>
      </c>
      <c r="L56" s="8" t="inlineStr">
        <is>
          <t>iFinD ifind_get_stock_info + ifind_get_stock_business_segmentation (as of 2026-10-27)；中国巨石：关于股票交易异常波动的公告</t>
        </is>
      </c>
      <c r="M56" s="9" t="inlineStr">
        <is>
          <t>https://pdf.dfcfw.com/pdf/H2_AN202606241823814159_1.pdf</t>
        </is>
      </c>
    </row>
    <row r="57" ht="104" customHeight="1">
      <c r="B57" s="4" t="inlineStr">
        <is>
          <t>600183</t>
        </is>
      </c>
      <c r="C57" s="4" t="inlineStr">
        <is>
          <t>生益科技</t>
        </is>
      </c>
      <c r="D57" s="5" t="inlineStr">
        <is>
          <t>PCB：硅微粉</t>
        </is>
      </c>
      <c r="E57" s="4" t="inlineStr">
        <is>
          <t>纠错</t>
        </is>
      </c>
      <c r="F57" s="4" t="inlineStr">
        <is>
          <t>PCB</t>
        </is>
      </c>
      <c r="G57" s="5" t="inlineStr">
        <is>
          <t>覆铜板与粘结片、PCB-高多层与服务器板</t>
        </is>
      </c>
      <c r="H57" s="4" t="inlineStr">
        <is>
          <t>核心</t>
        </is>
      </c>
      <c r="I57" s="5" t="inlineStr">
        <is>
          <t>公司真实主营是覆铜板、粘结片和印制线路板，覆铜板产品包括半固化片、绝缘层压板、金属基覆铜箔板和涂树脂铜箔等，直接服务高多层、服务器及高算力PCB，并非硅微粉生产企业。2025年覆铜板和粘结片收入177.7410亿元、占62.5163%，印制线路板收入91.4401亿元、占32.1620%，两项合计约94.68%；废弃资源综合利用、其他业务和房地产收入均有独立口径，不得混入PCB产业链。如此高的直接收入占比明确支持核心定级。旧“硅微粉”与公司主营产品不符，现纠正为覆铜板与粘结片，并补充年报已有真实收入的印制线路板及高多层服务器板方向，不能把上游填料标签错误贴在覆铜板龙头身上。</t>
        </is>
      </c>
      <c r="J57" s="4" t="inlineStr">
        <is>
          <t>生益科技：2025年年度报告</t>
        </is>
      </c>
      <c r="K57" s="4" t="inlineStr">
        <is>
          <t>2026-04-25</t>
        </is>
      </c>
      <c r="L57" s="5" t="inlineStr">
        <is>
          <t>iFinD ifind_get_stock_info + ifind_get_stock_business_segmentation (as of 2026-10-27)；生益科技：2025年年度报告</t>
        </is>
      </c>
      <c r="M57" s="6" t="inlineStr">
        <is>
          <t>https://pdf.dfcfw.com/pdf/H2_AN202604241821568325_1.pdf</t>
        </is>
      </c>
    </row>
    <row r="58" ht="104" customHeight="1">
      <c r="B58" s="7" t="inlineStr">
        <is>
          <t>600552</t>
        </is>
      </c>
      <c r="C58" s="7" t="inlineStr">
        <is>
          <t>凯盛科技</t>
        </is>
      </c>
      <c r="D58" s="8" t="inlineStr">
        <is>
          <t>PCB：硅微粉</t>
        </is>
      </c>
      <c r="E58" s="7" t="inlineStr">
        <is>
          <t>纠错</t>
        </is>
      </c>
      <c r="F58" s="7" t="inlineStr">
        <is>
          <t>PCB</t>
        </is>
      </c>
      <c r="G58" s="8" t="inlineStr">
        <is>
          <t>填料-硅微粉与功能粉体</t>
        </is>
      </c>
      <c r="H58" s="7" t="inlineStr">
        <is>
          <t>相关</t>
        </is>
      </c>
      <c r="I58" s="8" t="inlineStr">
        <is>
          <t>公司真实业务由显示材料和应用材料构成，应用材料中的球形二氧化硅即球形石英粉可用于电子封装及5G高频高速覆铜板，球形氧化铝则主要用于导热等场景，只有具备明确覆铜板用途的粉体才纳入本次PCB审查。2025年显示材料收入46.2559亿元、约占营业收入78.67%，应用材料收入11.3882亿元、约占19.37%；后者还混合电熔氧化锆、硅酸锆、纳米钛酸钡、稀土抛光粉等产品，不能全部作为PCB硅微粉收入，年报也未单列球形石英粉销售占比。公司已有粉体产品和产能，关联不是纯概念，但PCB专用收入边界不清且显示材料仍为最大主业，故定为相关而非核心；旧“硅微粉”保留并补充混合收入限制。</t>
        </is>
      </c>
      <c r="J58" s="7" t="inlineStr">
        <is>
          <t>凯盛科技：2025年年度报告</t>
        </is>
      </c>
      <c r="K58" s="7" t="inlineStr">
        <is>
          <t>2026-03-31</t>
        </is>
      </c>
      <c r="L58" s="8" t="inlineStr">
        <is>
          <t>iFinD ifind_get_stock_info + ifind_get_stock_business_segmentation (as of 2026-10-27)；凯盛科技：2025年年度报告</t>
        </is>
      </c>
      <c r="M58" s="9" t="inlineStr">
        <is>
          <t>https://pdf.dfcfw.com/pdf/H2_AN202603301820873396_1.pdf</t>
        </is>
      </c>
    </row>
    <row r="59" ht="104" customHeight="1">
      <c r="B59" s="4" t="inlineStr">
        <is>
          <t>600601</t>
        </is>
      </c>
      <c r="C59" s="4" t="inlineStr">
        <is>
          <t>方正科技</t>
        </is>
      </c>
      <c r="D59" s="5" t="inlineStr">
        <is>
          <t>PCB：AI服务器相关</t>
        </is>
      </c>
      <c r="E59" s="4" t="inlineStr">
        <is>
          <t>纠错</t>
        </is>
      </c>
      <c r="F59" s="4" t="inlineStr">
        <is>
          <t>PCB</t>
        </is>
      </c>
      <c r="G59" s="5" t="inlineStr">
        <is>
          <t>PCB-高多层与服务器板、PCB-HDI与任意层互连、PCB-FPC与刚挠结合、PCB设计与SMT服务</t>
        </is>
      </c>
      <c r="H59" s="4" t="inlineStr">
        <is>
          <t>核心</t>
        </is>
      </c>
      <c r="I59" s="5" t="inlineStr">
        <is>
          <t>公司主营为PCB研发设计、生产制造和销售，核心产品覆盖高多层板、HDI板、软硬结合板及定制PCB，实际应用于通信设备、交换机、光模块和AI服务器，具有直接产品和客户场景证据。2025年PCB业务收入46.4050亿元、占营业收入93.9514%，其他业务2.7078亿元、融合通信0.2712亿元、IT系统集成0.0085亿元，均不得混入PCB收入；年报没有单列AI服务器专用板收入，因此也不能把46.4050亿元全部标注成AI服务器收入。PCB绝对主营、较大规模以及高多层和HDI技术产品足以支持核心定级；旧“AI服务器相关”现细化成高多层与服务器板，并补充HDI真实产品标签，避免终端概念替代公司的产品分类。</t>
        </is>
      </c>
      <c r="J59" s="4" t="inlineStr">
        <is>
          <t>方正科技：2025年年度报告</t>
        </is>
      </c>
      <c r="K59" s="4" t="inlineStr">
        <is>
          <t>2026-04-09</t>
        </is>
      </c>
      <c r="L59" s="5" t="inlineStr">
        <is>
          <t>iFinD ifind_get_stock_info + ifind_get_stock_business_segmentation (as of 2026-10-27)；方正科技：2025年年度报告</t>
        </is>
      </c>
      <c r="M59" s="6" t="inlineStr">
        <is>
          <t>https://pdf.dfcfw.com/pdf/H2_AN202604081821071249_1.pdf</t>
        </is>
      </c>
    </row>
    <row r="60" ht="104" customHeight="1">
      <c r="B60" s="7" t="inlineStr">
        <is>
          <t>601208</t>
        </is>
      </c>
      <c r="C60" s="7" t="inlineStr">
        <is>
          <t>东材科技</t>
        </is>
      </c>
      <c r="D60" s="8" t="inlineStr">
        <is>
          <t>PCB：环氧树脂</t>
        </is>
      </c>
      <c r="E60" s="7" t="inlineStr">
        <is>
          <t>纠错</t>
        </is>
      </c>
      <c r="F60" s="7" t="inlineStr">
        <is>
          <t>PCB</t>
        </is>
      </c>
      <c r="G60" s="8" t="inlineStr">
        <is>
          <t>树脂-环氧与碳氢</t>
        </is>
      </c>
      <c r="H60" s="7" t="inlineStr">
        <is>
          <t>核心</t>
        </is>
      </c>
      <c r="I60" s="8" t="inlineStr">
        <is>
          <t>公司真实PCB上游产品包括双马来酰亚胺、活性酯、碳氢、聚苯醚及环氧等高速电子树脂，用于高速通信基板和覆铜板，不是把绝缘材料或磁体绝缘用途跨概念推导为PCB。2025年电子材料收入15.5444亿元、约占营业收入30.00%，其中高速电子材料收入5.91亿元、约占11.41%，同比增长125.07%；光学膜材料14.2346亿元、新能源材料12.9466亿元、电工绝缘材料4.8086亿元均有独立口径，不能并入PCB树脂。电子材料分部也并非全部为PCB专用，因此采用已披露的高速电子材料规模而非笼统归因。高速树脂已形成数亿元实际销售和清晰产品体系，由旧“相关”上调为核心；旧“环氧树脂”扩展为准确的环氧与碳氢树脂类别。</t>
        </is>
      </c>
      <c r="J60" s="7" t="inlineStr">
        <is>
          <t>东材科技：2025年年度报告</t>
        </is>
      </c>
      <c r="K60" s="7" t="inlineStr">
        <is>
          <t>2026-04-23</t>
        </is>
      </c>
      <c r="L60" s="8" t="inlineStr">
        <is>
          <t>iFinD ifind_get_stock_info + ifind_get_stock_business_segmentation (as of 2026-10-27)；东材科技：2025年年度报告</t>
        </is>
      </c>
      <c r="M60" s="9" t="inlineStr">
        <is>
          <t>https://pdf.dfcfw.com/pdf/H2_AN202604221821452968_1.pdf</t>
        </is>
      </c>
    </row>
    <row r="61" ht="104" customHeight="1">
      <c r="B61" s="4" t="inlineStr">
        <is>
          <t>603002</t>
        </is>
      </c>
      <c r="C61" s="4" t="inlineStr">
        <is>
          <t>宏昌电子</t>
        </is>
      </c>
      <c r="D61" s="5" t="inlineStr">
        <is>
          <t>PCB：环氧树脂</t>
        </is>
      </c>
      <c r="E61" s="4" t="inlineStr">
        <is>
          <t>纠错</t>
        </is>
      </c>
      <c r="F61" s="4" t="inlineStr">
        <is>
          <t>PCB</t>
        </is>
      </c>
      <c r="G61" s="5" t="inlineStr">
        <is>
          <t>树脂-环氧与碳氢、覆铜板与粘结片</t>
        </is>
      </c>
      <c r="H61" s="4" t="inlineStr">
        <is>
          <t>核心</t>
        </is>
      </c>
      <c r="I61" s="5" t="inlineStr">
        <is>
          <t>公司真实主营为电子级环氧树脂和覆铜板两大类产品，环氧树脂是覆铜板基材体系的重要组成，覆铜板及半固化片则直接用于PCB制造，产业链位置清晰。2025年环氧树脂收入19.6147亿元、占营业收入63.7612%，覆铜板及半固化片收入10.8216亿元、占35.1776%，其他业务0.3265亿元、占1.0612%；环氧树脂虽然也可用于涂料、复合材料和土木工程，不能把全部环氧收入都解释为PCB专用，但公司电子级定位及覆铜板自有业务提供了直接证据。两类产品合计构成几乎全部营业收入，核心定级充分；旧“环氧树脂”保留并补充被遗漏的覆铜板与粘结片标签，同时说明混合下游收入边界。</t>
        </is>
      </c>
      <c r="J61" s="4" t="inlineStr">
        <is>
          <t>宏昌电子：2025年年度报告</t>
        </is>
      </c>
      <c r="K61" s="4" t="inlineStr">
        <is>
          <t>2026-04-23</t>
        </is>
      </c>
      <c r="L61" s="5" t="inlineStr">
        <is>
          <t>iFinD ifind_get_stock_info + ifind_get_stock_business_segmentation (as of 2026-10-27)；宏昌电子：2025年年度报告</t>
        </is>
      </c>
      <c r="M61" s="6" t="inlineStr">
        <is>
          <t>https://pdf.dfcfw.com/pdf/H2_AN202604221821453939_1.pdf</t>
        </is>
      </c>
    </row>
    <row r="62" ht="104" customHeight="1">
      <c r="B62" s="7" t="inlineStr">
        <is>
          <t>603124</t>
        </is>
      </c>
      <c r="C62" s="7" t="inlineStr">
        <is>
          <t>江南新材</t>
        </is>
      </c>
      <c r="D62" s="8" t="inlineStr">
        <is>
          <t>PCB：其他关键材料及设备</t>
        </is>
      </c>
      <c r="E62" s="7" t="inlineStr">
        <is>
          <t>保留</t>
        </is>
      </c>
      <c r="F62" s="7" t="inlineStr">
        <is>
          <t>PCB</t>
        </is>
      </c>
      <c r="G62" s="8" t="inlineStr">
        <is>
          <t>PCB材料-其他关键材料、PCB配套-精密零部件</t>
        </is>
      </c>
      <c r="H62" s="7" t="inlineStr">
        <is>
          <t>核心</t>
        </is>
      </c>
      <c r="I62" s="8" t="inlineStr">
        <is>
          <t>公司真实产品为铜球、氧化铜粉和高精密铜基散热片。铜球是电镀铜阳极材料，氧化铜粉用于高阶PCB镀铜制程，客户包括鹏鼎控股、东山精密、胜宏科技、沪电股份、深南电路等实际PCB厂商，属于直接耗材而非泛铜材料联想。2025年营业收入103.2901633282亿元，铜球系列收入78.684727亿元，复算占76.1783%、应写约76.18%，初审76.16%为小幅算术误差；氧化铜粉18.708383亿元、约占18.11%，高精密铜基散热片3.087535亿元。散热片已明确用于PCB埋嵌散热，故补充PCB配套-精密零部件标签。铜球也用于光伏和表面处理，氧化铜粉还用于复合铜箔及催化剂，散热片还用于液冷和功率半导体，因此103.268086亿元铜基新材料不是总营收，也不能全部算作PCB。凭借规模产品、主要PCB应用和真实客户，维持核心。</t>
        </is>
      </c>
      <c r="J62" s="7" t="inlineStr">
        <is>
          <t>江南新材：2025年年度报告</t>
        </is>
      </c>
      <c r="K62" s="7" t="inlineStr">
        <is>
          <t>2026-04-29</t>
        </is>
      </c>
      <c r="L62" s="8" t="inlineStr">
        <is>
          <t>iFinD ifind_get_stock_info + ifind_get_stock_business_segmentation (as of 2026-10-27)；江南新材：2025年年度报告</t>
        </is>
      </c>
      <c r="M62" s="9" t="inlineStr">
        <is>
          <t>https://pdf.dfcfw.com/pdf/H2_AN202604281821672558_1.pdf</t>
        </is>
      </c>
    </row>
    <row r="63" ht="104" customHeight="1">
      <c r="B63" s="4" t="inlineStr">
        <is>
          <t>603175</t>
        </is>
      </c>
      <c r="C63" s="4" t="inlineStr">
        <is>
          <t>超颖电子</t>
        </is>
      </c>
      <c r="D63" s="5" t="inlineStr">
        <is>
          <t>PCB：AI服务器相关</t>
        </is>
      </c>
      <c r="E63" s="4" t="inlineStr">
        <is>
          <t>纠错</t>
        </is>
      </c>
      <c r="F63" s="4" t="inlineStr">
        <is>
          <t>PCB</t>
        </is>
      </c>
      <c r="G63" s="5" t="inlineStr">
        <is>
          <t>PCB-高多层与服务器板、PCB-HDI与任意层互连</t>
        </is>
      </c>
      <c r="H63" s="4" t="inlineStr">
        <is>
          <t>核心</t>
        </is>
      </c>
      <c r="I63" s="5" t="inlineStr">
        <is>
          <t>公司直接研发、生产和销售印制电路板，产品应用于AI服务器、存储装置、汽车电子和消费电子，并具备多阶HDI及任意层互连HDI量产能力，高阶AI服务器和汽车产品已有实际业务基础。2025年PCB收入44.3904亿元、占营业收入93.4075%，其他业务3.1330亿元、占6.5925%，其中主要为废料收入，不得并入PCB产品销售；泰国基地仍处产能爬坡，相关规划产能也不能提前视为2025年收入。PCB绝对主营和规模明确支持核心定级，AI服务器、高多层及HDI有直接产品证据而非市场板块标签。旧“AI服务器相关”现细化为高多层与服务器板，并补充已具备量产能力的HDI与任意层互连概念，保留应用和收入口径差异。</t>
        </is>
      </c>
      <c r="J63" s="4" t="inlineStr">
        <is>
          <t>超颖电子：2025年年度报告</t>
        </is>
      </c>
      <c r="K63" s="4" t="inlineStr">
        <is>
          <t>2026-03-31</t>
        </is>
      </c>
      <c r="L63" s="5" t="inlineStr">
        <is>
          <t>iFinD ifind_get_stock_info + ifind_get_stock_business_segmentation (as of 2026-10-27)；超颖电子：2025年年度报告</t>
        </is>
      </c>
      <c r="M63" s="6" t="inlineStr">
        <is>
          <t>https://pdf.dfcfw.com/pdf/H2_AN202603301820860209_1.pdf</t>
        </is>
      </c>
    </row>
    <row r="64" ht="104" customHeight="1">
      <c r="B64" s="7" t="inlineStr">
        <is>
          <t>603186</t>
        </is>
      </c>
      <c r="C64" s="7" t="inlineStr">
        <is>
          <t>华正新材</t>
        </is>
      </c>
      <c r="D64" s="8" t="inlineStr">
        <is>
          <t>PCB：覆铜板</t>
        </is>
      </c>
      <c r="E64" s="7" t="inlineStr">
        <is>
          <t>保留</t>
        </is>
      </c>
      <c r="F64" s="7" t="inlineStr">
        <is>
          <t>PCB</t>
        </is>
      </c>
      <c r="G64" s="8" t="inlineStr">
        <is>
          <t>覆铜板与粘结片</t>
        </is>
      </c>
      <c r="H64" s="7" t="inlineStr">
        <is>
          <t>核心</t>
        </is>
      </c>
      <c r="I64" s="8" t="inlineStr">
        <is>
          <t>公司真实产品包括覆铜板及粘结片、半导体封装材料、复合材料和膜材料，其中覆铜板是专为PCB制造使用的层压板，直接承担导电、绝缘和支撑功能，应用于通信、服务器和数据中心等场景，产品关联明确。2025年覆铜板收入33.7517亿元，按营业收入43.6921亿元计算约占77.25%；交通物流用复合材料3.7734亿元、导热材料2.9371亿元、功能性复合材料1.6961亿元及其他业务1.0411亿元均有独立口径，不能混入覆铜板收入。覆铜板已经构成主要收入来源和规模产品，故维持核心；旧“覆铜板”及超节点分类中的CCL在本次仅统一为白名单的覆铜板与粘结片，不把服务器潜在需求或半导体封装材料收入重复计入PCB。</t>
        </is>
      </c>
      <c r="J64" s="7" t="inlineStr">
        <is>
          <t>华正新材：2025年年度报告</t>
        </is>
      </c>
      <c r="K64" s="7" t="inlineStr">
        <is>
          <t>2026-03-24</t>
        </is>
      </c>
      <c r="L64" s="8" t="inlineStr">
        <is>
          <t>iFinD ifind_get_stock_info + ifind_get_stock_business_segmentation (as of 2026-10-27)；华正新材：2025年年度报告</t>
        </is>
      </c>
      <c r="M64" s="9" t="inlineStr">
        <is>
          <t>https://pdf.dfcfw.com/pdf/H2_AN202603231820705904_1.pdf</t>
        </is>
      </c>
    </row>
    <row r="65" ht="104" customHeight="1">
      <c r="B65" s="4" t="inlineStr">
        <is>
          <t>603228</t>
        </is>
      </c>
      <c r="C65" s="4" t="inlineStr">
        <is>
          <t>景旺电子</t>
        </is>
      </c>
      <c r="D65" s="5" t="inlineStr">
        <is>
          <t>PCB：AI服务器相关</t>
        </is>
      </c>
      <c r="E65" s="4" t="inlineStr">
        <is>
          <t>纠错</t>
        </is>
      </c>
      <c r="F65" s="4" t="inlineStr">
        <is>
          <t>PCB</t>
        </is>
      </c>
      <c r="G65" s="5" t="inlineStr">
        <is>
          <t>PCB-高多层与服务器板、PCB-HDI与任意层互连、PCB-FPC与刚挠结合</t>
        </is>
      </c>
      <c r="H65" s="4" t="inlineStr">
        <is>
          <t>核心</t>
        </is>
      </c>
      <c r="I65" s="5" t="inlineStr">
        <is>
          <t>公司真实主营是多层板、高多层板、HDI、FPC及刚挠结合板，年报明确产品用于AI加速卡、通用服务器、AI服务器和高速交换机，并披露二十层以上高多层及高阶HDI能力，属于直接制造印制电路板而非一般电子元件配套。iFinD二〇二五年分部显示，印制电路板收入一百四十三点七三亿元，占营业收入百分之九十三点八九，其他业务占百分之六点一一，规模与主营占比均足以支持核心定级。其他业务不能并入PCB收入，FPC、HDI与服务器板也只按已披露产品归类，不进一步虚构客户或单项收入。旧“AI服务器相关”过于宽泛，现拆成高多层服务器板、HDI和FPC三个真实产品标签。</t>
        </is>
      </c>
      <c r="J65" s="4" t="inlineStr">
        <is>
          <t>景旺电子：2025年年度报告（修订后）</t>
        </is>
      </c>
      <c r="K65" s="4" t="inlineStr">
        <is>
          <t>2026-04-23</t>
        </is>
      </c>
      <c r="L65" s="5" t="inlineStr">
        <is>
          <t>iFinD ifind_get_stock_info + ifind_get_stock_business_segmentation (as of 2026-10-27)；景旺电子：2025年年度报告（修订后）</t>
        </is>
      </c>
      <c r="M65" s="6" t="inlineStr">
        <is>
          <t>https://money.finance.sina.com.cn/corp/view/vCB_AllBulletinDetail.php?stockid=603228&amp;id=12140856</t>
        </is>
      </c>
    </row>
    <row r="66" ht="104" customHeight="1">
      <c r="B66" s="7" t="inlineStr">
        <is>
          <t>603256</t>
        </is>
      </c>
      <c r="C66" s="7" t="inlineStr">
        <is>
          <t>宏和科技</t>
        </is>
      </c>
      <c r="D66" s="8" t="inlineStr">
        <is>
          <t>PCB：电子布</t>
        </is>
      </c>
      <c r="E66" s="7" t="inlineStr">
        <is>
          <t>纠错</t>
        </is>
      </c>
      <c r="F66" s="7" t="inlineStr">
        <is>
          <t>PCB</t>
        </is>
      </c>
      <c r="G66" s="8" t="inlineStr">
        <is>
          <t>电子布与玻纤材料</t>
        </is>
      </c>
      <c r="H66" s="7" t="inlineStr">
        <is>
          <t>核心</t>
        </is>
      </c>
      <c r="I66" s="8" t="inlineStr">
        <is>
          <t>公司的真实产品是极薄、超薄等高端E玻璃纤维布，以及低介电、低热膨胀系数特种电子布和电子级玻璃纤维纱；年报明确电子布是覆铜板的绝缘增强材料，并经覆铜板进入PCB制造，产业环节清楚，不是把普通玻纤或终端电子用途泛化为PCB。iFinD二〇二五年电子级玻璃纤维布收入十一点一九亿元，占营业收入百分之九十五点五五，电子纱占百分之三点九六，其他业务仅百分之零点四九。电子布已经形成重要且独立的规模收入，故定核心；但电子纱与其他收入不重复计入电子布口径。旧“电子布”方向正确，现按白名单规范为电子布与玻纤材料，并保留上游材料而非PCB裸板的边界。</t>
        </is>
      </c>
      <c r="J66" s="7" t="inlineStr">
        <is>
          <t>宏和科技：2025年年度报告</t>
        </is>
      </c>
      <c r="K66" s="7" t="inlineStr">
        <is>
          <t>2026-04-10</t>
        </is>
      </c>
      <c r="L66" s="8" t="inlineStr">
        <is>
          <t>iFinD ifind_get_stock_info + ifind_get_stock_business_segmentation (as of 2026-10-27)；宏和科技：2025年年度报告</t>
        </is>
      </c>
      <c r="M66" s="9" t="inlineStr">
        <is>
          <t>https://money.finance.sina.com.cn/corp/view/vCB_AllBulletinDetail.php?stockid=603256&amp;id=12071953</t>
        </is>
      </c>
    </row>
    <row r="67" ht="104" customHeight="1">
      <c r="B67" s="4" t="inlineStr">
        <is>
          <t>603267</t>
        </is>
      </c>
      <c r="C67" s="4" t="inlineStr">
        <is>
          <t>鸿远电子</t>
        </is>
      </c>
      <c r="D67" s="5" t="inlineStr">
        <is>
          <t>PCB：MLCC</t>
        </is>
      </c>
      <c r="E67" s="4" t="inlineStr">
        <is>
          <t>摘除</t>
        </is>
      </c>
      <c r="F67" s="4" t="inlineStr">
        <is>
          <t>—</t>
        </is>
      </c>
      <c r="G67" s="5" t="inlineStr">
        <is>
          <t>—</t>
        </is>
      </c>
      <c r="H67" s="4" t="inlineStr">
        <is>
          <t>摘除</t>
        </is>
      </c>
      <c r="I67" s="5" t="inlineStr">
        <is>
          <t>公司真实产品是多层及单层瓷介电容器、滤波器、微波模块、集成电路和陶瓷管壳，年报将MLCC明确界定为在电路中实现调谐、旁路、耦合和滤波的被动元件，并未披露印制电路板、覆铜板、PCB材料或PCB设备业务。MLCC可贴装在PCB上只是下游装配关系，不能据此把电容器制造商归入PCB产业链。iFinD二〇二五年电子元器件行业收入占百分之九十九点一一，其中自产电子元器件十点八八亿元、代理产品六点九〇亿元，这些均为元器件及代理口径而非PCB收入，混合边界不得偷换。因缺少真实PCB产品和收入，判定摘除；旧“MLCC”放在PCB类别属于明确错标，应删除而非改列相关。</t>
        </is>
      </c>
      <c r="J67" s="4" t="inlineStr">
        <is>
          <t>鸿远电子：2025年年度报告</t>
        </is>
      </c>
      <c r="K67" s="4" t="inlineStr">
        <is>
          <t>2026-03-28</t>
        </is>
      </c>
      <c r="L67" s="5" t="inlineStr">
        <is>
          <t>iFinD ifind_get_stock_info + ifind_get_stock_business_segmentation (as of 2026-10-27)；鸿远电子：2025年年度报告</t>
        </is>
      </c>
      <c r="M67" s="6" t="inlineStr">
        <is>
          <t>https://money.finance.sina.com.cn/corp/view/vCB_AllBulletinDetail.php?stockid=603267&amp;id=12031215</t>
        </is>
      </c>
    </row>
    <row r="68" ht="104" customHeight="1">
      <c r="B68" s="7" t="inlineStr">
        <is>
          <t>603328</t>
        </is>
      </c>
      <c r="C68" s="7" t="inlineStr">
        <is>
          <t>依顿电子</t>
        </is>
      </c>
      <c r="D68" s="8" t="inlineStr">
        <is>
          <t>PCB：PCB</t>
        </is>
      </c>
      <c r="E68" s="7" t="inlineStr">
        <is>
          <t>纠错</t>
        </is>
      </c>
      <c r="F68" s="7" t="inlineStr">
        <is>
          <t>PCB</t>
        </is>
      </c>
      <c r="G68" s="8" t="inlineStr">
        <is>
          <t>PCB-通用刚性板、PCB-HDI与任意层互连、PCB-高多层与服务器板</t>
        </is>
      </c>
      <c r="H68" s="7" t="inlineStr">
        <is>
          <t>核心</t>
        </is>
      </c>
      <c r="I68" s="8" t="inlineStr">
        <is>
          <t>公司直接研发、制造和销售高精度、高密度双层及多层印制线路板，真实产品包括多层板、厚铜板、高频高速板、金属基板和HDI板，属于PCB裸板制造，不应与PCBA、半导体封装或仅使用电路板的终端设备混同。iFinD二〇二五年印刷线路板收入三十五点八七亿元，占营业收入百分之八十九点一一，其他业务四点三八亿元、占百分之十点八九；PCB收入占据绝对主体且单独披露，核心定级有直接依据。其他业务不计入PCB，HDI也只按产品能力保留，不把全部收入进一步标成服务器板。旧“PCB”虽方向正确但粒度过粗，现以通用刚性板为主体，并补充真实HDI产品标签，避免无依据扩展到IC载板或AI专用板。</t>
        </is>
      </c>
      <c r="J68" s="7" t="inlineStr">
        <is>
          <t>依顿电子：2025年年度报告</t>
        </is>
      </c>
      <c r="K68" s="7" t="inlineStr">
        <is>
          <t>2026-03-31</t>
        </is>
      </c>
      <c r="L68" s="8" t="inlineStr">
        <is>
          <t>iFinD ifind_get_stock_info + ifind_get_stock_business_segmentation (as of 2026-10-27)；依顿电子：2025年年度报告</t>
        </is>
      </c>
      <c r="M68" s="9" t="inlineStr">
        <is>
          <t>https://money.finance.sina.com.cn/corp/view/vCB_AllBulletinDetail.php?stockid=603328&amp;id=12037248</t>
        </is>
      </c>
    </row>
    <row r="69" ht="104" customHeight="1">
      <c r="B69" s="4" t="inlineStr">
        <is>
          <t>603386</t>
        </is>
      </c>
      <c r="C69" s="4" t="inlineStr">
        <is>
          <t>骏亚科技</t>
        </is>
      </c>
      <c r="D69" s="5" t="inlineStr">
        <is>
          <t>PCB：PCB</t>
        </is>
      </c>
      <c r="E69" s="4" t="inlineStr">
        <is>
          <t>纠错</t>
        </is>
      </c>
      <c r="F69" s="4" t="inlineStr">
        <is>
          <t>PCB</t>
        </is>
      </c>
      <c r="G69" s="5" t="inlineStr">
        <is>
          <t>PCB-通用刚性板、PCB设计与SMT服务、PCB-高多层与服务器板、PCB-HDI与任意层互连、PCB-FPC与刚挠结合</t>
        </is>
      </c>
      <c r="H69" s="4" t="inlineStr">
        <is>
          <t>核心</t>
        </is>
      </c>
      <c r="I69" s="5" t="inlineStr">
        <is>
          <t>公司真实业务包括印制电路板研发、生产和销售，以及印制电路板表面贴装SMT和少量整机产品，既有PCB裸板又有后段贴装服务，两类环节需要区分，不能把SMT或整机收入全部视为裸板收入。iFinD二〇二五年PCB行业收入二十三点四三亿元，占营业收入百分之九十二点三八；分产品中PCB为二十一点八一亿元，SMT为一点〇二亿元，整机产品为零点五九亿元，其他业务占百分之七点六二。PCB及直接延伸服务构成主营重要收入，故定核心，但整机和未拆分其他业务保留混合边界。旧“PCB+SMT”含义基本正确，现按白名单拆为通用刚性板和PCB设计与SMT服务，避免简单沿用组合标签。</t>
        </is>
      </c>
      <c r="J69" s="4" t="inlineStr">
        <is>
          <t>骏亚科技：2025年年度报告</t>
        </is>
      </c>
      <c r="K69" s="4" t="inlineStr">
        <is>
          <t>2026-04-28</t>
        </is>
      </c>
      <c r="L69" s="5" t="inlineStr">
        <is>
          <t>iFinD ifind_get_stock_info + ifind_get_stock_business_segmentation (as of 2026-10-27)；骏亚科技：2025年年度报告</t>
        </is>
      </c>
      <c r="M69" s="6" t="inlineStr">
        <is>
          <t>https://money.finance.sina.com.cn/corp/view/vCB_AllBulletinDetail.php?stockid=603386&amp;id=12224304</t>
        </is>
      </c>
    </row>
    <row r="70" ht="104" customHeight="1">
      <c r="B70" s="7" t="inlineStr">
        <is>
          <t>603459</t>
        </is>
      </c>
      <c r="C70" s="7" t="inlineStr">
        <is>
          <t>红板科技</t>
        </is>
      </c>
      <c r="D70" s="8" t="inlineStr">
        <is>
          <t>PCB：PCB</t>
        </is>
      </c>
      <c r="E70" s="7" t="inlineStr">
        <is>
          <t>纠错</t>
        </is>
      </c>
      <c r="F70" s="7" t="inlineStr">
        <is>
          <t>PCB</t>
        </is>
      </c>
      <c r="G70" s="8" t="inlineStr">
        <is>
          <t>PCB-HDI与任意层互连、PCB-通用刚性板、PCB-FPC与刚挠结合、PCB-IC载板</t>
        </is>
      </c>
      <c r="H70" s="7" t="inlineStr">
        <is>
          <t>核心</t>
        </is>
      </c>
      <c r="I70" s="8" t="inlineStr">
        <is>
          <t>招股意向书披露公司专注印制电路板研发、生产和销售，真实产品覆盖HDI、刚性板、柔性板、刚柔结合板、类载板及IC载板。2025年总营收36.77016203亿元；HDI收入22.926418亿元，占主营收入66.84%、占总营收约62.35%；刚性板5.825371亿元，分别占16.98%和约15.84%；柔性板2.502866亿元，分别占7.30%和约6.81%；刚柔结合板2.189136亿元，分别占6.38%和约5.95%；其他业务2.469957亿元。初审漏列类载板收入7,614.05万元，即0.761405亿元，占主营收入2.22%、占总营收约2.0707%，现予补足。2025年IC载板收入栏为空，不能把类载板收入写成IC载板收入；现有PCB-IC载板标签因taxonomy明确包含类载板而保留。主营PCB规模及多类量产产品支持核心定级，维持核心。</t>
        </is>
      </c>
      <c r="J70" s="7" t="inlineStr">
        <is>
          <t>红板科技：首次公开发行股票并在主板上市招股意向书</t>
        </is>
      </c>
      <c r="K70" s="7" t="inlineStr">
        <is>
          <t>2026-03-19</t>
        </is>
      </c>
      <c r="L70" s="8" t="inlineStr">
        <is>
          <t>iFinD ifind_get_stock_info + ifind_get_stock_business_segmentation (as of 2026-10-27)；红板科技：首次公开发行股票并在主板上市招股意向书</t>
        </is>
      </c>
      <c r="M70" s="9" t="inlineStr">
        <is>
          <t>http://pdf.dfcfw.com/pdf/H2_AN202603181820626219_1.pdf</t>
        </is>
      </c>
    </row>
    <row r="71" ht="104" customHeight="1">
      <c r="B71" s="4" t="inlineStr">
        <is>
          <t>603678</t>
        </is>
      </c>
      <c r="C71" s="4" t="inlineStr">
        <is>
          <t>火炬电子</t>
        </is>
      </c>
      <c r="D71" s="5" t="inlineStr">
        <is>
          <t>PCB：MLCC</t>
        </is>
      </c>
      <c r="E71" s="4" t="inlineStr">
        <is>
          <t>摘除</t>
        </is>
      </c>
      <c r="F71" s="4" t="inlineStr">
        <is>
          <t>—</t>
        </is>
      </c>
      <c r="G71" s="5" t="inlineStr">
        <is>
          <t>—</t>
        </is>
      </c>
      <c r="H71" s="4" t="inlineStr">
        <is>
          <t>摘除</t>
        </is>
      </c>
      <c r="I71" s="5" t="inlineStr">
        <is>
          <t>公司真实自产元器件包括陶瓷电容器、钽电容器、超级电容器、微波芯片电容器、薄膜电路和滤波器等，年报将相关业务放在电子元器件及新材料体系内，没有披露PCB裸板、覆铜板或PCB专用材料设备收入。陶瓷电容器和MLCC是贴装于电路板的被动元件，薄膜电路也不等同印制电路板，不能因下游电子设备存在PCB就把公司产品归入PCB。iFinD二〇二五年贸易收入占百分之六十一点四三，自产元器件占百分之三十三点〇八，自产新材料占百分之四点九六，均不是PCB分部，混合贸易额更不能转成PCB收入。由此判定摘除；旧“MLCC”置于PCB类别是产品层级错标，应删除，而不是因元器件规模较大保留相关。</t>
        </is>
      </c>
      <c r="J71" s="4" t="inlineStr">
        <is>
          <t>火炬电子：2025年年度报告</t>
        </is>
      </c>
      <c r="K71" s="4" t="inlineStr">
        <is>
          <t>2026-03-31</t>
        </is>
      </c>
      <c r="L71" s="5" t="inlineStr">
        <is>
          <t>iFinD ifind_get_stock_info + ifind_get_stock_business_segmentation (as of 2026-10-27)；火炬电子：2025年年度报告</t>
        </is>
      </c>
      <c r="M71" s="6" t="inlineStr">
        <is>
          <t>https://money.finance.sina.com.cn/corp/view/vCB_AllBulletinDetail.php?stockid=603678&amp;id=12039732</t>
        </is>
      </c>
    </row>
    <row r="72" ht="104" customHeight="1">
      <c r="B72" s="7" t="inlineStr">
        <is>
          <t>603800</t>
        </is>
      </c>
      <c r="C72" s="7" t="inlineStr">
        <is>
          <t>洪田股份</t>
        </is>
      </c>
      <c r="D72" s="8" t="inlineStr">
        <is>
          <t>PCB：曝光</t>
        </is>
      </c>
      <c r="E72" s="7" t="inlineStr">
        <is>
          <t>纠错</t>
        </is>
      </c>
      <c r="F72" s="7" t="inlineStr">
        <is>
          <t>PCB</t>
        </is>
      </c>
      <c r="G72" s="8" t="inlineStr">
        <is>
          <t>PCB设备-曝光与成像</t>
        </is>
      </c>
      <c r="H72" s="7" t="inlineStr">
        <is>
          <t>相关</t>
        </is>
      </c>
      <c r="I72" s="8" t="inlineStr">
        <is>
          <t>年报明确列出HL-P12、HL-P8线路LDI等精密光学设备，其中HL-P12用于高阶HDI、FPC和SLP的线路曝光，HL-P8用于IC载板及MSAP工艺，并披露解析精度、对位和涨缩功能，证明PCB曝光设备是真实在售产品，不是仅凭光刻概念推测的潜在用途。iFinD二〇二五年电解铜箔设备收入五点七六亿元、约占总收入百分之五十三点三六，油气类商品锻件四点二九亿元、约占百分之三十九点八〇，LDI未单独披露收入，故不能把铜箔装备或全部专用设备收入算作PCB曝光收入。基于真实产品但规模与收入占比未拆分，定为相关。旧“曝光”理由却写电解铜箔设备，属于证据错配，现纠正为线路LDI。</t>
        </is>
      </c>
      <c r="J72" s="7" t="inlineStr">
        <is>
          <t>洪田股份：2025年年度报告</t>
        </is>
      </c>
      <c r="K72" s="7" t="inlineStr">
        <is>
          <t>2026-04-30</t>
        </is>
      </c>
      <c r="L72" s="8" t="inlineStr">
        <is>
          <t>iFinD ifind_get_stock_info + ifind_get_stock_business_segmentation (as of 2026-10-27)；洪田股份：2025年年度报告</t>
        </is>
      </c>
      <c r="M72" s="9" t="inlineStr">
        <is>
          <t>https://money.finance.sina.com.cn/corp/view/vCB_AllBulletinDetail.php?stockid=603800&amp;id=12283153</t>
        </is>
      </c>
    </row>
    <row r="73" ht="104" customHeight="1">
      <c r="B73" s="4" t="inlineStr">
        <is>
          <t>603936</t>
        </is>
      </c>
      <c r="C73" s="4" t="inlineStr">
        <is>
          <t>博敏电子</t>
        </is>
      </c>
      <c r="D73" s="5" t="inlineStr">
        <is>
          <t>PCB：AI服务器相关</t>
        </is>
      </c>
      <c r="E73" s="4" t="inlineStr">
        <is>
          <t>纠错</t>
        </is>
      </c>
      <c r="F73" s="4" t="inlineStr">
        <is>
          <t>PCB</t>
        </is>
      </c>
      <c r="G73" s="5" t="inlineStr">
        <is>
          <t>PCB-高多层与服务器板、PCB-HDI与任意层互连、PCB-FPC与刚挠结合、PCB-IC载板、PCB设计与SMT服务</t>
        </is>
      </c>
      <c r="H73" s="4" t="inlineStr">
        <is>
          <t>核心</t>
        </is>
      </c>
      <c r="I73" s="5" t="inlineStr">
        <is>
          <t>公司直接生产高精密印制电路板，真实产品包括HDI、高频高速板、多层板和刚挠结合板。年报进一步披露AI服务器与数据通信订单增长，服务器、交换机、加速卡和电源板核心客户订单提升，并实现400G、800G光模块PCB批量供货，因此服务器及高多层标签有实际经营依据。iFinD二〇二五年印制电路板收入二十六点九二亿元，占营业收入百分之七十四点五二，定制化电子器件解决方案占百分之十八点六〇，其他业务占百分之六点八八。只有印制电路板分部可直接计入PCB，定制模组与其他收入不得混入。核心定级明确；旧“AI服务器相关”和泛“PCB”现细化为高多层服务器板、HDI及刚挠结合，避免把整个公司都标记为AI专用板。</t>
        </is>
      </c>
      <c r="J73" s="4" t="inlineStr">
        <is>
          <t>博敏电子：2025年年度报告</t>
        </is>
      </c>
      <c r="K73" s="4" t="inlineStr">
        <is>
          <t>2026-04-28</t>
        </is>
      </c>
      <c r="L73" s="5" t="inlineStr">
        <is>
          <t>iFinD ifind_get_stock_info + ifind_get_stock_business_segmentation (as of 2026-10-27)；博敏电子：2025年年度报告</t>
        </is>
      </c>
      <c r="M73" s="6" t="inlineStr">
        <is>
          <t>https://money.finance.sina.com.cn/corp/view/vCB_AllBulletinDetail.php?stockid=603936&amp;id=12219319</t>
        </is>
      </c>
    </row>
    <row r="74" ht="104" customHeight="1">
      <c r="B74" s="7" t="inlineStr">
        <is>
          <t>605058</t>
        </is>
      </c>
      <c r="C74" s="7" t="inlineStr">
        <is>
          <t>澳弘电子</t>
        </is>
      </c>
      <c r="D74" s="8" t="inlineStr">
        <is>
          <t>PCB：PCB</t>
        </is>
      </c>
      <c r="E74" s="7" t="inlineStr">
        <is>
          <t>纠错</t>
        </is>
      </c>
      <c r="F74" s="7" t="inlineStr">
        <is>
          <t>PCB</t>
        </is>
      </c>
      <c r="G74" s="8" t="inlineStr">
        <is>
          <t>PCB-通用刚性板、PCB-HDI与任意层互连、PCB-高多层与服务器板</t>
        </is>
      </c>
      <c r="H74" s="7" t="inlineStr">
        <is>
          <t>核心</t>
        </is>
      </c>
      <c r="I74" s="8" t="inlineStr">
        <is>
          <t>公司真实主营是印制电路板研发、生产和销售，产品包括单面板、双面板、多层板与HDI板；年报明确HDI用于汽车电子、服务器电源、高速信号连接器和工控等领域，但并未把所有产品都认定为AI服务器板，故以通用刚性板为基本标签、HDI为补充。iFinD二〇二五年印制电路板行业收入十一点九六亿元，占营业收入百分之八十八点七三，其中双面板七点七四亿元、单面板四点二二亿元，其他业务占百分之十一点二七。PCB独立收入占绝对主体，符合核心定级；其他业务不得并入，服务器电源等应用也不能替代具体产品分类。旧“PCB”方向无误但过于笼统，现按真实板型纠正，未额外添加缺乏单独证据的IC载板或高多层服务器标签。</t>
        </is>
      </c>
      <c r="J74" s="7" t="inlineStr">
        <is>
          <t>澳弘电子：2025年年度报告</t>
        </is>
      </c>
      <c r="K74" s="7" t="inlineStr">
        <is>
          <t>2026-04-16</t>
        </is>
      </c>
      <c r="L74" s="8" t="inlineStr">
        <is>
          <t>iFinD ifind_get_stock_info + ifind_get_stock_business_segmentation (as of 2026-10-27)；澳弘电子：2025年年度报告</t>
        </is>
      </c>
      <c r="M74" s="9" t="inlineStr">
        <is>
          <t>https://money.finance.sina.com.cn/corp/view/vCB_AllBulletinDetail.php?stockid=605058&amp;id=12092770</t>
        </is>
      </c>
    </row>
    <row r="75" ht="104" customHeight="1">
      <c r="B75" s="4" t="inlineStr">
        <is>
          <t>605258</t>
        </is>
      </c>
      <c r="C75" s="4" t="inlineStr">
        <is>
          <t>协和电子</t>
        </is>
      </c>
      <c r="D75" s="5" t="inlineStr">
        <is>
          <t>PCB：PCB</t>
        </is>
      </c>
      <c r="E75" s="4" t="inlineStr">
        <is>
          <t>纠错</t>
        </is>
      </c>
      <c r="F75" s="4" t="inlineStr">
        <is>
          <t>PCB</t>
        </is>
      </c>
      <c r="G75" s="5" t="inlineStr">
        <is>
          <t>PCB-通用刚性板、PCB-FPC与刚挠结合、PCB设计与SMT服务</t>
        </is>
      </c>
      <c r="H75" s="4" t="inlineStr">
        <is>
          <t>核心</t>
        </is>
      </c>
      <c r="I75" s="5" t="inlineStr">
        <is>
          <t>公司真实产品是刚性和挠性印制电路板，年报分别定义刚性板、柔性板并披露汽车PCB、高频通讯PCB及表面贴装相关术语，主营仍指向PCB制造，而非仅以“计算机、通信和其他电子设备制造业”宽口径归类。iFinD二〇二五年印制电路板收入九点四〇亿元，占营业收入百分之九十六点〇〇，其他业务零点三九亿元、占百分之四，PCB主营重要性和规模均无歧义，因此列为核心。其他业务不并入PCB，SMT术语存在也不等于已形成独立贴装收入，故不额外添加SMT标签。旧“PCB”虽正确但缺少产品层级，现规范为通用刚性板并保留真实挠性板业务，避免把汽车或通信下游应用误写成独立PCB产品收入。</t>
        </is>
      </c>
      <c r="J75" s="4" t="inlineStr">
        <is>
          <t>协和电子：2025年年度报告</t>
        </is>
      </c>
      <c r="K75" s="4" t="inlineStr">
        <is>
          <t>2026-04-21</t>
        </is>
      </c>
      <c r="L75" s="5" t="inlineStr">
        <is>
          <t>iFinD ifind_get_stock_info + ifind_get_stock_business_segmentation (as of 2026-10-27)；协和电子：2025年年度报告</t>
        </is>
      </c>
      <c r="M75" s="6" t="inlineStr">
        <is>
          <t>https://money.finance.sina.com.cn/corp/view/vCB_AllBulletinDetail.php?stockid=605258&amp;id=12121827</t>
        </is>
      </c>
    </row>
    <row r="76" ht="104" customHeight="1">
      <c r="B76" s="7" t="inlineStr">
        <is>
          <t>605376</t>
        </is>
      </c>
      <c r="C76" s="7" t="inlineStr">
        <is>
          <t>博迁新材</t>
        </is>
      </c>
      <c r="D76" s="8" t="inlineStr">
        <is>
          <t>PCB：MLCC</t>
        </is>
      </c>
      <c r="E76" s="7" t="inlineStr">
        <is>
          <t>摘除</t>
        </is>
      </c>
      <c r="F76" s="7" t="inlineStr">
        <is>
          <t>—</t>
        </is>
      </c>
      <c r="G76" s="8" t="inlineStr">
        <is>
          <t>—</t>
        </is>
      </c>
      <c r="H76" s="7" t="inlineStr">
        <is>
          <t>摘除</t>
        </is>
      </c>
      <c r="I76" s="8" t="inlineStr">
        <is>
          <t>公司真实产品是纳米及亚微米镍粉、铜粉、银粉、银包铜粉和合金粉，年报明确镍粉、铜粉主要应用于MLCC生产，合金粉用于电感，银包铜粉用于光伏低银化，这些下游均不能自动转换为PCB。MLCC内部电极材料与印制电路板用铜箔、覆铜板填料是不同产品和技术环节，AI服务器使用高性能MLCC也不代表粉体进入PCB。iFinD二〇二五年金属粉体材料收入占百分之九十二点二四，其中镍粉八点六二亿元、约占总收入百分之七十四点八二，铜基产品和银粉亦未披露PCB用途，不能借混合粉体收入保留标签。因缺少真实PCB产品、客户或收入证据，判定摘除；旧“MLCC用金属粉体”放在PCB类别属于错标。</t>
        </is>
      </c>
      <c r="J76" s="7" t="inlineStr">
        <is>
          <t>博迁新材：2025年年度报告（更正后）</t>
        </is>
      </c>
      <c r="K76" s="7" t="inlineStr">
        <is>
          <t>2026-04-20</t>
        </is>
      </c>
      <c r="L76" s="8" t="inlineStr">
        <is>
          <t>iFinD ifind_get_stock_info + ifind_get_stock_business_segmentation (as of 2026-10-27)；博迁新材：2025年年度报告（更正后）</t>
        </is>
      </c>
      <c r="M76" s="9" t="inlineStr">
        <is>
          <t>https://money.finance.sina.com.cn/corp/view/vCB_AllBulletinDetail.php?stockid=605376&amp;id=12115441</t>
        </is>
      </c>
    </row>
    <row r="77" ht="104" customHeight="1">
      <c r="B77" s="4" t="inlineStr">
        <is>
          <t>605589</t>
        </is>
      </c>
      <c r="C77" s="4" t="inlineStr">
        <is>
          <t>圣泉集团</t>
        </is>
      </c>
      <c r="D77" s="5" t="inlineStr">
        <is>
          <t>PCB：环氧树脂</t>
        </is>
      </c>
      <c r="E77" s="4" t="inlineStr">
        <is>
          <t>纠错</t>
        </is>
      </c>
      <c r="F77" s="4" t="inlineStr">
        <is>
          <t>PCB</t>
        </is>
      </c>
      <c r="G77" s="5" t="inlineStr">
        <is>
          <t>树脂-环氧与碳氢</t>
        </is>
      </c>
      <c r="H77" s="4" t="inlineStr">
        <is>
          <t>相关</t>
        </is>
      </c>
      <c r="I77" s="5" t="inlineStr">
        <is>
          <t>公司真实电子材料包括高频高速覆铜板用PPO、OPE、碳氢树脂及特种环氧等，年报明确这些产品用于服务器、高速通信和AI算力设备的覆铜板体系，具有真实PCB上游材料属性，不是把全部酚醛或呋喃树脂泛化为PCB。iFinD二〇二五年先进电子材料和电池材料收入十六点六〇亿元，约占总收入百分之十五点一八，合成树脂类收入五十六点六一亿元；前者还混合半导体封装、光刻胶、光学及电池材料，后者还含铸造等广泛用途，两个口径均不能全算PCB。PCB树脂已有产业化和收入基础但缺少独立拆分，故列相关而非核心。旧“环氧树脂”和“碳氢树脂M9”统一纠正为树脂-环氧与碳氢，并保留混合下游边界。</t>
        </is>
      </c>
      <c r="J77" s="4" t="inlineStr">
        <is>
          <t>圣泉集团：2025年年度报告</t>
        </is>
      </c>
      <c r="K77" s="4" t="inlineStr">
        <is>
          <t>2026-04-25</t>
        </is>
      </c>
      <c r="L77" s="5" t="inlineStr">
        <is>
          <t>iFinD ifind_get_stock_info + ifind_get_stock_business_segmentation (as of 2026-10-27)；圣泉集团：2025年年度报告</t>
        </is>
      </c>
      <c r="M77" s="6" t="inlineStr">
        <is>
          <t>https://money.finance.sina.com.cn/corp/view/vCB_AllBulletinDetail.php?stockid=605589&amp;id=12189564</t>
        </is>
      </c>
    </row>
    <row r="78" ht="104" customHeight="1">
      <c r="B78" s="7" t="inlineStr">
        <is>
          <t>688003</t>
        </is>
      </c>
      <c r="C78" s="7" t="inlineStr">
        <is>
          <t>天准科技</t>
        </is>
      </c>
      <c r="D78" s="8" t="inlineStr">
        <is>
          <t>PCB：曝光</t>
        </is>
      </c>
      <c r="E78" s="7" t="inlineStr">
        <is>
          <t>纠错</t>
        </is>
      </c>
      <c r="F78" s="7" t="inlineStr">
        <is>
          <t>PCB</t>
        </is>
      </c>
      <c r="G78" s="8" t="inlineStr">
        <is>
          <t>PCB设备-曝光与成像、PCB设备-钻孔与激光加工、PCB设备-检测与测试</t>
        </is>
      </c>
      <c r="H78" s="7" t="inlineStr">
        <is>
          <t>相关</t>
        </is>
      </c>
      <c r="I78" s="8" t="inlineStr">
        <is>
          <t>公司年报明确视觉制程装备包括LDI激光直接成像设备和CO2激光钻孔设备，应用于PCB领域；LDI用于曝光工序，报告期视觉制程装备销量增长也明确受PCB领域LDI产品增加带动，属于真实销售产品。另有PCB激光钻孔研发项目，但不能把研发规模当作收入。iFinD二〇二五年视觉制程装备收入五点三四亿元、约占总收入百分之二十九点八二，其中还包含新汽车等智能装备；视觉检测十点七八亿元又覆盖半导体、电子等多类场景，PCB收入未单独拆分，故定为相关而非核心。半导体前道量检测、其他视觉和机器人业务均不得并入PCB。旧“曝光”保留并补充真实钻孔设备，旧“贴片”理由无依据应删除。</t>
        </is>
      </c>
      <c r="J78" s="7" t="inlineStr">
        <is>
          <t>天准科技：2025年年度报告</t>
        </is>
      </c>
      <c r="K78" s="7" t="inlineStr">
        <is>
          <t>2026-04-25</t>
        </is>
      </c>
      <c r="L78" s="8" t="inlineStr">
        <is>
          <t>iFinD ifind_get_stock_info + ifind_get_stock_business_segmentation (as of 2026-10-27)；天准科技：2025年年度报告</t>
        </is>
      </c>
      <c r="M78" s="9" t="inlineStr">
        <is>
          <t>https://money.finance.sina.com.cn/corp/view/vCB_AllBulletinDetail.php?stockid=688003&amp;id=12197277</t>
        </is>
      </c>
    </row>
    <row r="79" ht="104" customHeight="1">
      <c r="B79" s="4" t="inlineStr">
        <is>
          <t>688170</t>
        </is>
      </c>
      <c r="C79" s="4" t="inlineStr">
        <is>
          <t>德龙激光</t>
        </is>
      </c>
      <c r="D79" s="5" t="inlineStr">
        <is>
          <t>PCB：钻孔</t>
        </is>
      </c>
      <c r="E79" s="4" t="inlineStr">
        <is>
          <t>纠错</t>
        </is>
      </c>
      <c r="F79" s="4" t="inlineStr">
        <is>
          <t>PCB</t>
        </is>
      </c>
      <c r="G79" s="5" t="inlineStr">
        <is>
          <t>PCB设备-钻孔与激光加工</t>
        </is>
      </c>
      <c r="H79" s="4" t="inlineStr">
        <is>
          <t>相关</t>
        </is>
      </c>
      <c r="I79" s="5" t="inlineStr">
        <is>
          <t>公司年报披露面向PCB与FPC的激光加工体系，真实方案包括多层板和高频高速板切割分板、微盲孔及通孔钻孔、FPC外形切割和覆盖膜开窗，可用于AI服务器HDI、光模块和IC载板等场景，属于具体PCB激光加工设备而非泛激光概念。iFinD二〇二五年精密激光加工设备收入五点七七亿元、约占总收入百分之七十三点二六，激光器、加工服务和维修另有收入；精密设备同时覆盖半导体、显示、新能源等多个下游，PCB设备收入未单独披露，不能把五点七七亿元全部归入PCB。基于真实产品方案但混合下游且占比不明，由旧核心下调为相关。旧“钻孔”方向保留并规范为PCB设备-钻孔与激光加工，不延伸到曝光或整线设备。</t>
        </is>
      </c>
      <c r="J79" s="4" t="inlineStr">
        <is>
          <t>德龙激光：2025年年度报告</t>
        </is>
      </c>
      <c r="K79" s="4" t="inlineStr">
        <is>
          <t>2026-04-28</t>
        </is>
      </c>
      <c r="L79" s="5" t="inlineStr">
        <is>
          <t>iFinD ifind_get_stock_info + ifind_get_stock_business_segmentation (as of 2026-10-27)；德龙激光：2025年年度报告</t>
        </is>
      </c>
      <c r="M79" s="6" t="inlineStr">
        <is>
          <t>https://money.finance.sina.com.cn/corp/view/vCB_AllBulletinDetail.php?stockid=688170&amp;id=12229182</t>
        </is>
      </c>
    </row>
    <row r="80" ht="104" customHeight="1">
      <c r="B80" s="7" t="inlineStr">
        <is>
          <t>688183</t>
        </is>
      </c>
      <c r="C80" s="7" t="inlineStr">
        <is>
          <t>生益电子</t>
        </is>
      </c>
      <c r="D80" s="8" t="inlineStr">
        <is>
          <t>PCB：AI服务器相关</t>
        </is>
      </c>
      <c r="E80" s="7" t="inlineStr">
        <is>
          <t>纠错</t>
        </is>
      </c>
      <c r="F80" s="7" t="inlineStr">
        <is>
          <t>PCB</t>
        </is>
      </c>
      <c r="G80" s="8" t="inlineStr">
        <is>
          <t>PCB-高多层与服务器板、PCB-HDI与任意层互连、PCB-FPC与刚挠结合</t>
        </is>
      </c>
      <c r="H80" s="7" t="inlineStr">
        <is>
          <t>核心</t>
        </is>
      </c>
      <c r="I80" s="8" t="inlineStr">
        <is>
          <t>公司真实主营为各类印制电路板研发、生产和销售，年报披露与国内外多家头部AI服务器企业合作，并明确二〇二五年服务器产品销售收入占比达到百分之六十以上，AI服务器产品成为业绩增长核心引擎，证据不仅是行业需求或概念映射。iFinD二〇二五年印制电路板收入九十一点四五亿元，占营业收入百分之九十六点三三，其他业务占百分之三点六七，直接PCB收入规模巨大且占绝对主体，核心定级充分。其他业务不能并入，服务器占比也不等于全部PCB均为AI服务器，仍需保留通信、汽车等混合下游边界。旧“AI服务器相关”现纠正为高多层与服务器板，旧“AWS”若无公司正式披露客户依据不沿用，避免虚构单一客户标签。</t>
        </is>
      </c>
      <c r="J80" s="7" t="inlineStr">
        <is>
          <t>生益电子：2025年年度报告</t>
        </is>
      </c>
      <c r="K80" s="7" t="inlineStr">
        <is>
          <t>2026-04-24</t>
        </is>
      </c>
      <c r="L80" s="8" t="inlineStr">
        <is>
          <t>iFinD ifind_get_stock_info + ifind_get_stock_business_segmentation (as of 2026-10-27)；生益电子：2025年年度报告</t>
        </is>
      </c>
      <c r="M80" s="9" t="inlineStr">
        <is>
          <t>https://money.finance.sina.com.cn/corp/view/vCB_AllBulletinDetail.php?stockid=688183&amp;id=12166656</t>
        </is>
      </c>
    </row>
    <row r="81" ht="104" customHeight="1">
      <c r="B81" s="4" t="inlineStr">
        <is>
          <t>688260</t>
        </is>
      </c>
      <c r="C81" s="4" t="inlineStr">
        <is>
          <t>昀冢科技</t>
        </is>
      </c>
      <c r="D81" s="5" t="inlineStr">
        <is>
          <t>PCB：MLCC</t>
        </is>
      </c>
      <c r="E81" s="4" t="inlineStr">
        <is>
          <t>摘除</t>
        </is>
      </c>
      <c r="F81" s="4" t="inlineStr">
        <is>
          <t>—</t>
        </is>
      </c>
      <c r="G81" s="5" t="inlineStr">
        <is>
          <t>—</t>
        </is>
      </c>
      <c r="H81" s="4" t="inlineStr">
        <is>
          <t>摘除</t>
        </is>
      </c>
      <c r="I81" s="5" t="inlineStr">
        <is>
          <t>公司真实业务包括手机光学精密零部件、汽车电子、电子陶瓷和引线框架等；年报明确电子陶瓷方向包含MLCC及DPC，MLCC即片式多层陶瓷电容器，产能规模较小且尚未盈利。陶瓷电容器、陶瓷热沉或DPC陶瓷基板均不等于印制电路板，SMT定义中出现印刷电路板也只是说明元器件贴装工艺，不能构成PCB产品证据。iFinD二〇二五年电子陶瓷器件收入一点六五亿元、约占总收入百分之二十九点三二，但该口径混合MLCC和其他陶瓷产品，不能转成PCB收入，精密零部件等其余收入同样无PCB归属。因缺少真实PCB产品或供货证据，判定摘除；旧“MLCC”及“消费电子精密件”放在PCB类别均属错标。</t>
        </is>
      </c>
      <c r="J81" s="4" t="inlineStr">
        <is>
          <t>昀冢科技：2025年年度报告</t>
        </is>
      </c>
      <c r="K81" s="4" t="inlineStr">
        <is>
          <t>2026-04-22</t>
        </is>
      </c>
      <c r="L81" s="5" t="inlineStr">
        <is>
          <t>iFinD ifind_get_stock_info + ifind_get_stock_business_segmentation (as of 2026-10-27)；昀冢科技：2025年年度报告</t>
        </is>
      </c>
      <c r="M81" s="6" t="inlineStr">
        <is>
          <t>https://money.finance.sina.com.cn/corp/view/vCB_AllBulletinDetail.php?stockid=688260&amp;id=12132027</t>
        </is>
      </c>
    </row>
    <row r="82" ht="104" customHeight="1">
      <c r="B82" s="7" t="inlineStr">
        <is>
          <t>688300</t>
        </is>
      </c>
      <c r="C82" s="7" t="inlineStr">
        <is>
          <t>联瑞新材</t>
        </is>
      </c>
      <c r="D82" s="8" t="inlineStr">
        <is>
          <t>PCB：硅微粉</t>
        </is>
      </c>
      <c r="E82" s="7" t="inlineStr">
        <is>
          <t>纠错</t>
        </is>
      </c>
      <c r="F82" s="7" t="inlineStr">
        <is>
          <t>PCB</t>
        </is>
      </c>
      <c r="G82" s="8" t="inlineStr">
        <is>
          <t>填料-硅微粉与功能粉体</t>
        </is>
      </c>
      <c r="H82" s="7" t="inlineStr">
        <is>
          <t>相关</t>
        </is>
      </c>
      <c r="I82" s="8" t="inlineStr">
        <is>
          <t>公司真实产品是角形和球形二氧化硅等无机功能粉体，年报明确球形二氧化硅用于高性能覆铜板、高频高速、HDI和IC载板填料，并披露二〇二五年销往高性能覆铜板领域的相关产品营收占比上升，具备真实PCB上游应用而非潜在用途。iFinD二〇二五年先进无机非金属材料收入十一点一四亿元，占营业收入百分之九十九点八八，其中球形无机粉体六点五二亿元、角形无机粉体二点六一亿元；这些产品还用于芯片封装、导热及其他领域，PCB收入没有独立拆分，不能把全部粉体收入归入PCB。因此定为相关而非核心。旧“硅微粉”规范为填料-硅微粉与功能粉体，并明确与半导体封装材料的混合边界。</t>
        </is>
      </c>
      <c r="J82" s="7" t="inlineStr">
        <is>
          <t>联瑞新材：2025年年度报告</t>
        </is>
      </c>
      <c r="K82" s="7" t="inlineStr">
        <is>
          <t>2026-04-22</t>
        </is>
      </c>
      <c r="L82" s="8" t="inlineStr">
        <is>
          <t>iFinD ifind_get_stock_info + ifind_get_stock_business_segmentation (as of 2026-10-27)；联瑞新材：2025年年度报告</t>
        </is>
      </c>
      <c r="M82" s="9" t="inlineStr">
        <is>
          <t>https://money.finance.sina.com.cn/corp/view/vCB_AllBulletinDetail.php?stockid=688300&amp;id=12132109</t>
        </is>
      </c>
    </row>
    <row r="83" ht="104" customHeight="1">
      <c r="B83" s="4" t="inlineStr">
        <is>
          <t>688312</t>
        </is>
      </c>
      <c r="C83" s="4" t="inlineStr">
        <is>
          <t>燕麦科技</t>
        </is>
      </c>
      <c r="D83" s="5" t="inlineStr">
        <is>
          <t>PCB：检测</t>
        </is>
      </c>
      <c r="E83" s="4" t="inlineStr">
        <is>
          <t>纠错</t>
        </is>
      </c>
      <c r="F83" s="4" t="inlineStr">
        <is>
          <t>PCB</t>
        </is>
      </c>
      <c r="G83" s="5" t="inlineStr">
        <is>
          <t>PCB设备-检测与测试</t>
        </is>
      </c>
      <c r="H83" s="4" t="inlineStr">
        <is>
          <t>核心</t>
        </is>
      </c>
      <c r="I83" s="5" t="inlineStr">
        <is>
          <t>公司真实业务从FPC和FPCA测试起步，产品包括测试治具、多工序测试设备、自动化测试系统和智能视觉检测设备；年报明确视觉设备用于FPC及FPCA外观缺陷检测，客户覆盖全球前十大FPC企业中的八家，证明与柔性印制电路板是持续、规模化的直接业务关系。iFinD二〇二五年专用设备制造收入六点一七亿元，占营业收入百分之九十九点七九，其中自动化测试设备四点六八亿元、测试治具零点七〇亿元，其余为配件及其他。尽管测试设备正向通信、汽车、医疗等场景拓展，FPC测试仍是核心产品基础，故列核心；但不能把全部设备机械理解为裸板AOI。旧“检测”现规范为PCB设备-检测与测试，并明确FPC、FPCA测试边界。</t>
        </is>
      </c>
      <c r="J83" s="4" t="inlineStr">
        <is>
          <t>燕麦科技：2025年年度报告</t>
        </is>
      </c>
      <c r="K83" s="4" t="inlineStr">
        <is>
          <t>2026-04-11</t>
        </is>
      </c>
      <c r="L83" s="5" t="inlineStr">
        <is>
          <t>iFinD ifind_get_stock_info + ifind_get_stock_business_segmentation (as of 2026-10-27)；燕麦科技：2025年年度报告</t>
        </is>
      </c>
      <c r="M83" s="6" t="inlineStr">
        <is>
          <t>https://money.finance.sina.com.cn/corp/view/vCB_AllBulletinDetail.php?stockid=688312&amp;id=12081527</t>
        </is>
      </c>
    </row>
    <row r="84" ht="104" customHeight="1">
      <c r="B84" s="7" t="inlineStr">
        <is>
          <t>688359</t>
        </is>
      </c>
      <c r="C84" s="7" t="inlineStr">
        <is>
          <t>三孚新科</t>
        </is>
      </c>
      <c r="D84" s="8" t="inlineStr">
        <is>
          <t>PCB：化学品</t>
        </is>
      </c>
      <c r="E84" s="7" t="inlineStr">
        <is>
          <t>纠错</t>
        </is>
      </c>
      <c r="F84" s="7" t="inlineStr">
        <is>
          <t>PCB</t>
        </is>
      </c>
      <c r="G84" s="8" t="inlineStr">
        <is>
          <t>PCB化学品-电镀与湿制程、PCB设备-电镀</t>
        </is>
      </c>
      <c r="H84" s="7" t="inlineStr">
        <is>
          <t>核心</t>
        </is>
      </c>
      <c r="I84" s="8" t="inlineStr">
        <is>
          <t>公司真实产品是表面工程电子化学品、通用电镀化学品和专用设备，年报明确其研究PCB制造表面金属化工艺，并可向PCB客户提供专用化学品及设备整体方案，属于湿制程和电镀环节，不是把普通五金电镀全部归入PCB。iFinD二〇二五年印刷电路板下游收入二点八一亿元，占营业收入百分之六十一点三五；五金卫浴、电子元器件、电子通讯、汽车零部件和新能源等合计构成其余混合下游，均不能纳入PCB收入。PCB下游已经形成独立且占主体的收入，核心定级有直接依据。旧“化学品”和“电镀”合并规范为PCB化学品-电镀与湿制程；设备虽有协同，但未单列PCB设备收入，本次不额外扩大标签。</t>
        </is>
      </c>
      <c r="J84" s="7" t="inlineStr">
        <is>
          <t>三孚新科：2025年年度报告（修订版）</t>
        </is>
      </c>
      <c r="K84" s="7" t="inlineStr">
        <is>
          <t>2026-06-10</t>
        </is>
      </c>
      <c r="L84" s="8" t="inlineStr">
        <is>
          <t>iFinD ifind_get_stock_info + ifind_get_stock_business_segmentation (as of 2026-10-27)；三孚新科：2025年年度报告（修订版）</t>
        </is>
      </c>
      <c r="M84" s="9" t="inlineStr">
        <is>
          <t>https://money.finance.sina.com.cn/corp/view/vCB_AllBulletinDetail.php?stockid=688359&amp;id=12383591</t>
        </is>
      </c>
    </row>
    <row r="85" ht="104" customHeight="1">
      <c r="B85" s="4" t="inlineStr">
        <is>
          <t>688388</t>
        </is>
      </c>
      <c r="C85" s="4" t="inlineStr">
        <is>
          <t>嘉元科技</t>
        </is>
      </c>
      <c r="D85" s="5" t="inlineStr">
        <is>
          <t>PCB：HVLP</t>
        </is>
      </c>
      <c r="E85" s="4" t="inlineStr">
        <is>
          <t>纠错</t>
        </is>
      </c>
      <c r="F85" s="4" t="inlineStr">
        <is>
          <t>PCB</t>
        </is>
      </c>
      <c r="G85" s="5" t="inlineStr">
        <is>
          <t>铜箔-通用PCB、铜箔-HVLP与高频高速</t>
        </is>
      </c>
      <c r="H85" s="4" t="inlineStr">
        <is>
          <t>相关</t>
        </is>
      </c>
      <c r="I85" s="5" t="inlineStr">
        <is>
          <t>公司真实铜箔同时覆盖锂电和电子电路两条线，年报将标准铜箔明确界定为PCB用电解铜箔，并列出HVLP一至四代、RTF及HTE产品，应用包括高速PCB、AI服务器、交换机和覆铜板，不能因锂电规模大就否定真实PCB业务，也不能把全部铜箔收入算作PCB。iFinD二〇二五年锂电铜箔收入八十三点二〇亿元、约占总收入百分之八十六点二八，标准铜箔仅三点四〇亿元、约占百分之三点五三，其他收入占百分之十点一九。标准铜箔已有独立收入但占比较低，HVLP具体收入未单列，因此定为相关而非核心。旧“HVLP”单独保留会遗漏通用PCB铜箔并混淆锂电边界，现拆为通用PCB与高频高速两类。</t>
        </is>
      </c>
      <c r="J85" s="4" t="inlineStr">
        <is>
          <t>嘉元科技：2025年年度报告</t>
        </is>
      </c>
      <c r="K85" s="4" t="inlineStr">
        <is>
          <t>2026-04-21</t>
        </is>
      </c>
      <c r="L85" s="5" t="inlineStr">
        <is>
          <t>iFinD ifind_get_stock_info + ifind_get_stock_business_segmentation (as of 2026-10-27)；嘉元科技：2025年年度报告</t>
        </is>
      </c>
      <c r="M85" s="6" t="inlineStr">
        <is>
          <t>https://money.finance.sina.com.cn/corp/view/vCB_AllBulletinDetail.php?stockid=688388&amp;id=12118652</t>
        </is>
      </c>
    </row>
    <row r="86" ht="104" customHeight="1">
      <c r="B86" s="7" t="inlineStr">
        <is>
          <t>688519</t>
        </is>
      </c>
      <c r="C86" s="7" t="inlineStr">
        <is>
          <t>南亚新材</t>
        </is>
      </c>
      <c r="D86" s="8" t="inlineStr">
        <is>
          <t>PCB：覆铜板</t>
        </is>
      </c>
      <c r="E86" s="7" t="inlineStr">
        <is>
          <t>纠错</t>
        </is>
      </c>
      <c r="F86" s="7" t="inlineStr">
        <is>
          <t>PCB</t>
        </is>
      </c>
      <c r="G86" s="8" t="inlineStr">
        <is>
          <t>覆铜板与粘结片</t>
        </is>
      </c>
      <c r="H86" s="7" t="inlineStr">
        <is>
          <t>核心</t>
        </is>
      </c>
      <c r="I86" s="8" t="inlineStr">
        <is>
          <t>公司真实主营为电子电路基材设计、研发、生产和销售，产品包括普通及无卤FR-4、高频高速覆铜板、车用板、HDI及IC封装基材和粘结片。年报明确覆铜板用于制作印制电路板，粘结片是多层板生产材料，处于PCB直接上游，而不是终端元件或泛电子材料。iFinD二〇二五年电子专用材料收入五十一点二七亿元，占营业收入百分之九十八点〇七，其中覆铜板四十点五五亿元、约占百分之七十七点五六，粘结片十点七二亿元、约占百分之二十点五一，其他业务占百分之一点九三。两类产品均为独立规模收入，核心定级明确；其他业务不得混入。旧“覆铜板”和“CCL”同义重复，现统一为覆铜板与粘结片，避免重复贴标。</t>
        </is>
      </c>
      <c r="J86" s="7" t="inlineStr">
        <is>
          <t>南亚新材：2025年年度报告</t>
        </is>
      </c>
      <c r="K86" s="7" t="inlineStr">
        <is>
          <t>2026-03-26</t>
        </is>
      </c>
      <c r="L86" s="8" t="inlineStr">
        <is>
          <t>iFinD ifind_get_stock_info + ifind_get_stock_business_segmentation (as of 2026-10-27)；南亚新材：2025年年度报告</t>
        </is>
      </c>
      <c r="M86" s="9" t="inlineStr">
        <is>
          <t>https://money.finance.sina.com.cn/corp/view/vCB_AllBulletinDetail.php?stockid=688519&amp;id=12017881</t>
        </is>
      </c>
    </row>
    <row r="87" ht="104" customHeight="1">
      <c r="B87" s="4" t="inlineStr">
        <is>
          <t>688603</t>
        </is>
      </c>
      <c r="C87" s="4" t="inlineStr">
        <is>
          <t>天承科技</t>
        </is>
      </c>
      <c r="D87" s="5" t="inlineStr">
        <is>
          <t>PCB：化学品</t>
        </is>
      </c>
      <c r="E87" s="4" t="inlineStr">
        <is>
          <t>纠错</t>
        </is>
      </c>
      <c r="F87" s="4" t="inlineStr">
        <is>
          <t>PCB</t>
        </is>
      </c>
      <c r="G87" s="5" t="inlineStr">
        <is>
          <t>PCB化学品-电镀与湿制程</t>
        </is>
      </c>
      <c r="H87" s="4" t="inlineStr">
        <is>
          <t>核心</t>
        </is>
      </c>
      <c r="I87" s="5" t="inlineStr">
        <is>
          <t>公司真实产品是电子电路功能性湿电子化学品，主要包括沉铜电镀专用化学品和铜面处理专用化学品，直接服务PCB沉铜、电镀及表面处理制程，不是将半导体、通用化工或所有电子化学品混合计入。iFinD二〇二五年电子电路收入四点六四亿元，占营业收入百分之九十八点六〇，其中沉铜电镀专用化学品四点一三亿元、约占总收入百分之八十七点六八，铜面处理专用化学品零点三三亿元，其他业务占百分之一点四〇。主营产品、应用场景和独立收入高度一致，核心定级充分。少量其他产品及其他业务不纳入PCB口径。旧“化学品”虽方向正确但范围过宽，现纠正为PCB化学品-电镀与湿制程，不额外虚构曝光、检测或设备标签。</t>
        </is>
      </c>
      <c r="J87" s="4" t="inlineStr">
        <is>
          <t>天承科技：2025年年度报告</t>
        </is>
      </c>
      <c r="K87" s="4" t="inlineStr">
        <is>
          <t>2026-04-28</t>
        </is>
      </c>
      <c r="L87" s="5" t="inlineStr">
        <is>
          <t>iFinD ifind_get_stock_info + ifind_get_stock_business_segmentation (as of 2026-10-27)；天承科技：2025年年度报告</t>
        </is>
      </c>
      <c r="M87" s="6" t="inlineStr">
        <is>
          <t>https://money.finance.sina.com.cn/corp/view/vCB_AllBulletinDetail.php?stockid=688603&amp;id=12214747</t>
        </is>
      </c>
    </row>
    <row r="88" ht="104" customHeight="1">
      <c r="B88" s="7" t="inlineStr">
        <is>
          <t>688630</t>
        </is>
      </c>
      <c r="C88" s="7" t="inlineStr">
        <is>
          <t>芯碁微装</t>
        </is>
      </c>
      <c r="D88" s="8" t="inlineStr">
        <is>
          <t>PCB：曝光</t>
        </is>
      </c>
      <c r="E88" s="7" t="inlineStr">
        <is>
          <t>纠错</t>
        </is>
      </c>
      <c r="F88" s="7" t="inlineStr">
        <is>
          <t>PCB</t>
        </is>
      </c>
      <c r="G88" s="8" t="inlineStr">
        <is>
          <t>PCB设备-曝光与成像</t>
        </is>
      </c>
      <c r="H88" s="7" t="inlineStr">
        <is>
          <t>核心</t>
        </is>
      </c>
      <c r="I88" s="8" t="inlineStr">
        <is>
          <t>公司以微纳直写光刻为技术核心，真实PCB产品是直接成像和高端线路设备，用于PCB线路曝光成像；同时另有泛半导体直写光刻设备，两者应分开，不应把半导体设备收入或晶圆先进制程概念并入PCB。iFinD二〇二五年PCB系列收入十点八〇亿元，占营业收入百分之七十六点六九，泛半导体系列二点三三亿元、占百分之十六点五八，维护租赁及其他构成剩余收入。PCB系列已经独立披露并占绝对主体，因此由旧相关上调为核心，而非仅凭光刻机题材判断。维护租赁和泛半导体收入不得混入PCB。旧“曝光”现规范为PCB设备-曝光与成像，并保留PCB与泛半导体的清晰收入边界。</t>
        </is>
      </c>
      <c r="J88" s="7" t="inlineStr">
        <is>
          <t>芯碁微装：2025年年度报告</t>
        </is>
      </c>
      <c r="K88" s="7" t="inlineStr">
        <is>
          <t>2026-03-14</t>
        </is>
      </c>
      <c r="L88" s="8" t="inlineStr">
        <is>
          <t>iFinD ifind_get_stock_info + ifind_get_stock_business_segmentation (as of 2026-10-27)；芯碁微装：2025年年度报告</t>
        </is>
      </c>
      <c r="M88" s="9" t="inlineStr">
        <is>
          <t>https://money.finance.sina.com.cn/corp/view/vCB_AllBulletinDetail.php?stockid=688630&amp;id=11993950</t>
        </is>
      </c>
    </row>
    <row r="89" ht="104" customHeight="1">
      <c r="B89" s="4" t="inlineStr">
        <is>
          <t>688655</t>
        </is>
      </c>
      <c r="C89" s="4" t="inlineStr">
        <is>
          <t>迅捷兴</t>
        </is>
      </c>
      <c r="D89" s="5" t="inlineStr">
        <is>
          <t>PCB：PCB</t>
        </is>
      </c>
      <c r="E89" s="4" t="inlineStr">
        <is>
          <t>纠错</t>
        </is>
      </c>
      <c r="F89" s="4" t="inlineStr">
        <is>
          <t>PCB</t>
        </is>
      </c>
      <c r="G89" s="5" t="inlineStr">
        <is>
          <t>PCB-通用刚性板、PCB-HDI与任意层互连、PCB-FPC与刚挠结合、PCB-高多层与服务器板</t>
        </is>
      </c>
      <c r="H89" s="4" t="inlineStr">
        <is>
          <t>核心</t>
        </is>
      </c>
      <c r="I89" s="5" t="inlineStr">
        <is>
          <t>公司直接从事印制电路板研发、生产和销售，真实产品包括刚性板、HDI、高频高速板、厚铜板、金属基板、挠性板和刚挠结合板，产品分类均有年报释义及主营业务支撑，不是依赖CPO、5G等终端概念反推PCB。iFinD二〇二五年印制电路板收入六点四五亿元，占营业收入百分之九十三点五四，其他业务零点四五亿元、占百分之六点四六，PCB独立收入占绝对主体，故定核心。其他业务不得并入，高频高速或通信应用也不等于全部产品都是AI服务器板，故不添加缺乏单独依据的服务器标签。旧“PCB”过于笼统，现按真实板型规范为通用刚性板、HDI和FPC与刚挠结合，保留产品之间及下游应用的边界。</t>
        </is>
      </c>
      <c r="J89" s="4" t="inlineStr">
        <is>
          <t>迅捷兴：2025年年度报告</t>
        </is>
      </c>
      <c r="K89" s="4" t="inlineStr">
        <is>
          <t>2026-03-28</t>
        </is>
      </c>
      <c r="L89" s="5" t="inlineStr">
        <is>
          <t>iFinD ifind_get_stock_info + ifind_get_stock_business_segmentation (as of 2026-10-27)；迅捷兴：2025年年度报告</t>
        </is>
      </c>
      <c r="M89" s="6" t="inlineStr">
        <is>
          <t>https://money.finance.sina.com.cn/corp/view/vCB_AllBulletinDetail.php?stockid=688655&amp;id=12030435</t>
        </is>
      </c>
    </row>
    <row r="90" ht="104" customHeight="1">
      <c r="B90" s="7" t="inlineStr">
        <is>
          <t>688700</t>
        </is>
      </c>
      <c r="C90" s="7" t="inlineStr">
        <is>
          <t>东威科技</t>
        </is>
      </c>
      <c r="D90" s="8" t="inlineStr">
        <is>
          <t>PCB：电镀</t>
        </is>
      </c>
      <c r="E90" s="7" t="inlineStr">
        <is>
          <t>纠错</t>
        </is>
      </c>
      <c r="F90" s="7" t="inlineStr">
        <is>
          <t>PCB</t>
        </is>
      </c>
      <c r="G90" s="8" t="inlineStr">
        <is>
          <t>PCB设备-电镀</t>
        </is>
      </c>
      <c r="H90" s="7" t="inlineStr">
        <is>
          <t>核心</t>
        </is>
      </c>
      <c r="I90" s="8" t="inlineStr">
        <is>
          <t>公司真实产品是高端精密电镀设备，其中垂直连续电镀设备用于PCB镀铜，并覆盖刚性板、柔性板、HDI和封装基板等工艺；年报同时列出五金、新能源及光伏设备，说明不能把全部电镀设备收入简单归入PCB。iFinD二〇二五年高端印制电路电镀领域专用设备收入八点二二亿元，占营业收入百分之七十四点八五，通用五金设备占百分之十四点一一，新能源设备占百分之二点七二，其他及少量其他业务构成剩余口径。PCB专用设备已形成独立且占主体的规模收入，核心定级明确，新能源复合铜箔设备不得混入。旧“电镀”现规范为PCB设备-电镀，旧把复合铜箔延伸与PCB主业混写的理由予以纠正。</t>
        </is>
      </c>
      <c r="J90" s="7" t="inlineStr">
        <is>
          <t>东威科技：2025年年度报告</t>
        </is>
      </c>
      <c r="K90" s="7" t="inlineStr">
        <is>
          <t>2026-04-28</t>
        </is>
      </c>
      <c r="L90" s="8" t="inlineStr">
        <is>
          <t>iFinD ifind_get_stock_info + ifind_get_stock_business_segmentation (as of 2026-10-27)；东威科技：2025年年度报告</t>
        </is>
      </c>
      <c r="M90" s="9" t="inlineStr">
        <is>
          <t>https://money.finance.sina.com.cn/corp/view/vCB_AllBulletinDetail.php?stockid=688700&amp;id=12218310</t>
        </is>
      </c>
    </row>
    <row r="91" ht="104" customHeight="1">
      <c r="B91" s="4" t="inlineStr">
        <is>
          <t>688720</t>
        </is>
      </c>
      <c r="C91" s="4" t="inlineStr">
        <is>
          <t>艾森股份</t>
        </is>
      </c>
      <c r="D91" s="5" t="inlineStr">
        <is>
          <t>PCB：化学品</t>
        </is>
      </c>
      <c r="E91" s="4" t="inlineStr">
        <is>
          <t>纠错</t>
        </is>
      </c>
      <c r="F91" s="4" t="inlineStr">
        <is>
          <t>PCB</t>
        </is>
      </c>
      <c r="G91" s="5" t="inlineStr">
        <is>
          <t>PCB化学品-电镀与湿制程</t>
        </is>
      </c>
      <c r="H91" s="4" t="inlineStr">
        <is>
          <t>相关</t>
        </is>
      </c>
      <c r="I91" s="5" t="inlineStr">
        <is>
          <t>公司真实产品为电镀液、配套试剂、光刻胶及配套材料，年报披露电镀液产品矩阵覆盖传统封装、先进封装、晶圆制造，也包括玻璃基板、IC载板和HDI应用，因此存在真实PCB及类载板湿制程关联，不能因公司名称含半导体就完全摘除。iFinD二〇二五年半导体行业收入五点四八亿元，占营业收入百分之九十二点四三，其他行业仅百分之四点四二，其他业务百分之三略强；电镀液及配套试剂二点八八亿元还混合封装、晶圆和HDI等下游，PCB收入没有单独披露。基于真实应用但低占比且无法拆分，由旧核心下调为相关。旧泛“电子化学品”现收窄为PCB化学品-电镀与湿制程，并排除半导体主业收入。</t>
        </is>
      </c>
      <c r="J91" s="4" t="inlineStr">
        <is>
          <t>艾森股份：2025年年度报告</t>
        </is>
      </c>
      <c r="K91" s="4" t="inlineStr">
        <is>
          <t>2026-04-25</t>
        </is>
      </c>
      <c r="L91" s="5" t="inlineStr">
        <is>
          <t>iFinD ifind_get_stock_info + ifind_get_stock_business_segmentation (as of 2026-10-27)；艾森股份：2025年年度报告</t>
        </is>
      </c>
      <c r="M91" s="6" t="inlineStr">
        <is>
          <t>https://money.finance.sina.com.cn/corp/view/vCB_AllBulletinDetail.php?stockid=688720&amp;id=12199345</t>
        </is>
      </c>
    </row>
    <row r="92" ht="104" customHeight="1">
      <c r="B92" s="7" t="inlineStr">
        <is>
          <t>688733</t>
        </is>
      </c>
      <c r="C92" s="7" t="inlineStr">
        <is>
          <t>壹石通</t>
        </is>
      </c>
      <c r="D92" s="8" t="inlineStr">
        <is>
          <t>PCB：硅微粉</t>
        </is>
      </c>
      <c r="E92" s="7" t="inlineStr">
        <is>
          <t>纠错</t>
        </is>
      </c>
      <c r="F92" s="7" t="inlineStr">
        <is>
          <t>PCB</t>
        </is>
      </c>
      <c r="G92" s="8" t="inlineStr">
        <is>
          <t>填料-硅微粉与功能粉体</t>
        </is>
      </c>
      <c r="H92" s="7" t="inlineStr">
        <is>
          <t>相关</t>
        </is>
      </c>
      <c r="I92" s="8" t="inlineStr">
        <is>
          <t>公司真实产品包括勃姆石、二氧化硅粉体、球形氧化铝和阻燃材料；年报明确二氧化硅、球形氧化铝可填充于电子芯片封装材料和电子印制线路板，用于高频高速、低损耗及高可靠场景，因而具有真实PCB功能填料应用，不是单纯锂电材料概念。iFinD二〇二五年无机功能粉体材料收入五点七二亿元、约占总收入百分之九十点七一，低烟无卤阻燃材料零点五二亿元；但粉体还包含主要用于锂电隔膜涂覆的勃姆石以及芯片封装、热管理等下游，PCB收入未拆分，不能把全部粉体收入归入PCB。基于真实产品但混合收入边界，由旧核心下调为相关。旧“硅微粉”规范为填料-硅微粉与功能粉体，避免只凭二氧化硅名称判核心。</t>
        </is>
      </c>
      <c r="J92" s="7" t="inlineStr">
        <is>
          <t>壹石通：2025年年度报告</t>
        </is>
      </c>
      <c r="K92" s="7" t="inlineStr">
        <is>
          <t>2026-04-17</t>
        </is>
      </c>
      <c r="L92" s="8" t="inlineStr">
        <is>
          <t>iFinD ifind_get_stock_info + ifind_get_stock_business_segmentation (as of 2026-10-27)；壹石通：2025年年度报告</t>
        </is>
      </c>
      <c r="M92" s="9" t="inlineStr">
        <is>
          <t>https://money.finance.sina.com.cn/corp/view/vCB_AllBulletinDetail.php?stockid=688733&amp;id=12099645</t>
        </is>
      </c>
    </row>
    <row r="93" ht="104" customHeight="1">
      <c r="B93" s="4" t="inlineStr">
        <is>
          <t>920821</t>
        </is>
      </c>
      <c r="C93" s="4" t="inlineStr">
        <is>
          <t>则成电子</t>
        </is>
      </c>
      <c r="D93" s="5" t="inlineStr">
        <is>
          <t>PCB：FPC</t>
        </is>
      </c>
      <c r="E93" s="4" t="inlineStr">
        <is>
          <t>纠错</t>
        </is>
      </c>
      <c r="F93" s="4" t="inlineStr">
        <is>
          <t>PCB</t>
        </is>
      </c>
      <c r="G93" s="5" t="inlineStr">
        <is>
          <t>PCB-FPC与刚挠结合、PCB-HDI与任意层互连、PCB-IC载板</t>
        </is>
      </c>
      <c r="H93" s="4" t="inlineStr">
        <is>
          <t>核心</t>
        </is>
      </c>
      <c r="I93" s="5" t="inlineStr">
        <is>
          <t>公司真实业务是基于柔性应用的定制化模组及印制电路板设计、研发、生产和销售，iFinD主营资料明确为FPC及FPC产业链延伸的FPC组件，年报还披露HDI、SLP和RF软硬结合板研发及医疗多层、超长尺寸FPC项目，不是仅采购FPC组装普通电子模组。二〇二五年印制电路板收入九千〇六十六万元，约占总收入百分之二十三；消费电子、食品医疗、交通工具等模组分类中还包含基于柔性板的定制产品，但不能把这些分类收入全部当作裸板或全部重复计算。FPC裸板已有重要收入，FPC组件又是主营方向，故定核心并保留模组混合边界。旧“FPC与电子模组”现按白名单归为PCB-FPC与刚挠结合，避免误标为通用刚性板。</t>
        </is>
      </c>
      <c r="J93" s="4" t="inlineStr">
        <is>
          <t>则成电子：2025年年度报告</t>
        </is>
      </c>
      <c r="K93" s="4" t="inlineStr">
        <is>
          <t>2026-04-24</t>
        </is>
      </c>
      <c r="L93" s="5" t="inlineStr">
        <is>
          <t>iFinD ifind_get_stock_info + ifind_get_stock_business_segmentation (as of 2026-10-27)；则成电子：2025年年度报告</t>
        </is>
      </c>
      <c r="M93" s="6" t="inlineStr">
        <is>
          <t>https://money.finance.sina.com.cn/corp/view/vCB_AllBulletinDetail.php?stockid=920821&amp;id=12196512</t>
        </is>
      </c>
    </row>
  </sheetData>
  <autoFilter ref="B4:M93"/>
  <mergeCells count="2">
    <mergeCell ref="B3:M3"/>
    <mergeCell ref="B2:M2"/>
  </mergeCell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B2:M8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0" customWidth="1" min="4" max="4"/>
    <col width="10" customWidth="1" min="5" max="5"/>
    <col width="16" customWidth="1" min="6" max="6"/>
    <col width="60" customWidth="1" min="7" max="7"/>
    <col width="10" customWidth="1" min="8" max="8"/>
    <col width="125" customWidth="1" min="9" max="9"/>
    <col width="52" customWidth="1" min="10" max="10"/>
    <col width="14" customWidth="1" min="11" max="11"/>
    <col width="62" customWidth="1" min="12" max="12"/>
    <col width="82" customWidth="1" min="13" max="13"/>
  </cols>
  <sheetData>
    <row r="2" ht="32" customHeight="1">
      <c r="B2" s="1" t="inlineStr">
        <is>
          <t>PCB · 清洗后1513只股池</t>
        </is>
      </c>
    </row>
    <row r="3">
      <c r="B3" s="2" t="inlineStr">
        <is>
          <t>核心52只、相关24只；按卫星、火箭、地面系统、运营服务和产业配套细化为23个二级概念。</t>
        </is>
      </c>
    </row>
    <row r="4">
      <c r="B4" s="3" t="inlineStr">
        <is>
          <t>代码</t>
        </is>
      </c>
      <c r="C4" s="3" t="inlineStr">
        <is>
          <t>名称</t>
        </is>
      </c>
      <c r="D4" s="3" t="inlineStr">
        <is>
          <t>旧PCB概念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104" customHeight="1">
      <c r="B5" s="4" t="inlineStr">
        <is>
          <t>000657</t>
        </is>
      </c>
      <c r="C5" s="4" t="inlineStr">
        <is>
          <t>中钨高新</t>
        </is>
      </c>
      <c r="D5" s="5" t="inlineStr">
        <is>
          <t>PCB：钻针</t>
        </is>
      </c>
      <c r="E5" s="4" t="inlineStr">
        <is>
          <t>纠错</t>
        </is>
      </c>
      <c r="F5" s="4" t="inlineStr">
        <is>
          <t>PCB</t>
        </is>
      </c>
      <c r="G5" s="5" t="inlineStr">
        <is>
          <t>PCB刀具-钻针与铣刀</t>
        </is>
      </c>
      <c r="H5" s="4" t="inlineStr">
        <is>
          <t>核心</t>
        </is>
      </c>
      <c r="I5" s="5" t="inlineStr">
        <is>
          <t>公司旗下金洲公司直接生产PCB微型钻针等精密加工刀具，产品用于印制电路板微孔钻削，并非仅提供钨粉或硬质合金原料，具备真实规模化产品和经营收入。2025年集团营业收入176.3851亿元，切削刀具及工具收入36.1144亿元、占20.47%，其中还包含数控刀片和其他刀具；金洲公司营业收入约14.2亿元、约占集团8.05%，净利润约3.6亿元，该主体口径比刀具大类更接近PCB微钻业务，但也不能把集团全部钨产业链收入计入PCB。基于直接产品、独立经营主体及规模，定级为核心。旧“钨上游、微钻原料”明显低估业务环节，应纠正为PCB微钻及直接加工刀具，而非保留泛有色金属解释。</t>
        </is>
      </c>
      <c r="J5" s="4" t="inlineStr">
        <is>
          <t>中钨高新材料股份有限公司2025年年度报告</t>
        </is>
      </c>
      <c r="K5" s="4" t="inlineStr">
        <is>
          <t>2026-04-27</t>
        </is>
      </c>
      <c r="L5" s="5" t="inlineStr">
        <is>
          <t>iFinD ifind_get_stock_info + ifind_get_stock_business_segmentation (as of 2026-10-27)；中钨高新材料股份有限公司2025年年度报告</t>
        </is>
      </c>
      <c r="M5" s="6" t="inlineStr">
        <is>
          <t>http://notice.10jqka.com.cn/api/pdf/1fefdb8f1bbe9358.pdf</t>
        </is>
      </c>
    </row>
    <row r="6" ht="104" customHeight="1">
      <c r="B6" s="7" t="inlineStr">
        <is>
          <t>000823</t>
        </is>
      </c>
      <c r="C6" s="7" t="inlineStr">
        <is>
          <t>超声电子</t>
        </is>
      </c>
      <c r="D6" s="8" t="inlineStr">
        <is>
          <t>PCB：AI服务器相关</t>
        </is>
      </c>
      <c r="E6" s="7" t="inlineStr">
        <is>
          <t>纠错</t>
        </is>
      </c>
      <c r="F6" s="7" t="inlineStr">
        <is>
          <t>PCB</t>
        </is>
      </c>
      <c r="G6" s="8" t="inlineStr">
        <is>
          <t>PCB-HDI与任意层互连、覆铜板与粘结片</t>
        </is>
      </c>
      <c r="H6" s="7" t="inlineStr">
        <is>
          <t>核心</t>
        </is>
      </c>
      <c r="I6" s="8" t="inlineStr">
        <is>
          <t>公司直接生产双面及多层印制线路板、HDI高密度互连板，并生产覆铜板和半固化片，既覆盖PCB制造又覆盖其关键基材，产品和收入均有正式披露。2025年印制线路板收入31.4951亿元，占营业收入约49.75%；覆铜板收入11.0944亿元，占约17.52%，两项合计约67.27%，其余主要为液晶显示器17.4402亿元、超声电子仪器3.2805亿元，不能把公司全部63.3102亿元收入都归为PCB。印刷板与覆铜板分别构成重要收入来源，故定级为核心。旧“AI服务器相关”过于笼统且会把显示器等业务误带入算力链条，应改按实际板型列HDI与任意层互连，并补充覆铜板与粘结片，不额外推定服务器收入。</t>
        </is>
      </c>
      <c r="J6" s="7" t="inlineStr">
        <is>
          <t>超声电子：2025年年度报告</t>
        </is>
      </c>
      <c r="K6" s="7" t="inlineStr">
        <is>
          <t>2026-03-21</t>
        </is>
      </c>
      <c r="L6" s="8" t="inlineStr">
        <is>
          <t>iFinD ifind_get_stock_info + ifind_get_stock_business_segmentation (as of 2026-10-27)；超声电子：2025年年度报告</t>
        </is>
      </c>
      <c r="M6" s="9" t="inlineStr">
        <is>
          <t>http://money.finance.sina.com.cn/corp/view/vCB_AllBulletinDetail.php?stockid=000823&amp;id=12007875</t>
        </is>
      </c>
    </row>
    <row r="7" ht="104" customHeight="1">
      <c r="B7" s="4" t="inlineStr">
        <is>
          <t>001359</t>
        </is>
      </c>
      <c r="C7" s="4" t="inlineStr">
        <is>
          <t>平安电工</t>
        </is>
      </c>
      <c r="D7" s="5" t="inlineStr">
        <is>
          <t>PCB：电子布</t>
        </is>
      </c>
      <c r="E7" s="4" t="inlineStr">
        <is>
          <t>纠错</t>
        </is>
      </c>
      <c r="F7" s="4" t="inlineStr">
        <is>
          <t>PCB</t>
        </is>
      </c>
      <c r="G7" s="5" t="inlineStr">
        <is>
          <t>电子布与玻纤材料</t>
        </is>
      </c>
      <c r="H7" s="4" t="inlineStr">
        <is>
          <t>核心</t>
        </is>
      </c>
      <c r="I7" s="5" t="inlineStr">
        <is>
          <t>公司除云母绝缘材料外，还实际生产特种纤维及电子布，电子级玻纤布可作为覆铜板增强材料，属于PCB上游直接材料而非仅凭绝缘用途形成的潜在线索。2025年特种纤维及电子布收入1.3875亿元，占营业收入11.8940亿元的约11.67%；云母绝缘材料7.4543亿元、新能源绝缘材料2.9783亿元仍是更大收入来源，且上述分部同时含特种纤维，不能把1.3875亿元全部无条件视作PCB电子布。尽管如此，该产品已形成独立披露和亿元级销售规模，符合规模化核心产品标准，故定级为核心，同时保留混合收入边界。旧“云母绝缘材料、边缘”忽略已落地电子布，应纠正为电子布与玻纤材料，而非继续用主营云母否定全部PCB关联。</t>
        </is>
      </c>
      <c r="J7" s="4" t="inlineStr">
        <is>
          <t>平安电工：2025年年度报告</t>
        </is>
      </c>
      <c r="K7" s="4" t="inlineStr">
        <is>
          <t>2026-04-29</t>
        </is>
      </c>
      <c r="L7" s="5" t="inlineStr">
        <is>
          <t>iFinD ifind_get_stock_info + ifind_get_stock_business_segmentation (as of 2026-10-27)；平安电工：2025年年度报告</t>
        </is>
      </c>
      <c r="M7" s="6" t="inlineStr">
        <is>
          <t>http://money.finance.sina.com.cn/corp/view/vCB_AllBulletinDetail.php?stockid=001359&amp;id=12252614</t>
        </is>
      </c>
    </row>
    <row r="8" ht="104" customHeight="1">
      <c r="B8" s="7" t="inlineStr">
        <is>
          <t>001389</t>
        </is>
      </c>
      <c r="C8" s="7" t="inlineStr">
        <is>
          <t>广合科技</t>
        </is>
      </c>
      <c r="D8" s="8" t="inlineStr">
        <is>
          <t>PCB：PCB</t>
        </is>
      </c>
      <c r="E8" s="7" t="inlineStr">
        <is>
          <t>纠错</t>
        </is>
      </c>
      <c r="F8" s="7" t="inlineStr">
        <is>
          <t>PCB</t>
        </is>
      </c>
      <c r="G8" s="8" t="inlineStr">
        <is>
          <t>PCB-高多层与服务器板、PCB-HDI与任意层互连</t>
        </is>
      </c>
      <c r="H8" s="7" t="inlineStr">
        <is>
          <t>核心</t>
        </is>
      </c>
      <c r="I8" s="8" t="inlineStr">
        <is>
          <t>公司主营多高层印制电路板，真实产品覆盖服务器用高多层板及HDI等高密度互连产品，服务器板已有规模销售而非研发储备。2025年PCB板收入51.0189亿元，占营业收入93.0090%，其他业务收入3.8348亿元；年报进一步说明服务器用PCB约占产品收入八成，因此服务器板是公司最重要应用方向，但该比例口径是产品收入而非含其他业务的合并营收，不能机械把全部PCB都称为AI服务器板。PCB收入占绝对主导且服务器产品规模化，定级为核心。旧“PCB、多高层”方向正确但粒度过粗，应细化为高多层与服务器板，并按实际产品补充HDI与任意层互连，保留普通服务器、其他算力设备及非服务器板之间的收入边界。</t>
        </is>
      </c>
      <c r="J8" s="7" t="inlineStr">
        <is>
          <t>广合科技：2025年年度报告</t>
        </is>
      </c>
      <c r="K8" s="7" t="inlineStr">
        <is>
          <t>2026-03-28</t>
        </is>
      </c>
      <c r="L8" s="8" t="inlineStr">
        <is>
          <t>iFinD ifind_get_stock_info + ifind_get_stock_business_segmentation (as of 2026-10-27)；广合科技：2025年年度报告</t>
        </is>
      </c>
      <c r="M8" s="9" t="inlineStr">
        <is>
          <t>http://money.finance.sina.com.cn/corp/view/vCB_AllBulletinDetail.php?stockid=001389&amp;id=12033054</t>
        </is>
      </c>
    </row>
    <row r="9" ht="104" customHeight="1">
      <c r="B9" s="4" t="inlineStr">
        <is>
          <t>002080</t>
        </is>
      </c>
      <c r="C9" s="4" t="inlineStr">
        <is>
          <t>中材科技</t>
        </is>
      </c>
      <c r="D9" s="5" t="inlineStr">
        <is>
          <t>PCB：电子布</t>
        </is>
      </c>
      <c r="E9" s="4" t="inlineStr">
        <is>
          <t>纠错</t>
        </is>
      </c>
      <c r="F9" s="4" t="inlineStr">
        <is>
          <t>PCB</t>
        </is>
      </c>
      <c r="G9" s="5" t="inlineStr">
        <is>
          <t>电子布与玻纤材料</t>
        </is>
      </c>
      <c r="H9" s="4" t="inlineStr">
        <is>
          <t>相关</t>
        </is>
      </c>
      <c r="I9" s="5" t="inlineStr">
        <is>
          <t>公司全资子公司泰山玻纤实际销售电子布和特种纤维布，产品可用于覆铜板增强体系，具有真实PCB材料收入，不是把全部玻纤业务潜在用途都映射到PCB。2025年公司营业收入301.9549亿元，风电叶片125.9500亿元、无碱玻璃纤维及制品89.0494亿元、隔膜23.9782亿元构成主要混合业务；正式异动公告单列电子布收入3.60亿元、占1.19%，特种纤维布6.28亿元、占2.08%，合计9.88亿元、约3.27%，公司明确提示总体占比较小。由于产品真实且已有销售，但上市公司占比低，定级为相关。旧“电子布”方向可保留，但需用白名单统一名称，并纠正把全部玻纤或风电复合材料纳入PCB的宽泛理解。</t>
        </is>
      </c>
      <c r="J9" s="4" t="inlineStr">
        <is>
          <t>中材科技股份有限公司关于股票交易异常波动公告</t>
        </is>
      </c>
      <c r="K9" s="4" t="inlineStr">
        <is>
          <t>2026-06-29</t>
        </is>
      </c>
      <c r="L9" s="5" t="inlineStr">
        <is>
          <t>iFinD ifind_get_stock_info + ifind_get_stock_business_segmentation (as of 2026-10-27)；中材科技股份有限公司关于股票交易异常波动公告</t>
        </is>
      </c>
      <c r="M9" s="6" t="inlineStr">
        <is>
          <t>http://static.cninfo.com.cn/finalpage/2026-06-29/1225391023.PDF</t>
        </is>
      </c>
    </row>
    <row r="10" ht="104" customHeight="1">
      <c r="B10" s="7" t="inlineStr">
        <is>
          <t>002134</t>
        </is>
      </c>
      <c r="C10" s="7" t="inlineStr">
        <is>
          <t>天津普林</t>
        </is>
      </c>
      <c r="D10" s="8" t="inlineStr">
        <is>
          <t>PCB：PCB</t>
        </is>
      </c>
      <c r="E10" s="7" t="inlineStr">
        <is>
          <t>纠错</t>
        </is>
      </c>
      <c r="F10" s="7" t="inlineStr">
        <is>
          <t>PCB</t>
        </is>
      </c>
      <c r="G10" s="8" t="inlineStr">
        <is>
          <t>PCB-通用刚性板、PCB-HDI与任意层互连</t>
        </is>
      </c>
      <c r="H10" s="7" t="inlineStr">
        <is>
          <t>核心</t>
        </is>
      </c>
      <c r="I10" s="8" t="inlineStr">
        <is>
          <t>公司直接从事印制电路板研发、生产和销售，产品包括多层刚性板及HDI等高密度互连板，属于标准PCB制造企业，不是上游材料或仅提供潜在配套。2025年印制电路板收入13.7868亿元，占营业收入100%，收入来源高度集中，未混入需要剔除的其他产业板块；不过公司PCB下游包括工控、医疗、汽车、通信等多种场景，不能因行业景气就将全部收入描述为AI服务器或高阶算力板。基于全部主营收入和规模化制造能力，定级为核心。旧“PCB”标签方向正确但缺乏板型区分，本次按证据拆为通用刚性板与HDI和任意层互连，未获得明确服务器产品或客户证据的部分不追加服务器标签，避免把技术优势等同于特定终端收入。</t>
        </is>
      </c>
      <c r="J10" s="7" t="inlineStr">
        <is>
          <t>天津普林电路股份有限公司2025年年度报告</t>
        </is>
      </c>
      <c r="K10" s="7" t="inlineStr">
        <is>
          <t>2026-03-27</t>
        </is>
      </c>
      <c r="L10" s="8" t="inlineStr">
        <is>
          <t>iFinD ifind_get_stock_info + ifind_get_stock_business_segmentation (as of 2026-10-27)；天津普林电路股份有限公司2025年年度报告</t>
        </is>
      </c>
      <c r="M10" s="9" t="inlineStr">
        <is>
          <t>http://file.finance.sina.com.cn/211.154.219.97:9494/MRGG/CNSESZ_STOCK/2026/2026-3/2026-03-27/12022060.PDF</t>
        </is>
      </c>
    </row>
    <row r="11" ht="104" customHeight="1">
      <c r="B11" s="4" t="inlineStr">
        <is>
          <t>002141</t>
        </is>
      </c>
      <c r="C11" s="4" t="inlineStr">
        <is>
          <t>贤丰控股</t>
        </is>
      </c>
      <c r="D11" s="5" t="inlineStr">
        <is>
          <t>PCB：覆铜板</t>
        </is>
      </c>
      <c r="E11" s="4" t="inlineStr">
        <is>
          <t>纠错</t>
        </is>
      </c>
      <c r="F11" s="4" t="inlineStr">
        <is>
          <t>PCB</t>
        </is>
      </c>
      <c r="G11" s="5" t="inlineStr">
        <is>
          <t>覆铜板与粘结片</t>
        </is>
      </c>
      <c r="H11" s="4" t="inlineStr">
        <is>
          <t>核心</t>
        </is>
      </c>
      <c r="I11" s="5" t="inlineStr">
        <is>
          <t>公司通过高硕航宇等经营主体实际生产覆铜板及PP，PP即半固化片或粘结片，属于PCB直接基材，已形成大额销售而不是产业投资或规划项目。2025年覆铜板及PP收入7.4893亿元，占营业收入11.5562亿元的64.8073%；其余包括饲料3.2099亿元、猪苗0.4013亿元和其他0.4557亿元，这些养殖及其他收入不能计入电子材料。覆铜板业务已成为上市公司第一大收入来源和重要经营板块，故定级为核心，同时明确合并报表仍是混合业务结构。旧“覆铜板”方向正确但遗漏PP，应统一纠正为白名单“覆铜板与粘结片”，不能因公司历史主营或其他板块而否定当前真实电子材料主业，也不把全部营收当作PCB。</t>
        </is>
      </c>
      <c r="J11" s="4" t="inlineStr">
        <is>
          <t>贤丰控股：2025年年度报告</t>
        </is>
      </c>
      <c r="K11" s="4" t="inlineStr">
        <is>
          <t>2026-04-22</t>
        </is>
      </c>
      <c r="L11" s="5" t="inlineStr">
        <is>
          <t>iFinD ifind_get_stock_info + ifind_get_stock_business_segmentation (as of 2026-10-27)；贤丰控股：2025年年度报告</t>
        </is>
      </c>
      <c r="M11" s="6" t="inlineStr">
        <is>
          <t>https://money.finance.sina.com.cn/corp/view/vCB_AllBulletinDetail.php?stockid=002141&amp;id=12135633</t>
        </is>
      </c>
    </row>
    <row r="12" ht="104" customHeight="1">
      <c r="B12" s="7" t="inlineStr">
        <is>
          <t>002409</t>
        </is>
      </c>
      <c r="C12" s="7" t="inlineStr">
        <is>
          <t>雅克科技</t>
        </is>
      </c>
      <c r="D12" s="8" t="inlineStr">
        <is>
          <t>PCB：硅微粉</t>
        </is>
      </c>
      <c r="E12" s="7" t="inlineStr">
        <is>
          <t>纠错</t>
        </is>
      </c>
      <c r="F12" s="7" t="inlineStr">
        <is>
          <t>PCB</t>
        </is>
      </c>
      <c r="G12" s="8" t="inlineStr">
        <is>
          <t>填料-硅微粉与功能粉体</t>
        </is>
      </c>
      <c r="H12" s="7" t="inlineStr">
        <is>
          <t>相关</t>
        </is>
      </c>
      <c r="I12" s="8" t="inlineStr">
        <is>
          <t>公司实际生产硅微粉等功能粉体，可用于覆铜板和电子封装树脂体系，具备真实PCB材料应用，但同一产品也服务半导体封装等下游，不能全部归入PCB。2025年硅微粉收入2.8824亿元，约占营业收入86.14亿元的3.35%；半导体化学材料21.1076亿元、光刻胶及配套19.5966亿元、电子特气4.1737亿元、LNG板材23.7044亿元构成其他主要混合收入，硅微粉虽单列金额，却未按覆铜板与封装用途进一步拆分。考虑直接材料真实、收入占比不高且下游混合，定级为相关。旧“硅微粉”可保留实质，但应规范为填料-硅微粉与功能粉体，并纠正以公司整体电子材料收入证明PCB核心地位的做法。</t>
        </is>
      </c>
      <c r="J12" s="7" t="inlineStr">
        <is>
          <t>雅克科技：2025年年度报告</t>
        </is>
      </c>
      <c r="K12" s="7" t="inlineStr">
        <is>
          <t>2026-04-28</t>
        </is>
      </c>
      <c r="L12" s="8" t="inlineStr">
        <is>
          <t>iFinD ifind_get_stock_info + ifind_get_stock_business_segmentation (as of 2026-10-27)；雅克科技：2025年年度报告</t>
        </is>
      </c>
      <c r="M12" s="9" t="inlineStr">
        <is>
          <t>http://money.finance.sina.com.cn/corp/view/vCB_AllBulletinDetail.php?stockid=002409&amp;id=12232855</t>
        </is>
      </c>
    </row>
    <row r="13" ht="104" customHeight="1">
      <c r="B13" s="4" t="inlineStr">
        <is>
          <t>002463</t>
        </is>
      </c>
      <c r="C13" s="4" t="inlineStr">
        <is>
          <t>沪电股份</t>
        </is>
      </c>
      <c r="D13" s="5" t="inlineStr">
        <is>
          <t>PCB：AI服务器相关</t>
        </is>
      </c>
      <c r="E13" s="4" t="inlineStr">
        <is>
          <t>纠错</t>
        </is>
      </c>
      <c r="F13" s="4" t="inlineStr">
        <is>
          <t>PCB</t>
        </is>
      </c>
      <c r="G13" s="5" t="inlineStr">
        <is>
          <t>PCB-高多层与服务器板、PCB-HDI与任意层互连</t>
        </is>
      </c>
      <c r="H13" s="4" t="inlineStr">
        <is>
          <t>核心</t>
        </is>
      </c>
      <c r="I13" s="5" t="inlineStr">
        <is>
          <t>公司直接生产高多层、高速及HDI印制电路板，真实用于AI服务器、高性能计算、通用服务器和高速交换机路由器，具备明确产品与收入证据。2025年PCB收入181.43亿元，占营业收入约95.77%；其中企业通讯市场板146.5630亿元、汽车板30.4458亿元、工控及其他4.4243亿元。总经理工作报告进一步披露AI服务器及HPC相关收入30.06亿元、通用服务器25.40亿元、高速交换机及路由器81.69亿元，这些是企业通讯板内部的应用拆分，不能与企业通讯板收入重复相加，也不能把汽车板纳入算力。PCB主业占绝对主导，定级为核心。旧“AI服务器相关”过窄且笼统，应改按实际板型归高多层与服务器板并补充HDI。</t>
        </is>
      </c>
      <c r="J13" s="4" t="inlineStr">
        <is>
          <t>沪电股份：2025年度总经理工作报告</t>
        </is>
      </c>
      <c r="K13" s="4" t="inlineStr">
        <is>
          <t>2026-03-25</t>
        </is>
      </c>
      <c r="L13" s="5" t="inlineStr">
        <is>
          <t>iFinD ifind_get_stock_info + ifind_get_stock_business_segmentation (as of 2026-10-27)；沪电股份：2025年度总经理工作报告</t>
        </is>
      </c>
      <c r="M13" s="6" t="inlineStr">
        <is>
          <t>http://money.finance.sina.com.cn/corp/view/vCB_AllBulletinDetail.php?stockid=002463&amp;id=12014861</t>
        </is>
      </c>
    </row>
    <row r="14" ht="104" customHeight="1">
      <c r="B14" s="7" t="inlineStr">
        <is>
          <t>002552</t>
        </is>
      </c>
      <c r="C14" s="7" t="inlineStr">
        <is>
          <t>宝鼎科技</t>
        </is>
      </c>
      <c r="D14" s="8" t="inlineStr">
        <is>
          <t>PCB：HVLP</t>
        </is>
      </c>
      <c r="E14" s="7" t="inlineStr">
        <is>
          <t>纠错</t>
        </is>
      </c>
      <c r="F14" s="7" t="inlineStr">
        <is>
          <t>PCB</t>
        </is>
      </c>
      <c r="G14" s="8" t="inlineStr">
        <is>
          <t>覆铜板与粘结片、铜箔-通用PCB、铜箔-HVLP与高频高速</t>
        </is>
      </c>
      <c r="H14" s="7" t="inlineStr">
        <is>
          <t>核心</t>
        </is>
      </c>
      <c r="I14" s="8" t="inlineStr">
        <is>
          <t>公司实际生产FR-4及复合基覆铜板、HTE等普通电子电路铜箔，并有少量HVLP低轮廓铜箔销售，产品均与PCB直接相关。2025年覆铜板收入20.7091亿元、占65.81%，铜箔5.1798亿元、占16.46%，成品金5.0848亿元，合并营业收入31.4677亿元，黄金等业务不能计入PCB。核心定级由覆铜板和通用铜箔的规模收入支撑，而非HVLP；正式公告明确2025年HVLP销量仅占铜箔销量0.03%，尚处认证及市场拓展阶段、未形成批量生产，M7和M9亦无订单及收入，故高频高速标签只保留早期业务边界。旧“HVLP”单独突出会严重夸大高端化，应补齐覆铜板与通用铜箔并明确极小占比。</t>
        </is>
      </c>
      <c r="J14" s="7" t="inlineStr">
        <is>
          <t>宝鼎科技股份有限公司股票交易异常波动公告</t>
        </is>
      </c>
      <c r="K14" s="7" t="inlineStr">
        <is>
          <t>2026-05-13</t>
        </is>
      </c>
      <c r="L14" s="8" t="inlineStr">
        <is>
          <t>iFinD ifind_get_stock_info + ifind_get_stock_business_segmentation (as of 2026-10-27)；宝鼎科技股份有限公司股票交易异常波动公告</t>
        </is>
      </c>
      <c r="M14" s="9" t="inlineStr">
        <is>
          <t>https://money.finance.sina.com.cn/corp/view/vCB_AllBulletinDetail.php?stockid=002552&amp;id=12314801</t>
        </is>
      </c>
    </row>
    <row r="15" ht="104" customHeight="1">
      <c r="B15" s="4" t="inlineStr">
        <is>
          <t>002579</t>
        </is>
      </c>
      <c r="C15" s="4" t="inlineStr">
        <is>
          <t>中京电子</t>
        </is>
      </c>
      <c r="D15" s="5" t="inlineStr">
        <is>
          <t>PCB：AI服务器相关</t>
        </is>
      </c>
      <c r="E15" s="4" t="inlineStr">
        <is>
          <t>纠错</t>
        </is>
      </c>
      <c r="F15" s="4" t="inlineStr">
        <is>
          <t>PCB</t>
        </is>
      </c>
      <c r="G15" s="5" t="inlineStr">
        <is>
          <t>PCB-通用刚性板、PCB-HDI与任意层互连、PCB-FPC与刚挠结合、PCB-高多层与服务器板</t>
        </is>
      </c>
      <c r="H15" s="4" t="inlineStr">
        <is>
          <t>核心</t>
        </is>
      </c>
      <c r="I15" s="5" t="inlineStr">
        <is>
          <t>公司直接制造刚性印制电路板、HDI、柔性电路板及刚挠结合产品，并披露AI加速卡、交换机等高端应用产品，板型和算力应用均有真实业务基础。2025年刚性电路板收入20.7345亿元，占约66.02%；柔性电路板及其应用模组8.6068亿元，占约27.40%，其他收入2.0652亿元，合计营业收入31.4065亿元，PCB构成主营。刚性板是包含不同层数和终端的宽口径，柔性模组也包含非服务器应用，不能将两部分全部视为AI收入；AI相关板型未单列金额。基于PCB整体主业定级为核心。旧“AI服务器相关”过度聚焦单一应用，应改为通用刚性板、HDI、FPC与刚挠结合，并对有证据的算力产品补充高多层与服务器板。</t>
        </is>
      </c>
      <c r="J15" s="4" t="inlineStr">
        <is>
          <t>惠州中京电子科技股份有限公司2025年年度报告</t>
        </is>
      </c>
      <c r="K15" s="4" t="inlineStr">
        <is>
          <t>2026-04-24</t>
        </is>
      </c>
      <c r="L15" s="5" t="inlineStr">
        <is>
          <t>iFinD ifind_get_stock_info + ifind_get_stock_business_segmentation (as of 2026-10-27)；惠州中京电子科技股份有限公司2025年年度报告</t>
        </is>
      </c>
      <c r="M15" s="6" t="inlineStr">
        <is>
          <t>https://static.cninfo.com.cn/finalpage/2026-04-24/1225167909.PDF</t>
        </is>
      </c>
    </row>
    <row r="16" ht="104" customHeight="1">
      <c r="B16" s="7" t="inlineStr">
        <is>
          <t>002636</t>
        </is>
      </c>
      <c r="C16" s="7" t="inlineStr">
        <is>
          <t>金安国纪</t>
        </is>
      </c>
      <c r="D16" s="8" t="inlineStr">
        <is>
          <t>PCB：电子布</t>
        </is>
      </c>
      <c r="E16" s="7" t="inlineStr">
        <is>
          <t>纠错</t>
        </is>
      </c>
      <c r="F16" s="7" t="inlineStr">
        <is>
          <t>PCB</t>
        </is>
      </c>
      <c r="G16" s="8" t="inlineStr">
        <is>
          <t>覆铜板与粘结片、电子布与玻纤材料、PCB-通用刚性板</t>
        </is>
      </c>
      <c r="H16" s="7" t="inlineStr">
        <is>
          <t>核心</t>
        </is>
      </c>
      <c r="I16" s="8" t="inlineStr">
        <is>
          <t>公司形成电子级玻纤布、覆铜板及PCB的实际产业链，覆铜板含半固化片，电子布既保障自用也有销售，PCB则是独立下游产品，三类均有经营证据。2025年覆铜板及相关产品收入41.2092亿元，占营业收入44.8024亿元的约91.98%；PCB收入1.1061亿元、占约2.47%，医疗器械和医药等其余业务不能纳入PCB。电子布未单列收入，不能把覆铜板收入重复解释为电子布外销收入，也不能把全部产品宣称为AI高速板。覆铜板占绝对主导，定级为核心。旧“电子布”并非虚假但严重遗漏主业，应补为覆铜板与粘结片、电子布与玻纤材料及通用刚性板，且不使用未经证实的高频高速或服务器标签。</t>
        </is>
      </c>
      <c r="J16" s="7" t="inlineStr">
        <is>
          <t>金安国纪集团股份有限公司2025年年度报告</t>
        </is>
      </c>
      <c r="K16" s="7" t="inlineStr">
        <is>
          <t>2026-04-29</t>
        </is>
      </c>
      <c r="L16" s="8" t="inlineStr">
        <is>
          <t>iFinD ifind_get_stock_info + ifind_get_stock_business_segmentation (as of 2026-10-27)；金安国纪集团股份有限公司2025年年度报告</t>
        </is>
      </c>
      <c r="M16" s="9" t="inlineStr">
        <is>
          <t>http://file.finance.sina.com.cn/211.154.219.97:9494/MRGG/CNSESZ_STOCK/2026/2026-4/2026-04-29/12249105.PDF</t>
        </is>
      </c>
    </row>
    <row r="17" ht="104" customHeight="1">
      <c r="B17" s="4" t="inlineStr">
        <is>
          <t>002815</t>
        </is>
      </c>
      <c r="C17" s="4" t="inlineStr">
        <is>
          <t>崇达技术</t>
        </is>
      </c>
      <c r="D17" s="5" t="inlineStr">
        <is>
          <t>PCB：AI服务器相关</t>
        </is>
      </c>
      <c r="E17" s="4" t="inlineStr">
        <is>
          <t>纠错</t>
        </is>
      </c>
      <c r="F17" s="4" t="inlineStr">
        <is>
          <t>PCB</t>
        </is>
      </c>
      <c r="G17" s="5" t="inlineStr">
        <is>
          <t>PCB-高多层与服务器板、PCB-HDI与任意层互连、PCB-IC载板、PCB-FPC与刚挠结合</t>
        </is>
      </c>
      <c r="H17" s="4" t="inlineStr">
        <is>
          <t>核心</t>
        </is>
      </c>
      <c r="I17" s="5" t="inlineStr">
        <is>
          <t>公司产品覆盖高多层板、HDI、高频高速板、软硬结合板及IC封装基板，具备大容量服务器主板、高速背板和加速卡用HDI能力；子公司普诺威已量产MEMS、射频滤波器及SiP封装基板，IC载板有独立真实产品。2025年PCB收入67.1073亿元，占营业收入88.96%，其他业务8.3297亿元；高多层、HDI和IC载板等高端产品合计收入占比超过60%，但这是三类合计口径，不能分别套用，也不能把普通PCB与IC载板混为同一产品。基于PCB主业和规模化高端产品定级为核心。旧“AI服务器相关”过窄，应按实际板型纠正并分列IC载板和FPC，AI相关收入不得外推为全部PCB收入。</t>
        </is>
      </c>
      <c r="J17" s="4" t="inlineStr">
        <is>
          <t>崇达技术股份有限公司2025年年度报告</t>
        </is>
      </c>
      <c r="K17" s="4" t="inlineStr">
        <is>
          <t>2026-04-29</t>
        </is>
      </c>
      <c r="L17" s="5" t="inlineStr">
        <is>
          <t>iFinD ifind_get_stock_info + ifind_get_stock_business_segmentation (as of 2026-10-27)；崇达技术股份有限公司2025年年度报告</t>
        </is>
      </c>
      <c r="M17" s="6" t="inlineStr">
        <is>
          <t>http://static.cninfo.com.cn/finalpage/2026-04-29/1225231026.PDF</t>
        </is>
      </c>
    </row>
    <row r="18" ht="104" customHeight="1">
      <c r="B18" s="7" t="inlineStr">
        <is>
          <t>002913</t>
        </is>
      </c>
      <c r="C18" s="7" t="inlineStr">
        <is>
          <t>奥士康</t>
        </is>
      </c>
      <c r="D18" s="8" t="inlineStr">
        <is>
          <t>PCB：PCB</t>
        </is>
      </c>
      <c r="E18" s="7" t="inlineStr">
        <is>
          <t>纠错</t>
        </is>
      </c>
      <c r="F18" s="7" t="inlineStr">
        <is>
          <t>PCB</t>
        </is>
      </c>
      <c r="G18" s="8" t="inlineStr">
        <is>
          <t>PCB-高多层与服务器板、PCB-通用刚性板、PCB-HDI与任意层互连</t>
        </is>
      </c>
      <c r="H18" s="7" t="inlineStr">
        <is>
          <t>核心</t>
        </is>
      </c>
      <c r="I18" s="8" t="inlineStr">
        <is>
          <t>公司专业制造高精密PCB，产品包括单双面板、四层及以上多层板和HDI，并有数据中心及服务器用高层数、高频高速板实际应用，具备规模化生产体系。2025年PCB收入50.5990亿元，占营业收入91.5057%；其中四层及以上板41.7793亿元、约占75.56%，单双面板8.8197亿元、约占15.95%，其他业务收入4.6970亿元不能并入PCB。四层以上产品还覆盖汽车、通信、消费和工控等用途，服务器产品也未在年报中单独拆分全年收入，因此不能将全部高多层板等同AI服务器板。整体PCB主业占绝对主导，定级为核心。旧“高精密PCB”方向正确，应细化为高多层与服务器板、通用刚性板和HDI，同时保留AI收入未拆分边界。</t>
        </is>
      </c>
      <c r="J18" s="7" t="inlineStr">
        <is>
          <t>奥士康科技股份有限公司2025年年度报告</t>
        </is>
      </c>
      <c r="K18" s="7" t="inlineStr">
        <is>
          <t>2026-04-29</t>
        </is>
      </c>
      <c r="L18" s="8" t="inlineStr">
        <is>
          <t>iFinD ifind_get_stock_info + ifind_get_stock_business_segmentation (as of 2026-10-27)；奥士康科技股份有限公司2025年年度报告</t>
        </is>
      </c>
      <c r="M18" s="9" t="inlineStr">
        <is>
          <t>https://static.cninfo.com.cn/finalpage/2026-04-29/1225229100.PDF</t>
        </is>
      </c>
    </row>
    <row r="19" ht="104" customHeight="1">
      <c r="B19" s="4" t="inlineStr">
        <is>
          <t>002916</t>
        </is>
      </c>
      <c r="C19" s="4" t="inlineStr">
        <is>
          <t>深南电路</t>
        </is>
      </c>
      <c r="D19" s="5" t="inlineStr">
        <is>
          <t>PCB：AI服务器相关</t>
        </is>
      </c>
      <c r="E19" s="4" t="inlineStr">
        <is>
          <t>纠错</t>
        </is>
      </c>
      <c r="F19" s="4" t="inlineStr">
        <is>
          <t>PCB</t>
        </is>
      </c>
      <c r="G19" s="5" t="inlineStr">
        <is>
          <t>PCB-高多层与服务器板、PCB-IC载板、PCB设计与SMT服务</t>
        </is>
      </c>
      <c r="H19" s="4" t="inlineStr">
        <is>
          <t>核心</t>
        </is>
      </c>
      <c r="I19" s="5" t="inlineStr">
        <is>
          <t>公司同时经营印制电路板、封装基板和电子装联，PCB包含数据中心、服务器及通信用高多层高速产品，封装基板属于IC载板，电子装联则提供PCBA和SMT相关制造服务，三项均为实际规模化业务。2025年PCB收入143.5927亿元、占60.72%，封装基板41.4779亿元、占17.54%，电子装联30.7496亿元，另有其他及其他业务收入，合计营业收入约236.4703亿元。三类产品必须分别核算，不能把普通PCB收入并入IC载板，也不能把电子装联当作裸板销售。PCB及直接相关服务占绝对主体，定级为核心。旧“AI服务器相关、ABF载板”混淆板型与用途，应改为高多层与服务器板、PCB-IC载板及PCB设计与SMT服务。</t>
        </is>
      </c>
      <c r="J19" s="4" t="inlineStr">
        <is>
          <t>深南电路：2025年年度报告</t>
        </is>
      </c>
      <c r="K19" s="4" t="inlineStr">
        <is>
          <t>2026-03-13</t>
        </is>
      </c>
      <c r="L19" s="5" t="inlineStr">
        <is>
          <t>iFinD ifind_get_stock_info + ifind_get_stock_business_segmentation (as of 2026-10-27)；深南电路：2025年年度报告</t>
        </is>
      </c>
      <c r="M19" s="6" t="inlineStr">
        <is>
          <t>https://money.finance.sina.com.cn/corp/view/vCB_AllBulletinDetail.php?stockid=002916&amp;id=11992852</t>
        </is>
      </c>
    </row>
    <row r="20" ht="104" customHeight="1">
      <c r="B20" s="7" t="inlineStr">
        <is>
          <t>002938</t>
        </is>
      </c>
      <c r="C20" s="7" t="inlineStr">
        <is>
          <t>鹏鼎控股</t>
        </is>
      </c>
      <c r="D20" s="8" t="inlineStr">
        <is>
          <t>PCB：AI服务器相关</t>
        </is>
      </c>
      <c r="E20" s="7" t="inlineStr">
        <is>
          <t>纠错</t>
        </is>
      </c>
      <c r="F20" s="7" t="inlineStr">
        <is>
          <t>PCB</t>
        </is>
      </c>
      <c r="G20" s="8" t="inlineStr">
        <is>
          <t>PCB-高多层与服务器板、PCB-HDI与任意层互连、PCB-FPC与刚挠结合</t>
        </is>
      </c>
      <c r="H20" s="7" t="inlineStr">
        <is>
          <t>核心</t>
        </is>
      </c>
      <c r="I20" s="8" t="inlineStr">
        <is>
          <t>公司研发、设计和制造各类印制电路板，真实产品包括FPC、刚挠结合板、HDI及高多层板，并覆盖通讯、消费电子、计算机、汽车和服务器等应用，属于全品类PCB规模制造商。2025年通讯用板收入254.3674亿元、占64.98%，消费电子及计算机用板112.8697亿元、占28.83%，汽车、服务器用板及其他用板21.1885亿元、占5.41%，印制电路板合计占99.2223%。通讯板包含大量手机等非服务器产品，最后一大类又混合汽车和其他用途，不能全部认作AI服务器收入。基于PCB绝对主业定级为核心。旧“AI服务器相关”不能概括公司产品结构，应改为高多层与服务器板、HDI及FPC与刚挠结合，并保留混合下游口径。</t>
        </is>
      </c>
      <c r="J20" s="7" t="inlineStr">
        <is>
          <t>鹏鼎控股：2025年年度报告</t>
        </is>
      </c>
      <c r="K20" s="7" t="inlineStr">
        <is>
          <t>2026-03-31</t>
        </is>
      </c>
      <c r="L20" s="8" t="inlineStr">
        <is>
          <t>iFinD ifind_get_stock_info + ifind_get_stock_business_segmentation (as of 2026-10-27)；鹏鼎控股：2025年年度报告</t>
        </is>
      </c>
      <c r="M20" s="9" t="inlineStr">
        <is>
          <t>http://money.finance.sina.com.cn/corp/view/vCB_AllBulletinDetail.php?stockid=002938&amp;id=12046827</t>
        </is>
      </c>
    </row>
    <row r="21" ht="104" customHeight="1">
      <c r="B21" s="4" t="inlineStr">
        <is>
          <t>300243</t>
        </is>
      </c>
      <c r="C21" s="4" t="inlineStr">
        <is>
          <t>瑞丰高材</t>
        </is>
      </c>
      <c r="D21" s="5" t="inlineStr">
        <is>
          <t>PCB：树脂增韧剂</t>
        </is>
      </c>
      <c r="E21" s="4" t="inlineStr">
        <is>
          <t>纠错</t>
        </is>
      </c>
      <c r="F21" s="4" t="inlineStr">
        <is>
          <t>PCB</t>
        </is>
      </c>
      <c r="G21" s="5" t="inlineStr">
        <is>
          <t>PCB材料-其他关键材料</t>
        </is>
      </c>
      <c r="H21" s="4" t="inlineStr">
        <is>
          <t>相关</t>
        </is>
      </c>
      <c r="I21" s="5" t="inlineStr">
        <is>
          <t>公司CSR核壳橡胶增韧剂已在中试线实现小批量出货，正式投资者关系记录明确其用于汽车、覆铜板、风电和封装等树脂体系的增韧改性，因此存在真实PCB材料应用，不能按纯PVC助剂或潜在概念直接摘除。2025年工程塑料助剂收入1.4703亿元，占营业收入约19.6896亿元的7.47%，ACR、MBS、MC等PVC助剂仍是主体；CSR未单列收入，公司明确当前出货数量及收入非常小，且下游混合，不能把工程塑料助剂全部算作PCB。CSR是树脂改性添加剂，并非环氧树脂或碳氢树脂本体，故归入其他关键材料并定级为相关。旧“树脂增韧剂”需按白名单纠正，同时不得宣传为已规模量产的M9材料。</t>
        </is>
      </c>
      <c r="J21" s="4" t="inlineStr">
        <is>
          <t>山东瑞丰高分子材料股份有限公司投资者关系活动记录表</t>
        </is>
      </c>
      <c r="K21" s="4" t="inlineStr">
        <is>
          <t>2026-05-07</t>
        </is>
      </c>
      <c r="L21" s="5" t="inlineStr">
        <is>
          <t>iFinD ifind_get_stock_info + ifind_get_stock_business_segmentation (as of 2026-10-27)；山东瑞丰高分子材料股份有限公司投资者关系活动记录表</t>
        </is>
      </c>
      <c r="M21" s="6" t="inlineStr">
        <is>
          <t>http://money.finance.sina.com.cn/corp/view/vCB_AllBulletinDetail.php?stockid=300243&amp;id=12299610</t>
        </is>
      </c>
    </row>
    <row r="22" ht="104" customHeight="1">
      <c r="B22" s="7" t="inlineStr">
        <is>
          <t>300283</t>
        </is>
      </c>
      <c r="C22" s="7" t="inlineStr">
        <is>
          <t>温州宏丰</t>
        </is>
      </c>
      <c r="D22" s="8" t="inlineStr">
        <is>
          <t>PCB：钻针</t>
        </is>
      </c>
      <c r="E22" s="7" t="inlineStr">
        <is>
          <t>纠错</t>
        </is>
      </c>
      <c r="F22" s="7" t="inlineStr">
        <is>
          <t>PCB</t>
        </is>
      </c>
      <c r="G22" s="8" t="inlineStr">
        <is>
          <t>PCB刀具-钻针与铣刀</t>
        </is>
      </c>
      <c r="H22" s="7" t="inlineStr">
        <is>
          <t>相关</t>
        </is>
      </c>
      <c r="I22" s="8" t="inlineStr">
        <is>
          <t>公司2025年报产品表明确列示硬质合金纳米晶微钻，适用于刃径0.25毫米以下PCB钻针及高硬切削用铣刀，并说明硬质合金微钻用于印刷电路板钻孔，因此具备直接PCB刀具证据，不能因铜箔为锂电用途或缺少客户名单而摘除。2025年硬质合金收入5.0880亿元，占营业收入36.5601亿元的约13.92%；该板块还包含棒材、旋转锉、枪钻、数控刀片和矿用工具，未单列PCB微钻收入，不能把全部硬质合金算作PCB。考虑真实直接产品但细分收入和规模无法拆分，定级为相关。旧“PCB钻针材料”表述不够准确，公司已有微钻产品，应纠正为PCB刀具-钻针与铣刀，同时排除锂电铜箔的误关联。</t>
        </is>
      </c>
      <c r="J22" s="7" t="inlineStr">
        <is>
          <t>温州宏丰电工合金股份有限公司2025年年度报告</t>
        </is>
      </c>
      <c r="K22" s="7" t="inlineStr">
        <is>
          <t>2026-03-31</t>
        </is>
      </c>
      <c r="L22" s="8" t="inlineStr">
        <is>
          <t>iFinD ifind_get_stock_info + ifind_get_stock_business_segmentation (as of 2026-10-27)；温州宏丰电工合金股份有限公司2025年年度报告</t>
        </is>
      </c>
      <c r="M22" s="9" t="inlineStr">
        <is>
          <t>http://static.cninfo.com.cn/finalpage/2026-03-31/1225051867.PDF</t>
        </is>
      </c>
    </row>
    <row r="23" ht="104" customHeight="1">
      <c r="B23" s="4" t="inlineStr">
        <is>
          <t>300285</t>
        </is>
      </c>
      <c r="C23" s="4" t="inlineStr">
        <is>
          <t>国瓷材料</t>
        </is>
      </c>
      <c r="D23" s="5" t="inlineStr">
        <is>
          <t>PCB：硅微粉、MLCC</t>
        </is>
      </c>
      <c r="E23" s="4" t="inlineStr">
        <is>
          <t>纠错</t>
        </is>
      </c>
      <c r="F23" s="4" t="inlineStr">
        <is>
          <t>PCB</t>
        </is>
      </c>
      <c r="G23" s="5" t="inlineStr">
        <is>
          <t>填料-硅微粉与功能粉体</t>
        </is>
      </c>
      <c r="H23" s="4" t="inlineStr">
        <is>
          <t>相关</t>
        </is>
      </c>
      <c r="I23" s="5" t="inlineStr">
        <is>
          <t>公司年报单列覆铜板用填充材料项目，实际产品包括低损耗球形氧化硅等，部分产品已通过客户验证并实现小批量销售，具备真实覆铜板应用，不是把MLCC粉体误当硅微粉。2025年公司营业收入45.8255亿元，其他材料板块收入10.8310亿元、约占23.64%，该板块还包括陶瓷墨水、纺织墨水和膜用填充材料，年报未单列覆铜板填料收入及占比；电子材料板块6.9345亿元主要对应MLCC介质粉体和浆料，也不能拿来证明PCB规模。基于直接产品已小批量销售但收入未拆分、占比有限，定级为相关。旧“硅微粉、MLCC”混合了两类材料，应只保留覆铜板用功能填料，并删除PCB项下MLCC错标。</t>
        </is>
      </c>
      <c r="J23" s="4" t="inlineStr">
        <is>
          <t>国瓷材料：2025年年度报告</t>
        </is>
      </c>
      <c r="K23" s="4" t="inlineStr">
        <is>
          <t>2026-04-21</t>
        </is>
      </c>
      <c r="L23" s="5" t="inlineStr">
        <is>
          <t>iFinD ifind_get_stock_info + ifind_get_stock_business_segmentation (as of 2026-10-27)；国瓷材料：2025年年度报告</t>
        </is>
      </c>
      <c r="M23" s="6" t="inlineStr">
        <is>
          <t>http://money.finance.sina.com.cn/corp/view/vCB_AllBulletinDetail.php?stockid=300285&amp;id=12120185</t>
        </is>
      </c>
    </row>
    <row r="24" ht="104" customHeight="1">
      <c r="B24" s="7" t="inlineStr">
        <is>
          <t>300395</t>
        </is>
      </c>
      <c r="C24" s="7" t="inlineStr">
        <is>
          <t>菲利华</t>
        </is>
      </c>
      <c r="D24" s="8" t="inlineStr">
        <is>
          <t>PCB：电子布</t>
        </is>
      </c>
      <c r="E24" s="7" t="inlineStr">
        <is>
          <t>纠错</t>
        </is>
      </c>
      <c r="F24" s="7" t="inlineStr">
        <is>
          <t>PCB</t>
        </is>
      </c>
      <c r="G24" s="8" t="inlineStr">
        <is>
          <t>电子布与玻纤材料</t>
        </is>
      </c>
      <c r="H24" s="7" t="inlineStr">
        <is>
          <t>相关</t>
        </is>
      </c>
      <c r="I24" s="8" t="inlineStr">
        <is>
          <t>公司真实生产石英玻璃纤维及石英电子布，石英布可作为高频高速覆铜板的低介电增强材料，具有直接PCB应用基础，不是把全部石英玻璃制品都潜在映射到PCB。2025年石英玻璃材料收入12.5846亿元，石英玻璃制品7.5239亿元，其他0.0550亿元，合计约20.1635亿元；两大分部同时服务航空航天、半导体、光通讯及其他领域，年报未单列石英电子布或覆铜板客户收入，不能把20.1085亿元主业收入全部视为电子布。考虑产品和应用真实、但PCB专用收入未拆分且混合用途广泛，定级为相关。旧“电子布”方向可保留并规范为电子布与玻纤材料，同时应纠正以石英材料总规模证明PCB重要收入的口径。</t>
        </is>
      </c>
      <c r="J24" s="7" t="inlineStr">
        <is>
          <t>湖北菲利华石英玻璃股份有限公司2025年年度报告</t>
        </is>
      </c>
      <c r="K24" s="7" t="inlineStr">
        <is>
          <t>2026-04-24</t>
        </is>
      </c>
      <c r="L24" s="8" t="inlineStr">
        <is>
          <t>iFinD ifind_get_stock_info + ifind_get_stock_business_segmentation (as of 2026-10-27)；湖北菲利华石英玻璃股份有限公司2025年年度报告</t>
        </is>
      </c>
      <c r="M24" s="9" t="inlineStr">
        <is>
          <t>https://static.cninfo.com.cn/finalpage/2026-04-24/1225161586.PDF</t>
        </is>
      </c>
    </row>
    <row r="25" ht="104" customHeight="1">
      <c r="B25" s="4" t="inlineStr">
        <is>
          <t>300410</t>
        </is>
      </c>
      <c r="C25" s="4" t="inlineStr">
        <is>
          <t>正业科技</t>
        </is>
      </c>
      <c r="D25" s="5" t="inlineStr">
        <is>
          <t>PCB：检测</t>
        </is>
      </c>
      <c r="E25" s="4" t="inlineStr">
        <is>
          <t>纠错</t>
        </is>
      </c>
      <c r="F25" s="4" t="inlineStr">
        <is>
          <t>PCB</t>
        </is>
      </c>
      <c r="G25" s="5" t="inlineStr">
        <is>
          <t>PCB设备-检测与测试</t>
        </is>
      </c>
      <c r="H25" s="4" t="inlineStr">
        <is>
          <t>核心</t>
        </is>
      </c>
      <c r="I25" s="5" t="inlineStr">
        <is>
          <t>公司在PCB行业长期提供线宽测量、铜厚和板厚测试、尺寸测量、板弯板翘检测、检孔、阻抗测试及实验仪器，并有字符喷印和层压自动化设备，属于直接PCB检测与测试装备，不是生产PCB裸板。2025年PCB检测自动化收入1.0195亿元，占营业收入8.6922亿元的11.73%，同比增长50.03%；高端新材料2.6405亿元、X光检测2.5576亿元、显示模组1.7911亿元等属于其他混合业务，不能并入PCB设备。该业务虽占比不算绝对多数，但为独立披露、规模过亿元且持续增长的核心产品线，定级为核心。旧“检测”过于宽泛，可能误含锂电X光检测，应明确纠正为PCB设备-检测与测试并保留收入边界。</t>
        </is>
      </c>
      <c r="J25" s="4" t="inlineStr">
        <is>
          <t>正业科技：2025年年度报告</t>
        </is>
      </c>
      <c r="K25" s="4" t="inlineStr">
        <is>
          <t>2026-04-15</t>
        </is>
      </c>
      <c r="L25" s="5" t="inlineStr">
        <is>
          <t>iFinD ifind_get_stock_info + ifind_get_stock_business_segmentation (as of 2026-10-27)；正业科技：2025年年度报告</t>
        </is>
      </c>
      <c r="M25" s="6" t="inlineStr">
        <is>
          <t>https://money.finance.sina.com.cn/corp/view/vCB_AllBulletinDetail.php?stockid=300410&amp;id=12086819</t>
        </is>
      </c>
    </row>
    <row r="26" ht="104" customHeight="1">
      <c r="B26" s="7" t="inlineStr">
        <is>
          <t>300476</t>
        </is>
      </c>
      <c r="C26" s="7" t="inlineStr">
        <is>
          <t>胜宏科技</t>
        </is>
      </c>
      <c r="D26" s="8" t="inlineStr">
        <is>
          <t>PCB：AI服务器相关</t>
        </is>
      </c>
      <c r="E26" s="7" t="inlineStr">
        <is>
          <t>纠错</t>
        </is>
      </c>
      <c r="F26" s="7" t="inlineStr">
        <is>
          <t>PCB</t>
        </is>
      </c>
      <c r="G26" s="8" t="inlineStr">
        <is>
          <t>PCB-高多层与服务器板、PCB-HDI与任意层互连、PCB-FPC与刚挠结合</t>
        </is>
      </c>
      <c r="H26" s="7" t="inlineStr">
        <is>
          <t>核心</t>
        </is>
      </c>
      <c r="I26" s="8" t="inlineStr">
        <is>
          <t>公司专业制造高密度印制线路板，产品覆盖以多层板和高阶HDI为核心的刚性板，以及单双面、多层和刚挠结合FPC；年报明确AI算力卡、数据中心UBB和交换机产品具有实际市场地位，并实现高阶HDI规模生产，算力证据充分。2025年PCB制造收入180.8369亿元，占营业收入93.7352%，其他业务12.0862亿元，不能纳入PCB；PCB内部还包括汽车、医疗、工控等非算力应用，年报未把180.8369亿元全部拆为AI收入，因此不得全部贴上AI服务器口径。基于PCB绝对主业和高端产品规模定级为核心。旧“AI服务器相关”只覆盖部分应用，应按真实板型纠正为高多层与服务器板、HDI及FPC与刚挠结合。</t>
        </is>
      </c>
      <c r="J26" s="7" t="inlineStr">
        <is>
          <t>胜宏科技：2025年年度报告</t>
        </is>
      </c>
      <c r="K26" s="7" t="inlineStr">
        <is>
          <t>2026-03-13</t>
        </is>
      </c>
      <c r="L26" s="8" t="inlineStr">
        <is>
          <t>iFinD ifind_get_stock_info + ifind_get_stock_business_segmentation (as of 2026-10-27)；胜宏科技：2025年年度报告</t>
        </is>
      </c>
      <c r="M26" s="9" t="inlineStr">
        <is>
          <t>https://vip.stock.finance.sina.com.cn/corp/view/vCB_AllBulletinDetail.php?CompanyCode=80323384&amp;gather=1&amp;id=11993270</t>
        </is>
      </c>
    </row>
    <row r="27" ht="104" customHeight="1">
      <c r="B27" s="4" t="inlineStr">
        <is>
          <t>300522</t>
        </is>
      </c>
      <c r="C27" s="4" t="inlineStr">
        <is>
          <t>世名科技</t>
        </is>
      </c>
      <c r="D27" s="5" t="inlineStr">
        <is>
          <t>PCB：碳氢树脂M9</t>
        </is>
      </c>
      <c r="E27" s="4" t="inlineStr">
        <is>
          <t>纠错</t>
        </is>
      </c>
      <c r="F27" s="4" t="inlineStr">
        <is>
          <t>PCB</t>
        </is>
      </c>
      <c r="G27" s="5" t="inlineStr">
        <is>
          <t>树脂-环氧与碳氢</t>
        </is>
      </c>
      <c r="H27" s="4" t="inlineStr">
        <is>
          <t>相关</t>
        </is>
      </c>
      <c r="I27" s="5" t="inlineStr">
        <is>
          <t>公司电子级碳氢树脂已形成小批量供货，正式公告明确主要应用于M6至M8级高速覆铜板，具有真实PCB材料收入；但针对M9或更高等级产品仍处研发储备，尚未落地量产，旧标签必须纠正。2025年公司合并营业收入7.18482亿元，电子级碳氢树脂收入325.97万元、约占0.45%，出货仅7.3吨，设计产能利用率3.3%；着色剂5.7158亿元、特种添加剂1.0904亿元等仍是主要混合业务，树脂类宽口径也不能全部视为电子级碳氢树脂。基于真实销售但占比极低、仍处市场开拓期，定级为相关。旧“碳氢树脂M9”把研发能力误写成量产产品，应改为不加M9限定的树脂-环氧与碳氢，并保留低占比边界。</t>
        </is>
      </c>
      <c r="J27" s="4" t="inlineStr">
        <is>
          <t>世名科技：股票交易严重异常波动公告</t>
        </is>
      </c>
      <c r="K27" s="4" t="inlineStr">
        <is>
          <t>2026-06-25</t>
        </is>
      </c>
      <c r="L27" s="5" t="inlineStr">
        <is>
          <t>iFinD ifind_get_stock_info + ifind_get_stock_business_segmentation (as of 2026-10-27)；世名科技：股票交易严重异常波动公告</t>
        </is>
      </c>
      <c r="M27" s="6" t="inlineStr">
        <is>
          <t>https://money.finance.sina.com.cn/corp/view/vCB_AllBulletinDetail.php?stockid=300522&amp;id=12410088</t>
        </is>
      </c>
    </row>
    <row r="28" ht="104" customHeight="1">
      <c r="B28" s="7" t="inlineStr">
        <is>
          <t>300586</t>
        </is>
      </c>
      <c r="C28" s="7" t="inlineStr">
        <is>
          <t>美联新材</t>
        </is>
      </c>
      <c r="D28" s="8" t="inlineStr">
        <is>
          <t>PCB：苊烯树脂</t>
        </is>
      </c>
      <c r="E28" s="7" t="inlineStr">
        <is>
          <t>纠错</t>
        </is>
      </c>
      <c r="F28" s="7" t="inlineStr">
        <is>
          <t>PCB</t>
        </is>
      </c>
      <c r="G28" s="8" t="inlineStr">
        <is>
          <t>树脂-苊烯与特种</t>
        </is>
      </c>
      <c r="H28" s="7" t="inlineStr">
        <is>
          <t>相关</t>
        </is>
      </c>
      <c r="I28" s="8" t="inlineStr">
        <is>
          <t>公司控股孙公司辉虹科技实际生产EX电子材料，即苊烯类高频高速特种树脂，年报明确其用于高端覆铜板电绝缘层并可服务M8、M9级产品，已有200吨年产能及销售记录，不能按无实际业务的色母粒延伸概念摘除。2025年公司营业收入16.6374亿元，辉虹科技收入0.8306亿元、约占4.99%，但该主体收入主要来自染料、颜料及中间体，年报未单列EX全年收入，故不能将辉虹科技全部收入认作PCB；2025年上半年EX收入911.62万元仅作早期规模旁证。基于真实产品和产能、收入未完整拆分且占比较低，定级为相关。旧“苊烯树脂”方向正确，应规范为树脂-苊烯与特种，并纠正把公司整体精细化工收入混入PCB的口径。</t>
        </is>
      </c>
      <c r="J28" s="7" t="inlineStr">
        <is>
          <t>广东美联新材料股份有限公司2025年年度报告</t>
        </is>
      </c>
      <c r="K28" s="7" t="inlineStr">
        <is>
          <t>2026-03-31</t>
        </is>
      </c>
      <c r="L28" s="8" t="inlineStr">
        <is>
          <t>iFinD ifind_get_stock_info + ifind_get_stock_business_segmentation (as of 2026-10-27)；广东美联新材料股份有限公司2025年年度报告</t>
        </is>
      </c>
      <c r="M28" s="9" t="inlineStr">
        <is>
          <t>http://static.cninfo.com.cn/finalpage/2026-03-31/1225059308.PDF</t>
        </is>
      </c>
    </row>
    <row r="29" ht="104" customHeight="1">
      <c r="B29" s="4" t="inlineStr">
        <is>
          <t>300724</t>
        </is>
      </c>
      <c r="C29" s="4" t="inlineStr">
        <is>
          <t>捷佳伟创</t>
        </is>
      </c>
      <c r="D29" s="5" t="inlineStr">
        <is>
          <t>PCB：电镀</t>
        </is>
      </c>
      <c r="E29" s="4" t="inlineStr">
        <is>
          <t>纠错</t>
        </is>
      </c>
      <c r="F29" s="4" t="inlineStr">
        <is>
          <t>PCB</t>
        </is>
      </c>
      <c r="G29" s="5" t="inlineStr">
        <is>
          <t>PCB设备-电镀</t>
        </is>
      </c>
      <c r="H29" s="4" t="inlineStr">
        <is>
          <t>相关</t>
        </is>
      </c>
      <c r="I29" s="5" t="inlineStr">
        <is>
          <t>公司2025年的真实主业仍是太阳能电池生产设备，收入154.7167亿元、占营业收入100%，其中工艺设备126.6299亿元、自动化设备20.8071亿元，不能把这些光伏湿法、镀膜或自动化设备收入推定为PCB电镀收入。年报同时明确披露自主研发的全自动移载式填孔电镀设备用于PCB及IC载制程，首条设备于2026年3月出货，正式互动亦确认可生产多类型PCB，因而并非仅凭光伏设备作概念联想。不过该业务刚进入客户交付阶段，2025年没有单列PCB收入，也未形成可验证的规模占比，故定为相关而非核心；旧“电镀”保留产业方向但纠正收入归属和成熟阶段。</t>
        </is>
      </c>
      <c r="J29" s="4" t="inlineStr">
        <is>
          <t>捷佳伟创：2025年年度报告</t>
        </is>
      </c>
      <c r="K29" s="4" t="inlineStr">
        <is>
          <t>2026-04-27</t>
        </is>
      </c>
      <c r="L29" s="5" t="inlineStr">
        <is>
          <t>iFinD ifind_get_stock_info + ifind_get_stock_business_segmentation (as of 2026-10-27)；捷佳伟创：2025年年度报告</t>
        </is>
      </c>
      <c r="M29" s="6" t="inlineStr">
        <is>
          <t>https://pdf.dfcfw.com/pdf/H2_AN202604261821591929_1.pdf</t>
        </is>
      </c>
    </row>
    <row r="30" ht="104" customHeight="1">
      <c r="B30" s="7" t="inlineStr">
        <is>
          <t>300758</t>
        </is>
      </c>
      <c r="C30" s="7" t="inlineStr">
        <is>
          <t>七彩化学</t>
        </is>
      </c>
      <c r="D30" s="8" t="inlineStr">
        <is>
          <t>PCB：苊烯树脂</t>
        </is>
      </c>
      <c r="E30" s="7" t="inlineStr">
        <is>
          <t>纠错</t>
        </is>
      </c>
      <c r="F30" s="7" t="inlineStr">
        <is>
          <t>PCB</t>
        </is>
      </c>
      <c r="G30" s="8" t="inlineStr">
        <is>
          <t>PCB股权与产业投资</t>
        </is>
      </c>
      <c r="H30" s="7" t="inlineStr">
        <is>
          <t>相关</t>
        </is>
      </c>
      <c r="I30" s="8" t="inlineStr">
        <is>
          <t>公司自身2025年主营为高性能有机颜料、染料和材料单体，染颜料收入12.3772亿元、约占营业收入82.78%，中间体及材料单体收入2.3998亿元、约占16.05%，均不能直接列为苊烯树脂或PCB收入。年报显示公司以权益法持有辽宁美彩新材料有限公司31.50%股权，正式互动确认参股企业辉虹科技的EX电子材料可用于M9级高端覆铜板，真实关系是参股产业链而非上市公司自身已有规模化苊烯主营。公司没有单列PCB营业收入，亦不能把全部精细化工收入混入该概念，因此定为相关；旧“苊烯树脂”容易被理解为自产产品，现纠正为PCB股权与产业投资，并明确产品、收入和经营主体边界。</t>
        </is>
      </c>
      <c r="J30" s="7" t="inlineStr">
        <is>
          <t>七彩化学关于参股企业辉虹科技EX电子材料应用的互动易回复</t>
        </is>
      </c>
      <c r="K30" s="7" t="inlineStr">
        <is>
          <t>2026-01-22</t>
        </is>
      </c>
      <c r="L30" s="8" t="inlineStr">
        <is>
          <t>iFinD ifind_get_stock_info + ifind_get_stock_business_segmentation (as of 2026-10-27)；七彩化学关于参股企业辉虹科技EX电子材料应用的互动易回复</t>
        </is>
      </c>
      <c r="M30" s="9" t="inlineStr">
        <is>
          <t>https://ir.p5w.net/question/00018E0DB9C9817B4E85B0F479C80E31738A.shtml</t>
        </is>
      </c>
    </row>
    <row r="31" ht="104" customHeight="1">
      <c r="B31" s="4" t="inlineStr">
        <is>
          <t>300814</t>
        </is>
      </c>
      <c r="C31" s="4" t="inlineStr">
        <is>
          <t>中富电路</t>
        </is>
      </c>
      <c r="D31" s="5" t="inlineStr">
        <is>
          <t>PCB：AI服务器相关</t>
        </is>
      </c>
      <c r="E31" s="4" t="inlineStr">
        <is>
          <t>纠错</t>
        </is>
      </c>
      <c r="F31" s="4" t="inlineStr">
        <is>
          <t>PCB</t>
        </is>
      </c>
      <c r="G31" s="5" t="inlineStr">
        <is>
          <t>PCB-高多层与服务器板、PCB-HDI与任意层互连</t>
        </is>
      </c>
      <c r="H31" s="4" t="inlineStr">
        <is>
          <t>核心</t>
        </is>
      </c>
      <c r="I31" s="5" t="inlineStr">
        <is>
          <t>公司真实产品是单双面板、多层板、封装基板、高频高速板、刚挠结合板和高阶HDI板，直接从事PCB研发、生产和销售，并非仅由下游服务器需求作概念外推。2025年印制电路板收入16.7795亿元、占营业收入89.2939%，其他业务2.0118亿元、占10.7061%，后者不得并入PCB产品收入；通信及数据中心应用收入7.5764亿元、占主营业务收入约45.15%，同比增长约76.95%，主要受数据中心电源和天线板需求带动，证明服务器相关应用已有实际收入而非纯研发题材。PCB主业占比和数据中心业务规模均支持核心定级；旧“AI服务器相关”纠正为更准确的高多层与服务器板，并补充已有真实产品的高阶HDI标签。</t>
        </is>
      </c>
      <c r="J31" s="4" t="inlineStr">
        <is>
          <t>中富电路：2025年年度报告</t>
        </is>
      </c>
      <c r="K31" s="4" t="inlineStr">
        <is>
          <t>2026-04-29</t>
        </is>
      </c>
      <c r="L31" s="5" t="inlineStr">
        <is>
          <t>iFinD ifind_get_stock_info + ifind_get_stock_business_segmentation (as of 2026-10-27)；中富电路：2025年年度报告</t>
        </is>
      </c>
      <c r="M31" s="6" t="inlineStr">
        <is>
          <t>https://pdf.dfcfw.com/pdf/H2_AN202604281821705314_1.pdf</t>
        </is>
      </c>
    </row>
    <row r="32" ht="104" customHeight="1">
      <c r="B32" s="7" t="inlineStr">
        <is>
          <t>300903</t>
        </is>
      </c>
      <c r="C32" s="7" t="inlineStr">
        <is>
          <t>科翔股份</t>
        </is>
      </c>
      <c r="D32" s="8" t="inlineStr">
        <is>
          <t>PCB：AI服务器相关</t>
        </is>
      </c>
      <c r="E32" s="7" t="inlineStr">
        <is>
          <t>纠错</t>
        </is>
      </c>
      <c r="F32" s="7" t="inlineStr">
        <is>
          <t>PCB</t>
        </is>
      </c>
      <c r="G32" s="8" t="inlineStr">
        <is>
          <t>PCB-高多层与服务器板、PCB-HDI与任意层互连</t>
        </is>
      </c>
      <c r="H32" s="7" t="inlineStr">
        <is>
          <t>核心</t>
        </is>
      </c>
      <c r="I32" s="8" t="inlineStr">
        <is>
          <t>公司直接研发、生产和销售高密度印制电路板，真实产品包括高多层板、HDI、厚铜板、高频高速板、金属基板及软硬结合板，PCB产品属性和高多层、高密度技术路线均有年报支撑。2025年PCB制造收入33.7952亿元、占营业收入90.8367%，其他业务收入3.3791亿元、占9.0824%，正极材料收入0.0301亿元、占0.0808%，两项非PCB口径不得混入；年报披露AI服务器PCB研发，但服务器专用产品未单列收入，因此不能把全部PCB制造收入都表述为AI服务器收入。核心结论来自PCB绝对主营和规模化产品，而非对单一终端的想象；旧笼统“AI服务器相关”现细化为高多层与服务器板及HDI两类真实产品标签。</t>
        </is>
      </c>
      <c r="J32" s="7" t="inlineStr">
        <is>
          <t>科翔股份：2025年年度报告</t>
        </is>
      </c>
      <c r="K32" s="7" t="inlineStr">
        <is>
          <t>2026-04-25</t>
        </is>
      </c>
      <c r="L32" s="8" t="inlineStr">
        <is>
          <t>iFinD ifind_get_stock_info + ifind_get_stock_business_segmentation (as of 2026-10-27)；科翔股份：2025年年度报告</t>
        </is>
      </c>
      <c r="M32" s="9" t="inlineStr">
        <is>
          <t>https://pdf.dfcfw.com/pdf/H2_AN202604241821559658_1.pdf</t>
        </is>
      </c>
    </row>
    <row r="33" ht="104" customHeight="1">
      <c r="B33" s="4" t="inlineStr">
        <is>
          <t>301021</t>
        </is>
      </c>
      <c r="C33" s="4" t="inlineStr">
        <is>
          <t>英诺激光</t>
        </is>
      </c>
      <c r="D33" s="5" t="inlineStr">
        <is>
          <t>PCB：钻孔</t>
        </is>
      </c>
      <c r="E33" s="4" t="inlineStr">
        <is>
          <t>保留</t>
        </is>
      </c>
      <c r="F33" s="4" t="inlineStr">
        <is>
          <t>PCB</t>
        </is>
      </c>
      <c r="G33" s="5" t="inlineStr">
        <is>
          <t>PCB设备-钻孔与激光加工</t>
        </is>
      </c>
      <c r="H33" s="4" t="inlineStr">
        <is>
          <t>相关</t>
        </is>
      </c>
      <c r="I33" s="5" t="inlineStr">
        <is>
          <t>公司主营微加工激光器和定制激光模组，真实PCB相关产品包括FPC激光高速钻孔设备、超快激光钻孔设备及PCB加工激光模组，属于直接的激光钻孔与加工链条，不是仅凭激光器具有理论用途加标。2025年激光器收入2.8942亿元、定制激光模组1.6159亿元，营业收入合计5.1331亿元；其中年报明确PCB加工激光模组收入4934万元，按营业收入计算约占9.61%，其余激光器和模组还面向半导体、医疗、消费电子等多种用途，不能全部算作PCB收入。PCB业务已有实际销售但占比不足一成且产品仍在拓展，故维持相关而非核心；旧“钻孔”统一为白名单的钻孔与激光加工概念。</t>
        </is>
      </c>
      <c r="J33" s="4" t="inlineStr">
        <is>
          <t>英诺激光：2025年年度报告</t>
        </is>
      </c>
      <c r="K33" s="4" t="inlineStr">
        <is>
          <t>2026-04-25</t>
        </is>
      </c>
      <c r="L33" s="5" t="inlineStr">
        <is>
          <t>iFinD ifind_get_stock_info + ifind_get_stock_business_segmentation (as of 2026-10-27)；英诺激光：2025年年度报告</t>
        </is>
      </c>
      <c r="M33" s="6" t="inlineStr">
        <is>
          <t>https://pdf.dfcfw.com/pdf/H2_AN202604241821560685_1.pdf</t>
        </is>
      </c>
    </row>
    <row r="34" ht="104" customHeight="1">
      <c r="B34" s="7" t="inlineStr">
        <is>
          <t>301132</t>
        </is>
      </c>
      <c r="C34" s="7" t="inlineStr">
        <is>
          <t>满坤科技</t>
        </is>
      </c>
      <c r="D34" s="8" t="inlineStr">
        <is>
          <t>PCB：AI服务器相关</t>
        </is>
      </c>
      <c r="E34" s="7" t="inlineStr">
        <is>
          <t>纠错</t>
        </is>
      </c>
      <c r="F34" s="7" t="inlineStr">
        <is>
          <t>PCB</t>
        </is>
      </c>
      <c r="G34" s="8" t="inlineStr">
        <is>
          <t>PCB-通用刚性板</t>
        </is>
      </c>
      <c r="H34" s="7" t="inlineStr">
        <is>
          <t>核心</t>
        </is>
      </c>
      <c r="I34" s="8" t="inlineStr">
        <is>
          <t>公司真实主营为印制电路板研发、生产和销售，产品以单双面板和多层刚性板为主。2025年PCB产品收入14.7052亿元、约占总营收16.4715亿元的89.28%，其他业务1.7664亿元不能混入PCB产品收入，核心定级由PCB主业支撑。年报除披露AI服务器领域的布局、接触、试样、试产和联合研发外，还明确中高端服务器电源产品订单增长并已规模化批量出货，说明该类电源PCB已形成实际交付；但公司未单列AI服务器板收入，服务器电源PCB也不能等同全部AI服务器板。因此维持核心和通用刚性板标签，既不把研发机会当成收入，也不遗漏服务器电源产品的量产事实。</t>
        </is>
      </c>
      <c r="J34" s="7" t="inlineStr">
        <is>
          <t>吉安满坤科技股份有限公司2025年年度报告</t>
        </is>
      </c>
      <c r="K34" s="7" t="inlineStr">
        <is>
          <t>2026-04-28</t>
        </is>
      </c>
      <c r="L34" s="8" t="inlineStr">
        <is>
          <t>iFinD ifind_get_stock_info + ifind_get_stock_business_segmentation (as of 2026-10-27)；吉安满坤科技股份有限公司2025年年度报告</t>
        </is>
      </c>
      <c r="M34" s="9" t="inlineStr">
        <is>
          <t>https://pdf.dfcfw.com/pdf/H2_AN202604281821694054_1.pdf</t>
        </is>
      </c>
    </row>
    <row r="35" ht="104" customHeight="1">
      <c r="B35" s="4" t="inlineStr">
        <is>
          <t>301176</t>
        </is>
      </c>
      <c r="C35" s="4" t="inlineStr">
        <is>
          <t>逸豪新材</t>
        </is>
      </c>
      <c r="D35" s="5" t="inlineStr">
        <is>
          <t>PCB：HVLP</t>
        </is>
      </c>
      <c r="E35" s="4" t="inlineStr">
        <is>
          <t>纠错</t>
        </is>
      </c>
      <c r="F35" s="4" t="inlineStr">
        <is>
          <t>PCB</t>
        </is>
      </c>
      <c r="G35" s="5" t="inlineStr">
        <is>
          <t>铜箔-通用PCB、PCB-通用刚性板、覆铜板与粘结片</t>
        </is>
      </c>
      <c r="H35" s="4" t="inlineStr">
        <is>
          <t>核心</t>
        </is>
      </c>
      <c r="I35" s="5" t="inlineStr">
        <is>
          <t>公司形成电子电路铜箔、铝基覆铜板和印制电路板的垂直产品链，2025年电子电路铜箔收入12.3161亿元、约占营业收入71.61%，PCB收入4.3620亿元、约占25.36%，两项均为真实规模化收入，其他业务0.5218亿元不应计入。年报明确HVLP铜箔仍处于研发、送样和客户认证阶段，没有单列HVLP销售收入，因此旧“HVLP”不能代表当前主要收入，应纠正为已规模销售的通用PCB铜箔，并补充真实PCB及覆铜板产品。公司电子电路铜箔已覆盖多家覆铜板和PCB客户，产业链收入合计占绝对多数，核心定级有充分依据；同时不将尚处认证的高端产品与现有标准铜箔收入混为一谈。</t>
        </is>
      </c>
      <c r="J35" s="4" t="inlineStr">
        <is>
          <t>逸豪新材：2025年年度报告</t>
        </is>
      </c>
      <c r="K35" s="4" t="inlineStr">
        <is>
          <t>2026-04-24</t>
        </is>
      </c>
      <c r="L35" s="5" t="inlineStr">
        <is>
          <t>iFinD ifind_get_stock_info + ifind_get_stock_business_segmentation (as of 2026-10-27)；逸豪新材：2025年年度报告</t>
        </is>
      </c>
      <c r="M35" s="6" t="inlineStr">
        <is>
          <t>https://pdf.dfcfw.com/pdf/H2_AN202604231821515504_1.pdf</t>
        </is>
      </c>
    </row>
    <row r="36" ht="104" customHeight="1">
      <c r="B36" s="7" t="inlineStr">
        <is>
          <t>301200</t>
        </is>
      </c>
      <c r="C36" s="7" t="inlineStr">
        <is>
          <t>大族数控</t>
        </is>
      </c>
      <c r="D36" s="8" t="inlineStr">
        <is>
          <t>PCB：钻孔</t>
        </is>
      </c>
      <c r="E36" s="7" t="inlineStr">
        <is>
          <t>纠错</t>
        </is>
      </c>
      <c r="F36" s="7" t="inlineStr">
        <is>
          <t>PCB</t>
        </is>
      </c>
      <c r="G36" s="8" t="inlineStr">
        <is>
          <t>PCB设备-钻孔与激光加工、PCB设备-检测与测试、PCB设备-曝光与成像</t>
        </is>
      </c>
      <c r="H36" s="7" t="inlineStr">
        <is>
          <t>核心</t>
        </is>
      </c>
      <c r="I36" s="8" t="inlineStr">
        <is>
          <t>公司主营就是PCB专用设备，真实产品覆盖机械钻孔机、CO2及超快激光钻孔设备、曝光设备、成型设备和电性能测试设备，并非一般工业激光或通用机床的潜在外推。2025年专用设备收入57.7294亿元，年报行业口径PCB占100%；其中钻孔类设备41.6735亿元、约占营业收入72.19%，检测类5.3352亿元、约占9.24%，曝光类3.2218亿元、约占5.58%，成型类2.7019亿元、其他业务3.4291亿元，各口径应分别看待而不能全归为钻孔。收入规模和完整产品矩阵均支持核心定级；旧“钻孔”只覆盖最大产品线，现纠正并补充已有独立收入的检测测试和曝光成像设备标签。</t>
        </is>
      </c>
      <c r="J36" s="7" t="inlineStr">
        <is>
          <t>大族数控：2025年年度报告</t>
        </is>
      </c>
      <c r="K36" s="7" t="inlineStr">
        <is>
          <t>2026-03-31</t>
        </is>
      </c>
      <c r="L36" s="8" t="inlineStr">
        <is>
          <t>iFinD ifind_get_stock_info + ifind_get_stock_business_segmentation (as of 2026-10-27)；大族数控：2025年年度报告</t>
        </is>
      </c>
      <c r="M36" s="9" t="inlineStr">
        <is>
          <t>https://pdf.dfcfw.com/pdf/H2_AN202603301820871045_1.pdf</t>
        </is>
      </c>
    </row>
    <row r="37" ht="104" customHeight="1">
      <c r="B37" s="4" t="inlineStr">
        <is>
          <t>301217</t>
        </is>
      </c>
      <c r="C37" s="4" t="inlineStr">
        <is>
          <t>铜冠铜箔</t>
        </is>
      </c>
      <c r="D37" s="5" t="inlineStr">
        <is>
          <t>PCB：HVLP</t>
        </is>
      </c>
      <c r="E37" s="4" t="inlineStr">
        <is>
          <t>纠错</t>
        </is>
      </c>
      <c r="F37" s="4" t="inlineStr">
        <is>
          <t>PCB</t>
        </is>
      </c>
      <c r="G37" s="5" t="inlineStr">
        <is>
          <t>铜箔-HVLP与高频高速、铜箔-通用PCB</t>
        </is>
      </c>
      <c r="H37" s="4" t="inlineStr">
        <is>
          <t>核心</t>
        </is>
      </c>
      <c r="I37" s="5" t="inlineStr">
        <is>
          <t>公司真实产品同时包括PCB铜箔和锂电池铜箔，PCB方向已有HTE、RTF及HVLP等电子电路铜箔产品，高频高速低轮廓铜箔不是由锂电铜箔用途推导而来。2025年PCB铜箔收入37.0375亿元、约占营业收入55.36%，锂电池铜箔26.2153亿元、约占39.19%，铜扁线等3.0742亿元、其他业务0.5652亿元，必须严格分开，不能把制造业66.8921亿元全部算作PCB收入。PCB铜箔已经过半且绝对规模较大，因此由旧“相关”上调为核心；旧“HVLP”保留为高端产品线，同时补充通用PCB铜箔以覆盖实际收入主体，但未披露HVLP单独收入，故不把37.0375亿元全部解释为HVLP收入。</t>
        </is>
      </c>
      <c r="J37" s="4" t="inlineStr">
        <is>
          <t>铜冠铜箔：2025年年度报告</t>
        </is>
      </c>
      <c r="K37" s="4" t="inlineStr">
        <is>
          <t>2026-04-18</t>
        </is>
      </c>
      <c r="L37" s="5" t="inlineStr">
        <is>
          <t>iFinD ifind_get_stock_info + ifind_get_stock_business_segmentation (as of 2026-10-27)；铜冠铜箔：2025年年度报告</t>
        </is>
      </c>
      <c r="M37" s="6" t="inlineStr">
        <is>
          <t>https://pdf.dfcfw.com/pdf/H2_AN202604171821300925_1.pdf</t>
        </is>
      </c>
    </row>
    <row r="38" ht="104" customHeight="1">
      <c r="B38" s="7" t="inlineStr">
        <is>
          <t>301251</t>
        </is>
      </c>
      <c r="C38" s="7" t="inlineStr">
        <is>
          <t>威尔高</t>
        </is>
      </c>
      <c r="D38" s="8" t="inlineStr">
        <is>
          <t>PCB：AI服务器相关</t>
        </is>
      </c>
      <c r="E38" s="7" t="inlineStr">
        <is>
          <t>保留</t>
        </is>
      </c>
      <c r="F38" s="7" t="inlineStr">
        <is>
          <t>PCB</t>
        </is>
      </c>
      <c r="G38" s="8" t="inlineStr">
        <is>
          <t>PCB-高多层与服务器板</t>
        </is>
      </c>
      <c r="H38" s="7" t="inlineStr">
        <is>
          <t>核心</t>
        </is>
      </c>
      <c r="I38" s="8" t="inlineStr">
        <is>
          <t>公司直接从事印制电路板研发、生产和销售，真实优势产品包括高多层厚铜板、电源板、HDI及光模块板，AI服务器电源PCB已有订单和持续交付，不是单纯概念映射。2025年印制电路板收入13.4287亿元、占营业收入86.9564%，其他业务收入2.0143亿元、占13.0436%，不得计入PCB；年报进一步披露AI服务器AC-DC订单增长明显，占主营业务收入约42%，DC-DC高端电源模块已实现批量生产和持续交付，说明服务器电源产品已形成实际业务。PCB整体占比与AI电源细分规模均支持核心结论，维持核心及服务器板方向；旧“AI服务器相关”规范为高多层与服务器板，同时避免把其余汽车、工控和MiniLED产品收入全部归入AI服务器。</t>
        </is>
      </c>
      <c r="J38" s="7" t="inlineStr">
        <is>
          <t>威尔高：2025年年度报告</t>
        </is>
      </c>
      <c r="K38" s="7" t="inlineStr">
        <is>
          <t>2026-04-28</t>
        </is>
      </c>
      <c r="L38" s="8" t="inlineStr">
        <is>
          <t>iFinD ifind_get_stock_info + ifind_get_stock_business_segmentation (as of 2026-10-27)；威尔高：2025年年度报告</t>
        </is>
      </c>
      <c r="M38" s="9" t="inlineStr">
        <is>
          <t>https://pdf.dfcfw.com/pdf/H2_AN202604271821623877_1.pdf</t>
        </is>
      </c>
    </row>
    <row r="39" ht="104" customHeight="1">
      <c r="B39" s="4" t="inlineStr">
        <is>
          <t>301338</t>
        </is>
      </c>
      <c r="C39" s="4" t="inlineStr">
        <is>
          <t>凯格精机</t>
        </is>
      </c>
      <c r="D39" s="5" t="inlineStr">
        <is>
          <t>PCB：贴片</t>
        </is>
      </c>
      <c r="E39" s="4" t="inlineStr">
        <is>
          <t>保留</t>
        </is>
      </c>
      <c r="F39" s="4" t="inlineStr">
        <is>
          <t>PCB</t>
        </is>
      </c>
      <c r="G39" s="5" t="inlineStr">
        <is>
          <t>PCB设备-SMT与贴装</t>
        </is>
      </c>
      <c r="H39" s="4" t="inlineStr">
        <is>
          <t>核心</t>
        </is>
      </c>
      <c r="I39" s="5" t="inlineStr">
        <is>
          <t>公司真实核心产品为SMT产线锡膏印刷设备，并经营点胶、封装和柔性自动化设备。锡膏印刷设备将锡膏精准印刷至PCB焊盘，是PCBA表面贴装的首道核心工序，属于白名单明确的SMT与贴装设备，但应与PCB裸板制造设备区分。2025年锡膏印刷设备收入7.4186亿元、约占营业收入64.18%，封装设备1.4417亿元、点胶设备1.3989亿元、柔性自动化设备0.8812亿元、其他业务0.4179亿元，不能将专用设备11.5583亿元全部算作锡膏印刷或PCB收入。锡膏印刷已经形成主要收入来源和规模产品，故维持核心；旧“贴片”纠正表述为更准确的SMT与贴装，不暗示公司直接生产PCB裸板。</t>
        </is>
      </c>
      <c r="J39" s="4" t="inlineStr">
        <is>
          <t>凯格精机：2025年年度报告</t>
        </is>
      </c>
      <c r="K39" s="4" t="inlineStr">
        <is>
          <t>2026-04-28</t>
        </is>
      </c>
      <c r="L39" s="5" t="inlineStr">
        <is>
          <t>iFinD ifind_get_stock_info + ifind_get_stock_business_segmentation (as of 2026-10-27)；凯格精机：2025年年度报告</t>
        </is>
      </c>
      <c r="M39" s="6" t="inlineStr">
        <is>
          <t>https://pdf.dfcfw.com/pdf/H2_AN202604271821622387_1.pdf</t>
        </is>
      </c>
    </row>
    <row r="40" ht="104" customHeight="1">
      <c r="B40" s="7" t="inlineStr">
        <is>
          <t>301366</t>
        </is>
      </c>
      <c r="C40" s="7" t="inlineStr">
        <is>
          <t>一博科技</t>
        </is>
      </c>
      <c r="D40" s="8" t="inlineStr">
        <is>
          <t>PCB：PCB</t>
        </is>
      </c>
      <c r="E40" s="7" t="inlineStr">
        <is>
          <t>纠错</t>
        </is>
      </c>
      <c r="F40" s="7" t="inlineStr">
        <is>
          <t>PCB</t>
        </is>
      </c>
      <c r="G40" s="8" t="inlineStr">
        <is>
          <t>PCB设计与SMT服务</t>
        </is>
      </c>
      <c r="H40" s="7" t="inlineStr">
        <is>
          <t>核心</t>
        </is>
      </c>
      <c r="I40" s="8" t="inlineStr">
        <is>
          <t>公司以PCB研发设计为基础，提供PCBA制造和一站式硬件创新服务，真实业务同时覆盖设计、研发打样及贴装制造，不是单纯PCB裸板生产商。2025年PCBA制造服务收入8.9823亿元，按营业收入11.2713亿元计算约占79.69%；PCB设计服务收入2.2105亿元、约占19.61%，其他业务0.0785亿元、约占0.70%。网络通信、工业控制、集成电路、医疗电子和人工智能等是按下游应用划分的混合口径，不能与PCBA、设计服务收入重复相加，也不能把人工智能领域收入全部解释为AI服务器PCB。两项直接业务合计接近全部收入，核心定级明确；旧笼统“PCB”现纠正为PCB设计与SMT服务，准确反映其服务和制造边界。</t>
        </is>
      </c>
      <c r="J40" s="7" t="inlineStr">
        <is>
          <t>一博科技：2025年年度报告</t>
        </is>
      </c>
      <c r="K40" s="7" t="inlineStr">
        <is>
          <t>2026-04-16</t>
        </is>
      </c>
      <c r="L40" s="8" t="inlineStr">
        <is>
          <t>iFinD ifind_get_stock_info + ifind_get_stock_business_segmentation (as of 2026-10-27)；一博科技：2025年年度报告</t>
        </is>
      </c>
      <c r="M40" s="9" t="inlineStr">
        <is>
          <t>https://pdf.dfcfw.com/pdf/H2_AN202604151821243093_1.pdf</t>
        </is>
      </c>
    </row>
    <row r="41" ht="104" customHeight="1">
      <c r="B41" s="4" t="inlineStr">
        <is>
          <t>301373</t>
        </is>
      </c>
      <c r="C41" s="4" t="inlineStr">
        <is>
          <t>凌玮科技</t>
        </is>
      </c>
      <c r="D41" s="5" t="inlineStr">
        <is>
          <t>PCB：硅微粉</t>
        </is>
      </c>
      <c r="E41" s="4" t="inlineStr">
        <is>
          <t>纠错</t>
        </is>
      </c>
      <c r="F41" s="4" t="inlineStr">
        <is>
          <t>PCB</t>
        </is>
      </c>
      <c r="G41" s="5" t="inlineStr">
        <is>
          <t>填料-硅微粉与功能粉体</t>
        </is>
      </c>
      <c r="H41" s="4" t="inlineStr">
        <is>
          <t>相关</t>
        </is>
      </c>
      <c r="I41" s="5" t="inlineStr">
        <is>
          <t>公司原有主营为纳米二氧化硅等纳米新材料，2025年纳米新材料收入4.8239亿元，约占营业收入96.43%，主要服务涂料等既有应用，不能全部算作覆铜板硅微粉收入。2026年公司取得江苏辉迈控制权后形成更直接的球形硅微粉布局，但官方风险公告明确：江苏辉迈2025年收入约占公司整体收入5%，且纳入的是2026年合并报表；其球形硅微粉用于M9覆铜板仍处下游客户小试，尚未进入实质生产、未形成订单。由此可见产品有真实研发和验证基础，但目前属于早期低占比业务，不支持旧“核心”判断，故降为相关；旧“硅微粉”保留方向，同时纠正把既有纳米材料收入和未来M9潜在用途混同的错误。</t>
        </is>
      </c>
      <c r="J41" s="4" t="inlineStr">
        <is>
          <t>凌玮科技：关于股票交易严重异常波动的公告</t>
        </is>
      </c>
      <c r="K41" s="4" t="inlineStr">
        <is>
          <t>2026-03-10</t>
        </is>
      </c>
      <c r="L41" s="5" t="inlineStr">
        <is>
          <t>iFinD ifind_get_stock_info + ifind_get_stock_business_segmentation (as of 2026-10-27)；凌玮科技：关于股票交易严重异常波动的公告</t>
        </is>
      </c>
      <c r="M41" s="6" t="inlineStr">
        <is>
          <t>https://pdf.dfcfw.com/pdf/H2_AN202603101820462610_1.pdf</t>
        </is>
      </c>
    </row>
    <row r="42" ht="104" customHeight="1">
      <c r="B42" s="7" t="inlineStr">
        <is>
          <t>301377</t>
        </is>
      </c>
      <c r="C42" s="7" t="inlineStr">
        <is>
          <t>鼎泰高科</t>
        </is>
      </c>
      <c r="D42" s="8" t="inlineStr">
        <is>
          <t>PCB：钻针</t>
        </is>
      </c>
      <c r="E42" s="7" t="inlineStr">
        <is>
          <t>保留</t>
        </is>
      </c>
      <c r="F42" s="7" t="inlineStr">
        <is>
          <t>PCB</t>
        </is>
      </c>
      <c r="G42" s="8" t="inlineStr">
        <is>
          <t>PCB刀具-钻针与铣刀</t>
        </is>
      </c>
      <c r="H42" s="7" t="inlineStr">
        <is>
          <t>核心</t>
        </is>
      </c>
      <c r="I42" s="8" t="inlineStr">
        <is>
          <t>公司直接为PCB及数控精密机件客户提供工具、材料和装备，核心真实产品包括PCB微型钻针、铣刀等精密刀具，具有明确的PCB加工用途和客户基础，并非通用刀具的简单概念延伸。2025年刀具产品收入17.3985亿元，按营业收入约21.4215亿元计算约占81.22%；研磨抛光材料1.9245亿元、自动化设备0.7679亿元、功能性膜产品0.7369亿元、其他业务0.5936亿元，不能全部并入PCB钻针收入。刀具分部还包含少量非PCB精密加工应用，年报未拆出纯PCB刀具收入，因此不虚构更精确的PCB占比。刀具为公司绝对主要收入来源且PCB钻针具有规模和市场地位，维持核心；旧“钻针”规范为钻针与铣刀概念。</t>
        </is>
      </c>
      <c r="J42" s="7" t="inlineStr">
        <is>
          <t>鼎泰高科：2025年年度报告</t>
        </is>
      </c>
      <c r="K42" s="7" t="inlineStr">
        <is>
          <t>2026-03-27</t>
        </is>
      </c>
      <c r="L42" s="8" t="inlineStr">
        <is>
          <t>iFinD ifind_get_stock_info + ifind_get_stock_business_segmentation (as of 2026-10-27)；鼎泰高科：2025年年度报告</t>
        </is>
      </c>
      <c r="M42" s="9" t="inlineStr">
        <is>
          <t>https://pdf.dfcfw.com/pdf/H2_AN202603261820774160_1.pdf</t>
        </is>
      </c>
    </row>
    <row r="43" ht="104" customHeight="1">
      <c r="B43" s="4" t="inlineStr">
        <is>
          <t>301389</t>
        </is>
      </c>
      <c r="C43" s="4" t="inlineStr">
        <is>
          <t>隆扬电子</t>
        </is>
      </c>
      <c r="D43" s="5" t="inlineStr">
        <is>
          <t>PCB：HVLP</t>
        </is>
      </c>
      <c r="E43" s="4" t="inlineStr">
        <is>
          <t>纠错</t>
        </is>
      </c>
      <c r="F43" s="4" t="inlineStr">
        <is>
          <t>PCB</t>
        </is>
      </c>
      <c r="G43" s="5" t="inlineStr">
        <is>
          <t>铜箔-HVLP与高频高速</t>
        </is>
      </c>
      <c r="H43" s="4" t="inlineStr">
        <is>
          <t>相关</t>
        </is>
      </c>
      <c r="I43" s="5" t="inlineStr">
        <is>
          <t>公司2025年主要收入仍来自电磁屏蔽、缓冲减震和电子胶黏材料，其中屏蔽材料2.7751亿元、约占营业收入55.03%，缓冲减震材料1.00467亿元、电子胶粘材料0.881375亿元，均不能作为PCB收入。真实PCB关联来自电子铜箔材料；年报分产品表已单列电子铜箔材料收入182,214.80元，即0.001822148亿元，占总营收约0.0361%，按年报两位小数披露为0.04%，因此初审“没有单列可靠占比”应更正。HVLP5铜箔未来主要用作覆铜板和PCB原材料，但截至期末尚未规模化量产销售，仍处客户技术适配与可靠性验证，仅有少量样品订单，对当期收入影响极小。该证据支持保留早期相关业务，而非按成熟铜箔企业定核心；维持相关，屏蔽材料收入不得用来证明HVLP业务规模。</t>
        </is>
      </c>
      <c r="J43" s="4" t="inlineStr">
        <is>
          <t>隆扬电子：2025年年度报告</t>
        </is>
      </c>
      <c r="K43" s="4" t="inlineStr">
        <is>
          <t>2026-04-27</t>
        </is>
      </c>
      <c r="L43" s="5" t="inlineStr">
        <is>
          <t>iFinD ifind_get_stock_info + ifind_get_stock_business_segmentation (as of 2026-10-27)；隆扬电子：2025年年度报告</t>
        </is>
      </c>
      <c r="M43" s="6" t="inlineStr">
        <is>
          <t>https://pdf.dfcfw.com/pdf/H2_AN202604261821589798_1.pdf</t>
        </is>
      </c>
    </row>
    <row r="44" ht="104" customHeight="1">
      <c r="B44" s="7" t="inlineStr">
        <is>
          <t>301511</t>
        </is>
      </c>
      <c r="C44" s="7" t="inlineStr">
        <is>
          <t>德福科技</t>
        </is>
      </c>
      <c r="D44" s="8" t="inlineStr">
        <is>
          <t>PCB：HVLP</t>
        </is>
      </c>
      <c r="E44" s="7" t="inlineStr">
        <is>
          <t>纠错</t>
        </is>
      </c>
      <c r="F44" s="7" t="inlineStr">
        <is>
          <t>PCB</t>
        </is>
      </c>
      <c r="G44" s="8" t="inlineStr">
        <is>
          <t>铜箔-HVLP与高频高速、铜箔-通用PCB</t>
        </is>
      </c>
      <c r="H44" s="7" t="inlineStr">
        <is>
          <t>核心</t>
        </is>
      </c>
      <c r="I44" s="8" t="inlineStr">
        <is>
          <t>公司真实产品分为锂电铜箔与电子电路铜箔，后者用于覆铜板和PCB，RTF、HVLP及载体铜箔等高频高速产品已有研发、认证或量产进展，具备直接产业证据。2025年电子电路铜箔收入17.8106亿元，按营业收入124.3653亿元计算约占14.32%；锂电铜箔收入100.2560亿元、约占80.61%，其他业务6.2987亿元，绝不能把铜箔总收入或锂电收入全部算入PCB。电子电路铜箔已经形成较大绝对收入，但在公司整体中仍为少数，且HVLP没有单列收入，故维持相关而非因高端产品题材上调核心；旧“HVLP”补充通用PCB铜箔以反映实际收入主体，并明确高频高速产品与混合铜箔收入的边界。</t>
        </is>
      </c>
      <c r="J44" s="7" t="inlineStr">
        <is>
          <t>德福科技：2025年年度报告</t>
        </is>
      </c>
      <c r="K44" s="7" t="inlineStr">
        <is>
          <t>2026-04-25</t>
        </is>
      </c>
      <c r="L44" s="8" t="inlineStr">
        <is>
          <t>iFinD ifind_get_stock_info + ifind_get_stock_business_segmentation (as of 2026-10-27)；德福科技：2025年年度报告</t>
        </is>
      </c>
      <c r="M44" s="9" t="inlineStr">
        <is>
          <t>https://pdf.dfcfw.com/pdf/H2_AN202604241821556579_1.pdf</t>
        </is>
      </c>
    </row>
    <row r="45" ht="104" customHeight="1">
      <c r="B45" s="4" t="inlineStr">
        <is>
          <t>301526</t>
        </is>
      </c>
      <c r="C45" s="4" t="inlineStr">
        <is>
          <t>国际复材</t>
        </is>
      </c>
      <c r="D45" s="5" t="inlineStr">
        <is>
          <t>PCB：电子布</t>
        </is>
      </c>
      <c r="E45" s="4" t="inlineStr">
        <is>
          <t>纠错</t>
        </is>
      </c>
      <c r="F45" s="4" t="inlineStr">
        <is>
          <t>PCB</t>
        </is>
      </c>
      <c r="G45" s="5" t="inlineStr">
        <is>
          <t>电子布与玻纤材料</t>
        </is>
      </c>
      <c r="H45" s="4" t="inlineStr">
        <is>
          <t>相关</t>
        </is>
      </c>
      <c r="I45" s="5" t="inlineStr">
        <is>
          <t>公司真实产品包括玻璃纤维细纱、电子纱及细纱布，细纱布按用途分为电子布和工业布，电子布可经树脂浸渍、覆铜和热压形成覆铜板，属于PCB直接上游材料，不是泛玻纤用途推导。2025年玻璃纤维及制品收入84.2518亿元、约占营业收入97.31%，但该分部同时包含风电、汽车、建筑、工业等粗纱和制品，不能全部归入电子布或PCB；年报未单独披露电子布收入及占比，也没有足够依据把低介电高端电子布的行业需求等同于公司已实现收入。公司有真实电子纱和电子布产品及技术投入，故保留PCB关联，但考虑独立收入边界不清、玻纤主业下游高度混合，由旧“核心”降为相关，避免用全部玻纤规模支撑过高定级。</t>
        </is>
      </c>
      <c r="J45" s="4" t="inlineStr">
        <is>
          <t>国际复材：2025年年度报告</t>
        </is>
      </c>
      <c r="K45" s="4" t="inlineStr">
        <is>
          <t>2026-04-23</t>
        </is>
      </c>
      <c r="L45" s="5" t="inlineStr">
        <is>
          <t>iFinD ifind_get_stock_info + ifind_get_stock_business_segmentation (as of 2026-10-27)；国际复材：2025年年度报告</t>
        </is>
      </c>
      <c r="M45" s="6" t="inlineStr">
        <is>
          <t>https://pdf.dfcfw.com/pdf/H2_AN202604221821461875_1.pdf</t>
        </is>
      </c>
    </row>
    <row r="46" ht="104" customHeight="1">
      <c r="B46" s="7" t="inlineStr">
        <is>
          <t>600110</t>
        </is>
      </c>
      <c r="C46" s="7" t="inlineStr">
        <is>
          <t>诺德股份</t>
        </is>
      </c>
      <c r="D46" s="8" t="inlineStr">
        <is>
          <t>PCB：HVLP</t>
        </is>
      </c>
      <c r="E46" s="7" t="inlineStr">
        <is>
          <t>纠错</t>
        </is>
      </c>
      <c r="F46" s="7" t="inlineStr">
        <is>
          <t>PCB</t>
        </is>
      </c>
      <c r="G46" s="8" t="inlineStr">
        <is>
          <t>铜箔-HVLP与高频高速、铜箔-通用PCB</t>
        </is>
      </c>
      <c r="H46" s="7" t="inlineStr">
        <is>
          <t>相关</t>
        </is>
      </c>
      <c r="I46" s="8" t="inlineStr">
        <is>
          <t>公司真实产品既包括动力电池和储能电池用锂电铜箔，也包括PCB用电解铜箔、RTF、HTE及HVLP超低轮廓铜箔；年报明确HVLP用于挠性、高频和超微细电路板，因此PCB关联有具体产品而非概念联想。2025年铜箔产品收入67.4534亿元、占营业收入92.0477%，但该口径混合了锂电与PCB铜箔，不能全部归入PCB，更不能把3—6微米超薄锂电铜箔收入算作HVLP收入；电线电缆、贸易、发电储能和其他业务也应排除。公司未单列PCB铜箔及HVLP收入占比，且整体主营仍以锂电铜箔为重要基本盘，故维持相关而非核心；旧标签补充通用PCB铜箔并纠正混合收入口径。</t>
        </is>
      </c>
      <c r="J46" s="7" t="inlineStr">
        <is>
          <t>诺德股份：2025年年度报告</t>
        </is>
      </c>
      <c r="K46" s="7" t="inlineStr">
        <is>
          <t>2026-04-23</t>
        </is>
      </c>
      <c r="L46" s="8" t="inlineStr">
        <is>
          <t>iFinD ifind_get_stock_info + ifind_get_stock_business_segmentation (as of 2026-10-27)；诺德股份：2025年年度报告</t>
        </is>
      </c>
      <c r="M46" s="9" t="inlineStr">
        <is>
          <t>https://pdf.dfcfw.com/pdf/H2_AN202604221821457812_1.pdf</t>
        </is>
      </c>
    </row>
    <row r="47" ht="104" customHeight="1">
      <c r="B47" s="4" t="inlineStr">
        <is>
          <t>600176</t>
        </is>
      </c>
      <c r="C47" s="4" t="inlineStr">
        <is>
          <t>中国巨石</t>
        </is>
      </c>
      <c r="D47" s="5" t="inlineStr">
        <is>
          <t>PCB：电子布</t>
        </is>
      </c>
      <c r="E47" s="4" t="inlineStr">
        <is>
          <t>纠错</t>
        </is>
      </c>
      <c r="F47" s="4" t="inlineStr">
        <is>
          <t>PCB</t>
        </is>
      </c>
      <c r="G47" s="5" t="inlineStr">
        <is>
          <t>电子布与玻纤材料</t>
        </is>
      </c>
      <c r="H47" s="4" t="inlineStr">
        <is>
          <t>核心</t>
        </is>
      </c>
      <c r="I47" s="5" t="inlineStr">
        <is>
          <t>公司真实PCB上游产品为电子级玻纤细纱和电子布，电子布与树脂、铜箔经热压形成覆铜板，再用于制造PCB，产品用途直接且已有大规模销售。官方公告明确2025年电子布销量10.62亿米、相关收入占营业收入17.77%，按营业收入188.8087亿元估算约33.55亿元；玻纤及制品收入183.4508亿元还包含大量粗纱和非电子用途制品，不能全部计入PCB。公告同时指出当前电子布主要是普通布、薄布系列，低介电等特种电子布尚未形成订单及收入，故不能把17.77%进一步包装成高端低介电业务。电子布独立占比和绝对规模均已达到重要主营产品标准，因此由旧“相关”上调为核心，同时保留普通电子布与潜在特种产品的清晰边界。</t>
        </is>
      </c>
      <c r="J47" s="4" t="inlineStr">
        <is>
          <t>中国巨石：关于股票交易异常波动的公告</t>
        </is>
      </c>
      <c r="K47" s="4" t="inlineStr">
        <is>
          <t>2026-06-25</t>
        </is>
      </c>
      <c r="L47" s="5" t="inlineStr">
        <is>
          <t>iFinD ifind_get_stock_info + ifind_get_stock_business_segmentation (as of 2026-10-27)；中国巨石：关于股票交易异常波动的公告</t>
        </is>
      </c>
      <c r="M47" s="6" t="inlineStr">
        <is>
          <t>https://pdf.dfcfw.com/pdf/H2_AN202606241823814159_1.pdf</t>
        </is>
      </c>
    </row>
    <row r="48" ht="104" customHeight="1">
      <c r="B48" s="7" t="inlineStr">
        <is>
          <t>600183</t>
        </is>
      </c>
      <c r="C48" s="7" t="inlineStr">
        <is>
          <t>生益科技</t>
        </is>
      </c>
      <c r="D48" s="8" t="inlineStr">
        <is>
          <t>PCB：硅微粉</t>
        </is>
      </c>
      <c r="E48" s="7" t="inlineStr">
        <is>
          <t>纠错</t>
        </is>
      </c>
      <c r="F48" s="7" t="inlineStr">
        <is>
          <t>PCB</t>
        </is>
      </c>
      <c r="G48" s="8" t="inlineStr">
        <is>
          <t>覆铜板与粘结片、PCB-高多层与服务器板</t>
        </is>
      </c>
      <c r="H48" s="7" t="inlineStr">
        <is>
          <t>核心</t>
        </is>
      </c>
      <c r="I48" s="8" t="inlineStr">
        <is>
          <t>公司真实主营是覆铜板、粘结片和印制线路板，覆铜板产品包括半固化片、绝缘层压板、金属基覆铜箔板和涂树脂铜箔等，直接服务高多层、服务器及高算力PCB，并非硅微粉生产企业。2025年覆铜板和粘结片收入177.7410亿元、占62.5163%，印制线路板收入91.4401亿元、占32.1620%，两项合计约94.68%；废弃资源综合利用、其他业务和房地产收入均有独立口径，不得混入PCB产业链。如此高的直接收入占比明确支持核心定级。旧“硅微粉”与公司主营产品不符，现纠正为覆铜板与粘结片，并补充年报已有真实收入的印制线路板及高多层服务器板方向，不能把上游填料标签错误贴在覆铜板龙头身上。</t>
        </is>
      </c>
      <c r="J48" s="7" t="inlineStr">
        <is>
          <t>生益科技：2025年年度报告</t>
        </is>
      </c>
      <c r="K48" s="7" t="inlineStr">
        <is>
          <t>2026-04-25</t>
        </is>
      </c>
      <c r="L48" s="8" t="inlineStr">
        <is>
          <t>iFinD ifind_get_stock_info + ifind_get_stock_business_segmentation (as of 2026-10-27)；生益科技：2025年年度报告</t>
        </is>
      </c>
      <c r="M48" s="9" t="inlineStr">
        <is>
          <t>https://pdf.dfcfw.com/pdf/H2_AN202604241821568325_1.pdf</t>
        </is>
      </c>
    </row>
    <row r="49" ht="104" customHeight="1">
      <c r="B49" s="4" t="inlineStr">
        <is>
          <t>600552</t>
        </is>
      </c>
      <c r="C49" s="4" t="inlineStr">
        <is>
          <t>凯盛科技</t>
        </is>
      </c>
      <c r="D49" s="5" t="inlineStr">
        <is>
          <t>PCB：硅微粉</t>
        </is>
      </c>
      <c r="E49" s="4" t="inlineStr">
        <is>
          <t>纠错</t>
        </is>
      </c>
      <c r="F49" s="4" t="inlineStr">
        <is>
          <t>PCB</t>
        </is>
      </c>
      <c r="G49" s="5" t="inlineStr">
        <is>
          <t>填料-硅微粉与功能粉体</t>
        </is>
      </c>
      <c r="H49" s="4" t="inlineStr">
        <is>
          <t>相关</t>
        </is>
      </c>
      <c r="I49" s="5" t="inlineStr">
        <is>
          <t>公司真实业务由显示材料和应用材料构成，应用材料中的球形二氧化硅即球形石英粉可用于电子封装及5G高频高速覆铜板，球形氧化铝则主要用于导热等场景，只有具备明确覆铜板用途的粉体才纳入本次PCB审查。2025年显示材料收入46.2559亿元、约占营业收入78.67%，应用材料收入11.3882亿元、约占19.37%；后者还混合电熔氧化锆、硅酸锆、纳米钛酸钡、稀土抛光粉等产品，不能全部作为PCB硅微粉收入，年报也未单列球形石英粉销售占比。公司已有粉体产品和产能，关联不是纯概念，但PCB专用收入边界不清且显示材料仍为最大主业，故定为相关而非核心；旧“硅微粉”保留并补充混合收入限制。</t>
        </is>
      </c>
      <c r="J49" s="4" t="inlineStr">
        <is>
          <t>凯盛科技：2025年年度报告</t>
        </is>
      </c>
      <c r="K49" s="4" t="inlineStr">
        <is>
          <t>2026-03-31</t>
        </is>
      </c>
      <c r="L49" s="5" t="inlineStr">
        <is>
          <t>iFinD ifind_get_stock_info + ifind_get_stock_business_segmentation (as of 2026-10-27)；凯盛科技：2025年年度报告</t>
        </is>
      </c>
      <c r="M49" s="6" t="inlineStr">
        <is>
          <t>https://pdf.dfcfw.com/pdf/H2_AN202603301820873396_1.pdf</t>
        </is>
      </c>
    </row>
    <row r="50" ht="104" customHeight="1">
      <c r="B50" s="7" t="inlineStr">
        <is>
          <t>600601</t>
        </is>
      </c>
      <c r="C50" s="7" t="inlineStr">
        <is>
          <t>方正科技</t>
        </is>
      </c>
      <c r="D50" s="8" t="inlineStr">
        <is>
          <t>PCB：AI服务器相关</t>
        </is>
      </c>
      <c r="E50" s="7" t="inlineStr">
        <is>
          <t>纠错</t>
        </is>
      </c>
      <c r="F50" s="7" t="inlineStr">
        <is>
          <t>PCB</t>
        </is>
      </c>
      <c r="G50" s="8" t="inlineStr">
        <is>
          <t>PCB-高多层与服务器板、PCB-HDI与任意层互连、PCB-FPC与刚挠结合、PCB设计与SMT服务</t>
        </is>
      </c>
      <c r="H50" s="7" t="inlineStr">
        <is>
          <t>核心</t>
        </is>
      </c>
      <c r="I50" s="8" t="inlineStr">
        <is>
          <t>公司主营为PCB研发设计、生产制造和销售，核心产品覆盖高多层板、HDI板、软硬结合板及定制PCB，实际应用于通信设备、交换机、光模块和AI服务器，具有直接产品和客户场景证据。2025年PCB业务收入46.4050亿元、占营业收入93.9514%，其他业务2.7078亿元、融合通信0.2712亿元、IT系统集成0.0085亿元，均不得混入PCB收入；年报没有单列AI服务器专用板收入，因此也不能把46.4050亿元全部标注成AI服务器收入。PCB绝对主营、较大规模以及高多层和HDI技术产品足以支持核心定级；旧“AI服务器相关”现细化成高多层与服务器板，并补充HDI真实产品标签，避免终端概念替代公司的产品分类。</t>
        </is>
      </c>
      <c r="J50" s="7" t="inlineStr">
        <is>
          <t>方正科技：2025年年度报告</t>
        </is>
      </c>
      <c r="K50" s="7" t="inlineStr">
        <is>
          <t>2026-04-09</t>
        </is>
      </c>
      <c r="L50" s="8" t="inlineStr">
        <is>
          <t>iFinD ifind_get_stock_info + ifind_get_stock_business_segmentation (as of 2026-10-27)；方正科技：2025年年度报告</t>
        </is>
      </c>
      <c r="M50" s="9" t="inlineStr">
        <is>
          <t>https://pdf.dfcfw.com/pdf/H2_AN202604081821071249_1.pdf</t>
        </is>
      </c>
    </row>
    <row r="51" ht="104" customHeight="1">
      <c r="B51" s="4" t="inlineStr">
        <is>
          <t>601208</t>
        </is>
      </c>
      <c r="C51" s="4" t="inlineStr">
        <is>
          <t>东材科技</t>
        </is>
      </c>
      <c r="D51" s="5" t="inlineStr">
        <is>
          <t>PCB：环氧树脂</t>
        </is>
      </c>
      <c r="E51" s="4" t="inlineStr">
        <is>
          <t>纠错</t>
        </is>
      </c>
      <c r="F51" s="4" t="inlineStr">
        <is>
          <t>PCB</t>
        </is>
      </c>
      <c r="G51" s="5" t="inlineStr">
        <is>
          <t>树脂-环氧与碳氢</t>
        </is>
      </c>
      <c r="H51" s="4" t="inlineStr">
        <is>
          <t>核心</t>
        </is>
      </c>
      <c r="I51" s="5" t="inlineStr">
        <is>
          <t>公司真实PCB上游产品包括双马来酰亚胺、活性酯、碳氢、聚苯醚及环氧等高速电子树脂，用于高速通信基板和覆铜板，不是把绝缘材料或磁体绝缘用途跨概念推导为PCB。2025年电子材料收入15.5444亿元、约占营业收入30.00%，其中高速电子材料收入5.91亿元、约占11.41%，同比增长125.07%；光学膜材料14.2346亿元、新能源材料12.9466亿元、电工绝缘材料4.8086亿元均有独立口径，不能并入PCB树脂。电子材料分部也并非全部为PCB专用，因此采用已披露的高速电子材料规模而非笼统归因。高速树脂已形成数亿元实际销售和清晰产品体系，由旧“相关”上调为核心；旧“环氧树脂”扩展为准确的环氧与碳氢树脂类别。</t>
        </is>
      </c>
      <c r="J51" s="4" t="inlineStr">
        <is>
          <t>东材科技：2025年年度报告</t>
        </is>
      </c>
      <c r="K51" s="4" t="inlineStr">
        <is>
          <t>2026-04-23</t>
        </is>
      </c>
      <c r="L51" s="5" t="inlineStr">
        <is>
          <t>iFinD ifind_get_stock_info + ifind_get_stock_business_segmentation (as of 2026-10-27)；东材科技：2025年年度报告</t>
        </is>
      </c>
      <c r="M51" s="6" t="inlineStr">
        <is>
          <t>https://pdf.dfcfw.com/pdf/H2_AN202604221821452968_1.pdf</t>
        </is>
      </c>
    </row>
    <row r="52" ht="104" customHeight="1">
      <c r="B52" s="7" t="inlineStr">
        <is>
          <t>603002</t>
        </is>
      </c>
      <c r="C52" s="7" t="inlineStr">
        <is>
          <t>宏昌电子</t>
        </is>
      </c>
      <c r="D52" s="8" t="inlineStr">
        <is>
          <t>PCB：环氧树脂</t>
        </is>
      </c>
      <c r="E52" s="7" t="inlineStr">
        <is>
          <t>纠错</t>
        </is>
      </c>
      <c r="F52" s="7" t="inlineStr">
        <is>
          <t>PCB</t>
        </is>
      </c>
      <c r="G52" s="8" t="inlineStr">
        <is>
          <t>树脂-环氧与碳氢、覆铜板与粘结片</t>
        </is>
      </c>
      <c r="H52" s="7" t="inlineStr">
        <is>
          <t>核心</t>
        </is>
      </c>
      <c r="I52" s="8" t="inlineStr">
        <is>
          <t>公司真实主营为电子级环氧树脂和覆铜板两大类产品，环氧树脂是覆铜板基材体系的重要组成，覆铜板及半固化片则直接用于PCB制造，产业链位置清晰。2025年环氧树脂收入19.6147亿元、占营业收入63.7612%，覆铜板及半固化片收入10.8216亿元、占35.1776%，其他业务0.3265亿元、占1.0612%；环氧树脂虽然也可用于涂料、复合材料和土木工程，不能把全部环氧收入都解释为PCB专用，但公司电子级定位及覆铜板自有业务提供了直接证据。两类产品合计构成几乎全部营业收入，核心定级充分；旧“环氧树脂”保留并补充被遗漏的覆铜板与粘结片标签，同时说明混合下游收入边界。</t>
        </is>
      </c>
      <c r="J52" s="7" t="inlineStr">
        <is>
          <t>宏昌电子：2025年年度报告</t>
        </is>
      </c>
      <c r="K52" s="7" t="inlineStr">
        <is>
          <t>2026-04-23</t>
        </is>
      </c>
      <c r="L52" s="8" t="inlineStr">
        <is>
          <t>iFinD ifind_get_stock_info + ifind_get_stock_business_segmentation (as of 2026-10-27)；宏昌电子：2025年年度报告</t>
        </is>
      </c>
      <c r="M52" s="9" t="inlineStr">
        <is>
          <t>https://pdf.dfcfw.com/pdf/H2_AN202604221821453939_1.pdf</t>
        </is>
      </c>
    </row>
    <row r="53" ht="104" customHeight="1">
      <c r="B53" s="4" t="inlineStr">
        <is>
          <t>603124</t>
        </is>
      </c>
      <c r="C53" s="4" t="inlineStr">
        <is>
          <t>江南新材</t>
        </is>
      </c>
      <c r="D53" s="5" t="inlineStr">
        <is>
          <t>PCB：其他关键材料及设备</t>
        </is>
      </c>
      <c r="E53" s="4" t="inlineStr">
        <is>
          <t>保留</t>
        </is>
      </c>
      <c r="F53" s="4" t="inlineStr">
        <is>
          <t>PCB</t>
        </is>
      </c>
      <c r="G53" s="5" t="inlineStr">
        <is>
          <t>PCB材料-其他关键材料、PCB配套-精密零部件</t>
        </is>
      </c>
      <c r="H53" s="4" t="inlineStr">
        <is>
          <t>核心</t>
        </is>
      </c>
      <c r="I53" s="5" t="inlineStr">
        <is>
          <t>公司真实产品为铜球、氧化铜粉和高精密铜基散热片。铜球是电镀铜阳极材料，氧化铜粉用于高阶PCB镀铜制程，客户包括鹏鼎控股、东山精密、胜宏科技、沪电股份、深南电路等实际PCB厂商，属于直接耗材而非泛铜材料联想。2025年营业收入103.2901633282亿元，铜球系列收入78.684727亿元，复算占76.1783%、应写约76.18%，初审76.16%为小幅算术误差；氧化铜粉18.708383亿元、约占18.11%，高精密铜基散热片3.087535亿元。散热片已明确用于PCB埋嵌散热，故补充PCB配套-精密零部件标签。铜球也用于光伏和表面处理，氧化铜粉还用于复合铜箔及催化剂，散热片还用于液冷和功率半导体，因此103.268086亿元铜基新材料不是总营收，也不能全部算作PCB。凭借规模产品、主要PCB应用和真实客户，维持核心。</t>
        </is>
      </c>
      <c r="J53" s="4" t="inlineStr">
        <is>
          <t>江南新材：2025年年度报告</t>
        </is>
      </c>
      <c r="K53" s="4" t="inlineStr">
        <is>
          <t>2026-04-29</t>
        </is>
      </c>
      <c r="L53" s="5" t="inlineStr">
        <is>
          <t>iFinD ifind_get_stock_info + ifind_get_stock_business_segmentation (as of 2026-10-27)；江南新材：2025年年度报告</t>
        </is>
      </c>
      <c r="M53" s="6" t="inlineStr">
        <is>
          <t>https://pdf.dfcfw.com/pdf/H2_AN202604281821672558_1.pdf</t>
        </is>
      </c>
    </row>
    <row r="54" ht="104" customHeight="1">
      <c r="B54" s="7" t="inlineStr">
        <is>
          <t>603175</t>
        </is>
      </c>
      <c r="C54" s="7" t="inlineStr">
        <is>
          <t>超颖电子</t>
        </is>
      </c>
      <c r="D54" s="8" t="inlineStr">
        <is>
          <t>PCB：AI服务器相关</t>
        </is>
      </c>
      <c r="E54" s="7" t="inlineStr">
        <is>
          <t>纠错</t>
        </is>
      </c>
      <c r="F54" s="7" t="inlineStr">
        <is>
          <t>PCB</t>
        </is>
      </c>
      <c r="G54" s="8" t="inlineStr">
        <is>
          <t>PCB-高多层与服务器板、PCB-HDI与任意层互连</t>
        </is>
      </c>
      <c r="H54" s="7" t="inlineStr">
        <is>
          <t>核心</t>
        </is>
      </c>
      <c r="I54" s="8" t="inlineStr">
        <is>
          <t>公司直接研发、生产和销售印制电路板，产品应用于AI服务器、存储装置、汽车电子和消费电子，并具备多阶HDI及任意层互连HDI量产能力，高阶AI服务器和汽车产品已有实际业务基础。2025年PCB收入44.3904亿元、占营业收入93.4075%，其他业务3.1330亿元、占6.5925%，其中主要为废料收入，不得并入PCB产品销售；泰国基地仍处产能爬坡，相关规划产能也不能提前视为2025年收入。PCB绝对主营和规模明确支持核心定级，AI服务器、高多层及HDI有直接产品证据而非市场板块标签。旧“AI服务器相关”现细化为高多层与服务器板，并补充已具备量产能力的HDI与任意层互连概念，保留应用和收入口径差异。</t>
        </is>
      </c>
      <c r="J54" s="7" t="inlineStr">
        <is>
          <t>超颖电子：2025年年度报告</t>
        </is>
      </c>
      <c r="K54" s="7" t="inlineStr">
        <is>
          <t>2026-03-31</t>
        </is>
      </c>
      <c r="L54" s="8" t="inlineStr">
        <is>
          <t>iFinD ifind_get_stock_info + ifind_get_stock_business_segmentation (as of 2026-10-27)；超颖电子：2025年年度报告</t>
        </is>
      </c>
      <c r="M54" s="9" t="inlineStr">
        <is>
          <t>https://pdf.dfcfw.com/pdf/H2_AN202603301820860209_1.pdf</t>
        </is>
      </c>
    </row>
    <row r="55" ht="104" customHeight="1">
      <c r="B55" s="4" t="inlineStr">
        <is>
          <t>603186</t>
        </is>
      </c>
      <c r="C55" s="4" t="inlineStr">
        <is>
          <t>华正新材</t>
        </is>
      </c>
      <c r="D55" s="5" t="inlineStr">
        <is>
          <t>PCB：覆铜板</t>
        </is>
      </c>
      <c r="E55" s="4" t="inlineStr">
        <is>
          <t>保留</t>
        </is>
      </c>
      <c r="F55" s="4" t="inlineStr">
        <is>
          <t>PCB</t>
        </is>
      </c>
      <c r="G55" s="5" t="inlineStr">
        <is>
          <t>覆铜板与粘结片</t>
        </is>
      </c>
      <c r="H55" s="4" t="inlineStr">
        <is>
          <t>核心</t>
        </is>
      </c>
      <c r="I55" s="5" t="inlineStr">
        <is>
          <t>公司真实产品包括覆铜板及粘结片、半导体封装材料、复合材料和膜材料，其中覆铜板是专为PCB制造使用的层压板，直接承担导电、绝缘和支撑功能，应用于通信、服务器和数据中心等场景，产品关联明确。2025年覆铜板收入33.7517亿元，按营业收入43.6921亿元计算约占77.25%；交通物流用复合材料3.7734亿元、导热材料2.9371亿元、功能性复合材料1.6961亿元及其他业务1.0411亿元均有独立口径，不能混入覆铜板收入。覆铜板已经构成主要收入来源和规模产品，故维持核心；旧“覆铜板”及超节点分类中的CCL在本次仅统一为白名单的覆铜板与粘结片，不把服务器潜在需求或半导体封装材料收入重复计入PCB。</t>
        </is>
      </c>
      <c r="J55" s="4" t="inlineStr">
        <is>
          <t>华正新材：2025年年度报告</t>
        </is>
      </c>
      <c r="K55" s="4" t="inlineStr">
        <is>
          <t>2026-03-24</t>
        </is>
      </c>
      <c r="L55" s="5" t="inlineStr">
        <is>
          <t>iFinD ifind_get_stock_info + ifind_get_stock_business_segmentation (as of 2026-10-27)；华正新材：2025年年度报告</t>
        </is>
      </c>
      <c r="M55" s="6" t="inlineStr">
        <is>
          <t>https://pdf.dfcfw.com/pdf/H2_AN202603231820705904_1.pdf</t>
        </is>
      </c>
    </row>
    <row r="56" ht="104" customHeight="1">
      <c r="B56" s="7" t="inlineStr">
        <is>
          <t>603228</t>
        </is>
      </c>
      <c r="C56" s="7" t="inlineStr">
        <is>
          <t>景旺电子</t>
        </is>
      </c>
      <c r="D56" s="8" t="inlineStr">
        <is>
          <t>PCB：AI服务器相关</t>
        </is>
      </c>
      <c r="E56" s="7" t="inlineStr">
        <is>
          <t>纠错</t>
        </is>
      </c>
      <c r="F56" s="7" t="inlineStr">
        <is>
          <t>PCB</t>
        </is>
      </c>
      <c r="G56" s="8" t="inlineStr">
        <is>
          <t>PCB-高多层与服务器板、PCB-HDI与任意层互连、PCB-FPC与刚挠结合</t>
        </is>
      </c>
      <c r="H56" s="7" t="inlineStr">
        <is>
          <t>核心</t>
        </is>
      </c>
      <c r="I56" s="8" t="inlineStr">
        <is>
          <t>公司真实主营是多层板、高多层板、HDI、FPC及刚挠结合板，年报明确产品用于AI加速卡、通用服务器、AI服务器和高速交换机，并披露二十层以上高多层及高阶HDI能力，属于直接制造印制电路板而非一般电子元件配套。iFinD二〇二五年分部显示，印制电路板收入一百四十三点七三亿元，占营业收入百分之九十三点八九，其他业务占百分之六点一一，规模与主营占比均足以支持核心定级。其他业务不能并入PCB收入，FPC、HDI与服务器板也只按已披露产品归类，不进一步虚构客户或单项收入。旧“AI服务器相关”过于宽泛，现拆成高多层服务器板、HDI和FPC三个真实产品标签。</t>
        </is>
      </c>
      <c r="J56" s="7" t="inlineStr">
        <is>
          <t>景旺电子：2025年年度报告（修订后）</t>
        </is>
      </c>
      <c r="K56" s="7" t="inlineStr">
        <is>
          <t>2026-04-23</t>
        </is>
      </c>
      <c r="L56" s="8" t="inlineStr">
        <is>
          <t>iFinD ifind_get_stock_info + ifind_get_stock_business_segmentation (as of 2026-10-27)；景旺电子：2025年年度报告（修订后）</t>
        </is>
      </c>
      <c r="M56" s="9" t="inlineStr">
        <is>
          <t>https://money.finance.sina.com.cn/corp/view/vCB_AllBulletinDetail.php?stockid=603228&amp;id=12140856</t>
        </is>
      </c>
    </row>
    <row r="57" ht="104" customHeight="1">
      <c r="B57" s="4" t="inlineStr">
        <is>
          <t>603256</t>
        </is>
      </c>
      <c r="C57" s="4" t="inlineStr">
        <is>
          <t>宏和科技</t>
        </is>
      </c>
      <c r="D57" s="5" t="inlineStr">
        <is>
          <t>PCB：电子布</t>
        </is>
      </c>
      <c r="E57" s="4" t="inlineStr">
        <is>
          <t>纠错</t>
        </is>
      </c>
      <c r="F57" s="4" t="inlineStr">
        <is>
          <t>PCB</t>
        </is>
      </c>
      <c r="G57" s="5" t="inlineStr">
        <is>
          <t>电子布与玻纤材料</t>
        </is>
      </c>
      <c r="H57" s="4" t="inlineStr">
        <is>
          <t>核心</t>
        </is>
      </c>
      <c r="I57" s="5" t="inlineStr">
        <is>
          <t>公司的真实产品是极薄、超薄等高端E玻璃纤维布，以及低介电、低热膨胀系数特种电子布和电子级玻璃纤维纱；年报明确电子布是覆铜板的绝缘增强材料，并经覆铜板进入PCB制造，产业环节清楚，不是把普通玻纤或终端电子用途泛化为PCB。iFinD二〇二五年电子级玻璃纤维布收入十一点一九亿元，占营业收入百分之九十五点五五，电子纱占百分之三点九六，其他业务仅百分之零点四九。电子布已经形成重要且独立的规模收入，故定核心；但电子纱与其他收入不重复计入电子布口径。旧“电子布”方向正确，现按白名单规范为电子布与玻纤材料，并保留上游材料而非PCB裸板的边界。</t>
        </is>
      </c>
      <c r="J57" s="4" t="inlineStr">
        <is>
          <t>宏和科技：2025年年度报告</t>
        </is>
      </c>
      <c r="K57" s="4" t="inlineStr">
        <is>
          <t>2026-04-10</t>
        </is>
      </c>
      <c r="L57" s="5" t="inlineStr">
        <is>
          <t>iFinD ifind_get_stock_info + ifind_get_stock_business_segmentation (as of 2026-10-27)；宏和科技：2025年年度报告</t>
        </is>
      </c>
      <c r="M57" s="6" t="inlineStr">
        <is>
          <t>https://money.finance.sina.com.cn/corp/view/vCB_AllBulletinDetail.php?stockid=603256&amp;id=12071953</t>
        </is>
      </c>
    </row>
    <row r="58" ht="104" customHeight="1">
      <c r="B58" s="7" t="inlineStr">
        <is>
          <t>603328</t>
        </is>
      </c>
      <c r="C58" s="7" t="inlineStr">
        <is>
          <t>依顿电子</t>
        </is>
      </c>
      <c r="D58" s="8" t="inlineStr">
        <is>
          <t>PCB：PCB</t>
        </is>
      </c>
      <c r="E58" s="7" t="inlineStr">
        <is>
          <t>纠错</t>
        </is>
      </c>
      <c r="F58" s="7" t="inlineStr">
        <is>
          <t>PCB</t>
        </is>
      </c>
      <c r="G58" s="8" t="inlineStr">
        <is>
          <t>PCB-通用刚性板、PCB-HDI与任意层互连、PCB-高多层与服务器板</t>
        </is>
      </c>
      <c r="H58" s="7" t="inlineStr">
        <is>
          <t>核心</t>
        </is>
      </c>
      <c r="I58" s="8" t="inlineStr">
        <is>
          <t>公司直接研发、制造和销售高精度、高密度双层及多层印制线路板，真实产品包括多层板、厚铜板、高频高速板、金属基板和HDI板，属于PCB裸板制造，不应与PCBA、半导体封装或仅使用电路板的终端设备混同。iFinD二〇二五年印刷线路板收入三十五点八七亿元，占营业收入百分之八十九点一一，其他业务四点三八亿元、占百分之十点八九；PCB收入占据绝对主体且单独披露，核心定级有直接依据。其他业务不计入PCB，HDI也只按产品能力保留，不把全部收入进一步标成服务器板。旧“PCB”虽方向正确但粒度过粗，现以通用刚性板为主体，并补充真实HDI产品标签，避免无依据扩展到IC载板或AI专用板。</t>
        </is>
      </c>
      <c r="J58" s="7" t="inlineStr">
        <is>
          <t>依顿电子：2025年年度报告</t>
        </is>
      </c>
      <c r="K58" s="7" t="inlineStr">
        <is>
          <t>2026-03-31</t>
        </is>
      </c>
      <c r="L58" s="8" t="inlineStr">
        <is>
          <t>iFinD ifind_get_stock_info + ifind_get_stock_business_segmentation (as of 2026-10-27)；依顿电子：2025年年度报告</t>
        </is>
      </c>
      <c r="M58" s="9" t="inlineStr">
        <is>
          <t>https://money.finance.sina.com.cn/corp/view/vCB_AllBulletinDetail.php?stockid=603328&amp;id=12037248</t>
        </is>
      </c>
    </row>
    <row r="59" ht="104" customHeight="1">
      <c r="B59" s="4" t="inlineStr">
        <is>
          <t>603386</t>
        </is>
      </c>
      <c r="C59" s="4" t="inlineStr">
        <is>
          <t>骏亚科技</t>
        </is>
      </c>
      <c r="D59" s="5" t="inlineStr">
        <is>
          <t>PCB：PCB</t>
        </is>
      </c>
      <c r="E59" s="4" t="inlineStr">
        <is>
          <t>纠错</t>
        </is>
      </c>
      <c r="F59" s="4" t="inlineStr">
        <is>
          <t>PCB</t>
        </is>
      </c>
      <c r="G59" s="5" t="inlineStr">
        <is>
          <t>PCB-通用刚性板、PCB设计与SMT服务、PCB-高多层与服务器板、PCB-HDI与任意层互连、PCB-FPC与刚挠结合</t>
        </is>
      </c>
      <c r="H59" s="4" t="inlineStr">
        <is>
          <t>核心</t>
        </is>
      </c>
      <c r="I59" s="5" t="inlineStr">
        <is>
          <t>公司真实业务包括印制电路板研发、生产和销售，以及印制电路板表面贴装SMT和少量整机产品，既有PCB裸板又有后段贴装服务，两类环节需要区分，不能把SMT或整机收入全部视为裸板收入。iFinD二〇二五年PCB行业收入二十三点四三亿元，占营业收入百分之九十二点三八；分产品中PCB为二十一点八一亿元，SMT为一点〇二亿元，整机产品为零点五九亿元，其他业务占百分之七点六二。PCB及直接延伸服务构成主营重要收入，故定核心，但整机和未拆分其他业务保留混合边界。旧“PCB+SMT”含义基本正确，现按白名单拆为通用刚性板和PCB设计与SMT服务，避免简单沿用组合标签。</t>
        </is>
      </c>
      <c r="J59" s="4" t="inlineStr">
        <is>
          <t>骏亚科技：2025年年度报告</t>
        </is>
      </c>
      <c r="K59" s="4" t="inlineStr">
        <is>
          <t>2026-04-28</t>
        </is>
      </c>
      <c r="L59" s="5" t="inlineStr">
        <is>
          <t>iFinD ifind_get_stock_info + ifind_get_stock_business_segmentation (as of 2026-10-27)；骏亚科技：2025年年度报告</t>
        </is>
      </c>
      <c r="M59" s="6" t="inlineStr">
        <is>
          <t>https://money.finance.sina.com.cn/corp/view/vCB_AllBulletinDetail.php?stockid=603386&amp;id=12224304</t>
        </is>
      </c>
    </row>
    <row r="60" ht="104" customHeight="1">
      <c r="B60" s="7" t="inlineStr">
        <is>
          <t>603459</t>
        </is>
      </c>
      <c r="C60" s="7" t="inlineStr">
        <is>
          <t>红板科技</t>
        </is>
      </c>
      <c r="D60" s="8" t="inlineStr">
        <is>
          <t>PCB：PCB</t>
        </is>
      </c>
      <c r="E60" s="7" t="inlineStr">
        <is>
          <t>纠错</t>
        </is>
      </c>
      <c r="F60" s="7" t="inlineStr">
        <is>
          <t>PCB</t>
        </is>
      </c>
      <c r="G60" s="8" t="inlineStr">
        <is>
          <t>PCB-HDI与任意层互连、PCB-通用刚性板、PCB-FPC与刚挠结合、PCB-IC载板</t>
        </is>
      </c>
      <c r="H60" s="7" t="inlineStr">
        <is>
          <t>核心</t>
        </is>
      </c>
      <c r="I60" s="8" t="inlineStr">
        <is>
          <t>招股意向书披露公司专注印制电路板研发、生产和销售，真实产品覆盖HDI、刚性板、柔性板、刚柔结合板、类载板及IC载板。2025年总营收36.77016203亿元；HDI收入22.926418亿元，占主营收入66.84%、占总营收约62.35%；刚性板5.825371亿元，分别占16.98%和约15.84%；柔性板2.502866亿元，分别占7.30%和约6.81%；刚柔结合板2.189136亿元，分别占6.38%和约5.95%；其他业务2.469957亿元。初审漏列类载板收入7,614.05万元，即0.761405亿元，占主营收入2.22%、占总营收约2.0707%，现予补足。2025年IC载板收入栏为空，不能把类载板收入写成IC载板收入；现有PCB-IC载板标签因taxonomy明确包含类载板而保留。主营PCB规模及多类量产产品支持核心定级，维持核心。</t>
        </is>
      </c>
      <c r="J60" s="7" t="inlineStr">
        <is>
          <t>红板科技：首次公开发行股票并在主板上市招股意向书</t>
        </is>
      </c>
      <c r="K60" s="7" t="inlineStr">
        <is>
          <t>2026-03-19</t>
        </is>
      </c>
      <c r="L60" s="8" t="inlineStr">
        <is>
          <t>iFinD ifind_get_stock_info + ifind_get_stock_business_segmentation (as of 2026-10-27)；红板科技：首次公开发行股票并在主板上市招股意向书</t>
        </is>
      </c>
      <c r="M60" s="9" t="inlineStr">
        <is>
          <t>http://pdf.dfcfw.com/pdf/H2_AN202603181820626219_1.pdf</t>
        </is>
      </c>
    </row>
    <row r="61" ht="104" customHeight="1">
      <c r="B61" s="4" t="inlineStr">
        <is>
          <t>603800</t>
        </is>
      </c>
      <c r="C61" s="4" t="inlineStr">
        <is>
          <t>洪田股份</t>
        </is>
      </c>
      <c r="D61" s="5" t="inlineStr">
        <is>
          <t>PCB：曝光</t>
        </is>
      </c>
      <c r="E61" s="4" t="inlineStr">
        <is>
          <t>纠错</t>
        </is>
      </c>
      <c r="F61" s="4" t="inlineStr">
        <is>
          <t>PCB</t>
        </is>
      </c>
      <c r="G61" s="5" t="inlineStr">
        <is>
          <t>PCB设备-曝光与成像</t>
        </is>
      </c>
      <c r="H61" s="4" t="inlineStr">
        <is>
          <t>相关</t>
        </is>
      </c>
      <c r="I61" s="5" t="inlineStr">
        <is>
          <t>年报明确列出HL-P12、HL-P8线路LDI等精密光学设备，其中HL-P12用于高阶HDI、FPC和SLP的线路曝光，HL-P8用于IC载板及MSAP工艺，并披露解析精度、对位和涨缩功能，证明PCB曝光设备是真实在售产品，不是仅凭光刻概念推测的潜在用途。iFinD二〇二五年电解铜箔设备收入五点七六亿元、约占总收入百分之五十三点三六，油气类商品锻件四点二九亿元、约占百分之三十九点八〇，LDI未单独披露收入，故不能把铜箔装备或全部专用设备收入算作PCB曝光收入。基于真实产品但规模与收入占比未拆分，定为相关。旧“曝光”理由却写电解铜箔设备，属于证据错配，现纠正为线路LDI。</t>
        </is>
      </c>
      <c r="J61" s="4" t="inlineStr">
        <is>
          <t>洪田股份：2025年年度报告</t>
        </is>
      </c>
      <c r="K61" s="4" t="inlineStr">
        <is>
          <t>2026-04-30</t>
        </is>
      </c>
      <c r="L61" s="5" t="inlineStr">
        <is>
          <t>iFinD ifind_get_stock_info + ifind_get_stock_business_segmentation (as of 2026-10-27)；洪田股份：2025年年度报告</t>
        </is>
      </c>
      <c r="M61" s="6" t="inlineStr">
        <is>
          <t>https://money.finance.sina.com.cn/corp/view/vCB_AllBulletinDetail.php?stockid=603800&amp;id=12283153</t>
        </is>
      </c>
    </row>
    <row r="62" ht="104" customHeight="1">
      <c r="B62" s="7" t="inlineStr">
        <is>
          <t>603936</t>
        </is>
      </c>
      <c r="C62" s="7" t="inlineStr">
        <is>
          <t>博敏电子</t>
        </is>
      </c>
      <c r="D62" s="8" t="inlineStr">
        <is>
          <t>PCB：AI服务器相关</t>
        </is>
      </c>
      <c r="E62" s="7" t="inlineStr">
        <is>
          <t>纠错</t>
        </is>
      </c>
      <c r="F62" s="7" t="inlineStr">
        <is>
          <t>PCB</t>
        </is>
      </c>
      <c r="G62" s="8" t="inlineStr">
        <is>
          <t>PCB-高多层与服务器板、PCB-HDI与任意层互连、PCB-FPC与刚挠结合、PCB-IC载板、PCB设计与SMT服务</t>
        </is>
      </c>
      <c r="H62" s="7" t="inlineStr">
        <is>
          <t>核心</t>
        </is>
      </c>
      <c r="I62" s="8" t="inlineStr">
        <is>
          <t>公司直接生产高精密印制电路板，真实产品包括HDI、高频高速板、多层板和刚挠结合板。年报进一步披露AI服务器与数据通信订单增长，服务器、交换机、加速卡和电源板核心客户订单提升，并实现400G、800G光模块PCB批量供货，因此服务器及高多层标签有实际经营依据。iFinD二〇二五年印制电路板收入二十六点九二亿元，占营业收入百分之七十四点五二，定制化电子器件解决方案占百分之十八点六〇，其他业务占百分之六点八八。只有印制电路板分部可直接计入PCB，定制模组与其他收入不得混入。核心定级明确；旧“AI服务器相关”和泛“PCB”现细化为高多层服务器板、HDI及刚挠结合，避免把整个公司都标记为AI专用板。</t>
        </is>
      </c>
      <c r="J62" s="7" t="inlineStr">
        <is>
          <t>博敏电子：2025年年度报告</t>
        </is>
      </c>
      <c r="K62" s="7" t="inlineStr">
        <is>
          <t>2026-04-28</t>
        </is>
      </c>
      <c r="L62" s="8" t="inlineStr">
        <is>
          <t>iFinD ifind_get_stock_info + ifind_get_stock_business_segmentation (as of 2026-10-27)；博敏电子：2025年年度报告</t>
        </is>
      </c>
      <c r="M62" s="9" t="inlineStr">
        <is>
          <t>https://money.finance.sina.com.cn/corp/view/vCB_AllBulletinDetail.php?stockid=603936&amp;id=12219319</t>
        </is>
      </c>
    </row>
    <row r="63" ht="104" customHeight="1">
      <c r="B63" s="4" t="inlineStr">
        <is>
          <t>605058</t>
        </is>
      </c>
      <c r="C63" s="4" t="inlineStr">
        <is>
          <t>澳弘电子</t>
        </is>
      </c>
      <c r="D63" s="5" t="inlineStr">
        <is>
          <t>PCB：PCB</t>
        </is>
      </c>
      <c r="E63" s="4" t="inlineStr">
        <is>
          <t>纠错</t>
        </is>
      </c>
      <c r="F63" s="4" t="inlineStr">
        <is>
          <t>PCB</t>
        </is>
      </c>
      <c r="G63" s="5" t="inlineStr">
        <is>
          <t>PCB-通用刚性板、PCB-HDI与任意层互连、PCB-高多层与服务器板</t>
        </is>
      </c>
      <c r="H63" s="4" t="inlineStr">
        <is>
          <t>核心</t>
        </is>
      </c>
      <c r="I63" s="5" t="inlineStr">
        <is>
          <t>公司真实主营是印制电路板研发、生产和销售，产品包括单面板、双面板、多层板与HDI板；年报明确HDI用于汽车电子、服务器电源、高速信号连接器和工控等领域，但并未把所有产品都认定为AI服务器板，故以通用刚性板为基本标签、HDI为补充。iFinD二〇二五年印制电路板行业收入十一点九六亿元，占营业收入百分之八十八点七三，其中双面板七点七四亿元、单面板四点二二亿元，其他业务占百分之十一点二七。PCB独立收入占绝对主体，符合核心定级；其他业务不得并入，服务器电源等应用也不能替代具体产品分类。旧“PCB”方向无误但过于笼统，现按真实板型纠正，未额外添加缺乏单独证据的IC载板或高多层服务器标签。</t>
        </is>
      </c>
      <c r="J63" s="4" t="inlineStr">
        <is>
          <t>澳弘电子：2025年年度报告</t>
        </is>
      </c>
      <c r="K63" s="4" t="inlineStr">
        <is>
          <t>2026-04-16</t>
        </is>
      </c>
      <c r="L63" s="5" t="inlineStr">
        <is>
          <t>iFinD ifind_get_stock_info + ifind_get_stock_business_segmentation (as of 2026-10-27)；澳弘电子：2025年年度报告</t>
        </is>
      </c>
      <c r="M63" s="6" t="inlineStr">
        <is>
          <t>https://money.finance.sina.com.cn/corp/view/vCB_AllBulletinDetail.php?stockid=605058&amp;id=12092770</t>
        </is>
      </c>
    </row>
    <row r="64" ht="104" customHeight="1">
      <c r="B64" s="7" t="inlineStr">
        <is>
          <t>605258</t>
        </is>
      </c>
      <c r="C64" s="7" t="inlineStr">
        <is>
          <t>协和电子</t>
        </is>
      </c>
      <c r="D64" s="8" t="inlineStr">
        <is>
          <t>PCB：PCB</t>
        </is>
      </c>
      <c r="E64" s="7" t="inlineStr">
        <is>
          <t>纠错</t>
        </is>
      </c>
      <c r="F64" s="7" t="inlineStr">
        <is>
          <t>PCB</t>
        </is>
      </c>
      <c r="G64" s="8" t="inlineStr">
        <is>
          <t>PCB-通用刚性板、PCB-FPC与刚挠结合、PCB设计与SMT服务</t>
        </is>
      </c>
      <c r="H64" s="7" t="inlineStr">
        <is>
          <t>核心</t>
        </is>
      </c>
      <c r="I64" s="8" t="inlineStr">
        <is>
          <t>公司真实产品是刚性和挠性印制电路板，年报分别定义刚性板、柔性板并披露汽车PCB、高频通讯PCB及表面贴装相关术语，主营仍指向PCB制造，而非仅以“计算机、通信和其他电子设备制造业”宽口径归类。iFinD二〇二五年印制电路板收入九点四〇亿元，占营业收入百分之九十六点〇〇，其他业务零点三九亿元、占百分之四，PCB主营重要性和规模均无歧义，因此列为核心。其他业务不并入PCB，SMT术语存在也不等于已形成独立贴装收入，故不额外添加SMT标签。旧“PCB”虽正确但缺少产品层级，现规范为通用刚性板并保留真实挠性板业务，避免把汽车或通信下游应用误写成独立PCB产品收入。</t>
        </is>
      </c>
      <c r="J64" s="7" t="inlineStr">
        <is>
          <t>协和电子：2025年年度报告</t>
        </is>
      </c>
      <c r="K64" s="7" t="inlineStr">
        <is>
          <t>2026-04-21</t>
        </is>
      </c>
      <c r="L64" s="8" t="inlineStr">
        <is>
          <t>iFinD ifind_get_stock_info + ifind_get_stock_business_segmentation (as of 2026-10-27)；协和电子：2025年年度报告</t>
        </is>
      </c>
      <c r="M64" s="9" t="inlineStr">
        <is>
          <t>https://money.finance.sina.com.cn/corp/view/vCB_AllBulletinDetail.php?stockid=605258&amp;id=12121827</t>
        </is>
      </c>
    </row>
    <row r="65" ht="104" customHeight="1">
      <c r="B65" s="4" t="inlineStr">
        <is>
          <t>605589</t>
        </is>
      </c>
      <c r="C65" s="4" t="inlineStr">
        <is>
          <t>圣泉集团</t>
        </is>
      </c>
      <c r="D65" s="5" t="inlineStr">
        <is>
          <t>PCB：环氧树脂</t>
        </is>
      </c>
      <c r="E65" s="4" t="inlineStr">
        <is>
          <t>纠错</t>
        </is>
      </c>
      <c r="F65" s="4" t="inlineStr">
        <is>
          <t>PCB</t>
        </is>
      </c>
      <c r="G65" s="5" t="inlineStr">
        <is>
          <t>树脂-环氧与碳氢</t>
        </is>
      </c>
      <c r="H65" s="4" t="inlineStr">
        <is>
          <t>相关</t>
        </is>
      </c>
      <c r="I65" s="5" t="inlineStr">
        <is>
          <t>公司真实电子材料包括高频高速覆铜板用PPO、OPE、碳氢树脂及特种环氧等，年报明确这些产品用于服务器、高速通信和AI算力设备的覆铜板体系，具有真实PCB上游材料属性，不是把全部酚醛或呋喃树脂泛化为PCB。iFinD二〇二五年先进电子材料和电池材料收入十六点六〇亿元，约占总收入百分之十五点一八，合成树脂类收入五十六点六一亿元；前者还混合半导体封装、光刻胶、光学及电池材料，后者还含铸造等广泛用途，两个口径均不能全算PCB。PCB树脂已有产业化和收入基础但缺少独立拆分，故列相关而非核心。旧“环氧树脂”和“碳氢树脂M9”统一纠正为树脂-环氧与碳氢，并保留混合下游边界。</t>
        </is>
      </c>
      <c r="J65" s="4" t="inlineStr">
        <is>
          <t>圣泉集团：2025年年度报告</t>
        </is>
      </c>
      <c r="K65" s="4" t="inlineStr">
        <is>
          <t>2026-04-25</t>
        </is>
      </c>
      <c r="L65" s="5" t="inlineStr">
        <is>
          <t>iFinD ifind_get_stock_info + ifind_get_stock_business_segmentation (as of 2026-10-27)；圣泉集团：2025年年度报告</t>
        </is>
      </c>
      <c r="M65" s="6" t="inlineStr">
        <is>
          <t>https://money.finance.sina.com.cn/corp/view/vCB_AllBulletinDetail.php?stockid=605589&amp;id=12189564</t>
        </is>
      </c>
    </row>
    <row r="66" ht="104" customHeight="1">
      <c r="B66" s="7" t="inlineStr">
        <is>
          <t>688003</t>
        </is>
      </c>
      <c r="C66" s="7" t="inlineStr">
        <is>
          <t>天准科技</t>
        </is>
      </c>
      <c r="D66" s="8" t="inlineStr">
        <is>
          <t>PCB：曝光</t>
        </is>
      </c>
      <c r="E66" s="7" t="inlineStr">
        <is>
          <t>纠错</t>
        </is>
      </c>
      <c r="F66" s="7" t="inlineStr">
        <is>
          <t>PCB</t>
        </is>
      </c>
      <c r="G66" s="8" t="inlineStr">
        <is>
          <t>PCB设备-曝光与成像、PCB设备-钻孔与激光加工、PCB设备-检测与测试</t>
        </is>
      </c>
      <c r="H66" s="7" t="inlineStr">
        <is>
          <t>相关</t>
        </is>
      </c>
      <c r="I66" s="8" t="inlineStr">
        <is>
          <t>公司年报明确视觉制程装备包括LDI激光直接成像设备和CO2激光钻孔设备，应用于PCB领域；LDI用于曝光工序，报告期视觉制程装备销量增长也明确受PCB领域LDI产品增加带动，属于真实销售产品。另有PCB激光钻孔研发项目，但不能把研发规模当作收入。iFinD二〇二五年视觉制程装备收入五点三四亿元、约占总收入百分之二十九点八二，其中还包含新汽车等智能装备；视觉检测十点七八亿元又覆盖半导体、电子等多类场景，PCB收入未单独拆分，故定为相关而非核心。半导体前道量检测、其他视觉和机器人业务均不得并入PCB。旧“曝光”保留并补充真实钻孔设备，旧“贴片”理由无依据应删除。</t>
        </is>
      </c>
      <c r="J66" s="7" t="inlineStr">
        <is>
          <t>天准科技：2025年年度报告</t>
        </is>
      </c>
      <c r="K66" s="7" t="inlineStr">
        <is>
          <t>2026-04-25</t>
        </is>
      </c>
      <c r="L66" s="8" t="inlineStr">
        <is>
          <t>iFinD ifind_get_stock_info + ifind_get_stock_business_segmentation (as of 2026-10-27)；天准科技：2025年年度报告</t>
        </is>
      </c>
      <c r="M66" s="9" t="inlineStr">
        <is>
          <t>https://money.finance.sina.com.cn/corp/view/vCB_AllBulletinDetail.php?stockid=688003&amp;id=12197277</t>
        </is>
      </c>
    </row>
    <row r="67" ht="104" customHeight="1">
      <c r="B67" s="4" t="inlineStr">
        <is>
          <t>688170</t>
        </is>
      </c>
      <c r="C67" s="4" t="inlineStr">
        <is>
          <t>德龙激光</t>
        </is>
      </c>
      <c r="D67" s="5" t="inlineStr">
        <is>
          <t>PCB：钻孔</t>
        </is>
      </c>
      <c r="E67" s="4" t="inlineStr">
        <is>
          <t>纠错</t>
        </is>
      </c>
      <c r="F67" s="4" t="inlineStr">
        <is>
          <t>PCB</t>
        </is>
      </c>
      <c r="G67" s="5" t="inlineStr">
        <is>
          <t>PCB设备-钻孔与激光加工</t>
        </is>
      </c>
      <c r="H67" s="4" t="inlineStr">
        <is>
          <t>相关</t>
        </is>
      </c>
      <c r="I67" s="5" t="inlineStr">
        <is>
          <t>公司年报披露面向PCB与FPC的激光加工体系，真实方案包括多层板和高频高速板切割分板、微盲孔及通孔钻孔、FPC外形切割和覆盖膜开窗，可用于AI服务器HDI、光模块和IC载板等场景，属于具体PCB激光加工设备而非泛激光概念。iFinD二〇二五年精密激光加工设备收入五点七七亿元、约占总收入百分之七十三点二六，激光器、加工服务和维修另有收入；精密设备同时覆盖半导体、显示、新能源等多个下游，PCB设备收入未单独披露，不能把五点七七亿元全部归入PCB。基于真实产品方案但混合下游且占比不明，由旧核心下调为相关。旧“钻孔”方向保留并规范为PCB设备-钻孔与激光加工，不延伸到曝光或整线设备。</t>
        </is>
      </c>
      <c r="J67" s="4" t="inlineStr">
        <is>
          <t>德龙激光：2025年年度报告</t>
        </is>
      </c>
      <c r="K67" s="4" t="inlineStr">
        <is>
          <t>2026-04-28</t>
        </is>
      </c>
      <c r="L67" s="5" t="inlineStr">
        <is>
          <t>iFinD ifind_get_stock_info + ifind_get_stock_business_segmentation (as of 2026-10-27)；德龙激光：2025年年度报告</t>
        </is>
      </c>
      <c r="M67" s="6" t="inlineStr">
        <is>
          <t>https://money.finance.sina.com.cn/corp/view/vCB_AllBulletinDetail.php?stockid=688170&amp;id=12229182</t>
        </is>
      </c>
    </row>
    <row r="68" ht="104" customHeight="1">
      <c r="B68" s="7" t="inlineStr">
        <is>
          <t>688183</t>
        </is>
      </c>
      <c r="C68" s="7" t="inlineStr">
        <is>
          <t>生益电子</t>
        </is>
      </c>
      <c r="D68" s="8" t="inlineStr">
        <is>
          <t>PCB：AI服务器相关</t>
        </is>
      </c>
      <c r="E68" s="7" t="inlineStr">
        <is>
          <t>纠错</t>
        </is>
      </c>
      <c r="F68" s="7" t="inlineStr">
        <is>
          <t>PCB</t>
        </is>
      </c>
      <c r="G68" s="8" t="inlineStr">
        <is>
          <t>PCB-高多层与服务器板、PCB-HDI与任意层互连、PCB-FPC与刚挠结合</t>
        </is>
      </c>
      <c r="H68" s="7" t="inlineStr">
        <is>
          <t>核心</t>
        </is>
      </c>
      <c r="I68" s="8" t="inlineStr">
        <is>
          <t>公司真实主营为各类印制电路板研发、生产和销售，年报披露与国内外多家头部AI服务器企业合作，并明确二〇二五年服务器产品销售收入占比达到百分之六十以上，AI服务器产品成为业绩增长核心引擎，证据不仅是行业需求或概念映射。iFinD二〇二五年印制电路板收入九十一点四五亿元，占营业收入百分之九十六点三三，其他业务占百分之三点六七，直接PCB收入规模巨大且占绝对主体，核心定级充分。其他业务不能并入，服务器占比也不等于全部PCB均为AI服务器，仍需保留通信、汽车等混合下游边界。旧“AI服务器相关”现纠正为高多层与服务器板，旧“AWS”若无公司正式披露客户依据不沿用，避免虚构单一客户标签。</t>
        </is>
      </c>
      <c r="J68" s="7" t="inlineStr">
        <is>
          <t>生益电子：2025年年度报告</t>
        </is>
      </c>
      <c r="K68" s="7" t="inlineStr">
        <is>
          <t>2026-04-24</t>
        </is>
      </c>
      <c r="L68" s="8" t="inlineStr">
        <is>
          <t>iFinD ifind_get_stock_info + ifind_get_stock_business_segmentation (as of 2026-10-27)；生益电子：2025年年度报告</t>
        </is>
      </c>
      <c r="M68" s="9" t="inlineStr">
        <is>
          <t>https://money.finance.sina.com.cn/corp/view/vCB_AllBulletinDetail.php?stockid=688183&amp;id=12166656</t>
        </is>
      </c>
    </row>
    <row r="69" ht="104" customHeight="1">
      <c r="B69" s="4" t="inlineStr">
        <is>
          <t>688300</t>
        </is>
      </c>
      <c r="C69" s="4" t="inlineStr">
        <is>
          <t>联瑞新材</t>
        </is>
      </c>
      <c r="D69" s="5" t="inlineStr">
        <is>
          <t>PCB：硅微粉</t>
        </is>
      </c>
      <c r="E69" s="4" t="inlineStr">
        <is>
          <t>纠错</t>
        </is>
      </c>
      <c r="F69" s="4" t="inlineStr">
        <is>
          <t>PCB</t>
        </is>
      </c>
      <c r="G69" s="5" t="inlineStr">
        <is>
          <t>填料-硅微粉与功能粉体</t>
        </is>
      </c>
      <c r="H69" s="4" t="inlineStr">
        <is>
          <t>相关</t>
        </is>
      </c>
      <c r="I69" s="5" t="inlineStr">
        <is>
          <t>公司真实产品是角形和球形二氧化硅等无机功能粉体，年报明确球形二氧化硅用于高性能覆铜板、高频高速、HDI和IC载板填料，并披露二〇二五年销往高性能覆铜板领域的相关产品营收占比上升，具备真实PCB上游应用而非潜在用途。iFinD二〇二五年先进无机非金属材料收入十一点一四亿元，占营业收入百分之九十九点八八，其中球形无机粉体六点五二亿元、角形无机粉体二点六一亿元；这些产品还用于芯片封装、导热及其他领域，PCB收入没有独立拆分，不能把全部粉体收入归入PCB。因此定为相关而非核心。旧“硅微粉”规范为填料-硅微粉与功能粉体，并明确与半导体封装材料的混合边界。</t>
        </is>
      </c>
      <c r="J69" s="4" t="inlineStr">
        <is>
          <t>联瑞新材：2025年年度报告</t>
        </is>
      </c>
      <c r="K69" s="4" t="inlineStr">
        <is>
          <t>2026-04-22</t>
        </is>
      </c>
      <c r="L69" s="5" t="inlineStr">
        <is>
          <t>iFinD ifind_get_stock_info + ifind_get_stock_business_segmentation (as of 2026-10-27)；联瑞新材：2025年年度报告</t>
        </is>
      </c>
      <c r="M69" s="6" t="inlineStr">
        <is>
          <t>https://money.finance.sina.com.cn/corp/view/vCB_AllBulletinDetail.php?stockid=688300&amp;id=12132109</t>
        </is>
      </c>
    </row>
    <row r="70" ht="104" customHeight="1">
      <c r="B70" s="7" t="inlineStr">
        <is>
          <t>688312</t>
        </is>
      </c>
      <c r="C70" s="7" t="inlineStr">
        <is>
          <t>燕麦科技</t>
        </is>
      </c>
      <c r="D70" s="8" t="inlineStr">
        <is>
          <t>PCB：检测</t>
        </is>
      </c>
      <c r="E70" s="7" t="inlineStr">
        <is>
          <t>纠错</t>
        </is>
      </c>
      <c r="F70" s="7" t="inlineStr">
        <is>
          <t>PCB</t>
        </is>
      </c>
      <c r="G70" s="8" t="inlineStr">
        <is>
          <t>PCB设备-检测与测试</t>
        </is>
      </c>
      <c r="H70" s="7" t="inlineStr">
        <is>
          <t>核心</t>
        </is>
      </c>
      <c r="I70" s="8" t="inlineStr">
        <is>
          <t>公司真实业务从FPC和FPCA测试起步，产品包括测试治具、多工序测试设备、自动化测试系统和智能视觉检测设备；年报明确视觉设备用于FPC及FPCA外观缺陷检测，客户覆盖全球前十大FPC企业中的八家，证明与柔性印制电路板是持续、规模化的直接业务关系。iFinD二〇二五年专用设备制造收入六点一七亿元，占营业收入百分之九十九点七九，其中自动化测试设备四点六八亿元、测试治具零点七〇亿元，其余为配件及其他。尽管测试设备正向通信、汽车、医疗等场景拓展，FPC测试仍是核心产品基础，故列核心；但不能把全部设备机械理解为裸板AOI。旧“检测”现规范为PCB设备-检测与测试，并明确FPC、FPCA测试边界。</t>
        </is>
      </c>
      <c r="J70" s="7" t="inlineStr">
        <is>
          <t>燕麦科技：2025年年度报告</t>
        </is>
      </c>
      <c r="K70" s="7" t="inlineStr">
        <is>
          <t>2026-04-11</t>
        </is>
      </c>
      <c r="L70" s="8" t="inlineStr">
        <is>
          <t>iFinD ifind_get_stock_info + ifind_get_stock_business_segmentation (as of 2026-10-27)；燕麦科技：2025年年度报告</t>
        </is>
      </c>
      <c r="M70" s="9" t="inlineStr">
        <is>
          <t>https://money.finance.sina.com.cn/corp/view/vCB_AllBulletinDetail.php?stockid=688312&amp;id=12081527</t>
        </is>
      </c>
    </row>
    <row r="71" ht="104" customHeight="1">
      <c r="B71" s="4" t="inlineStr">
        <is>
          <t>688359</t>
        </is>
      </c>
      <c r="C71" s="4" t="inlineStr">
        <is>
          <t>三孚新科</t>
        </is>
      </c>
      <c r="D71" s="5" t="inlineStr">
        <is>
          <t>PCB：化学品</t>
        </is>
      </c>
      <c r="E71" s="4" t="inlineStr">
        <is>
          <t>纠错</t>
        </is>
      </c>
      <c r="F71" s="4" t="inlineStr">
        <is>
          <t>PCB</t>
        </is>
      </c>
      <c r="G71" s="5" t="inlineStr">
        <is>
          <t>PCB化学品-电镀与湿制程、PCB设备-电镀</t>
        </is>
      </c>
      <c r="H71" s="4" t="inlineStr">
        <is>
          <t>核心</t>
        </is>
      </c>
      <c r="I71" s="5" t="inlineStr">
        <is>
          <t>公司真实产品是表面工程电子化学品、通用电镀化学品和专用设备，年报明确其研究PCB制造表面金属化工艺，并可向PCB客户提供专用化学品及设备整体方案，属于湿制程和电镀环节，不是把普通五金电镀全部归入PCB。iFinD二〇二五年印刷电路板下游收入二点八一亿元，占营业收入百分之六十一点三五；五金卫浴、电子元器件、电子通讯、汽车零部件和新能源等合计构成其余混合下游，均不能纳入PCB收入。PCB下游已经形成独立且占主体的收入，核心定级有直接依据。旧“化学品”和“电镀”合并规范为PCB化学品-电镀与湿制程；设备虽有协同，但未单列PCB设备收入，本次不额外扩大标签。</t>
        </is>
      </c>
      <c r="J71" s="4" t="inlineStr">
        <is>
          <t>三孚新科：2025年年度报告（修订版）</t>
        </is>
      </c>
      <c r="K71" s="4" t="inlineStr">
        <is>
          <t>2026-06-10</t>
        </is>
      </c>
      <c r="L71" s="5" t="inlineStr">
        <is>
          <t>iFinD ifind_get_stock_info + ifind_get_stock_business_segmentation (as of 2026-10-27)；三孚新科：2025年年度报告（修订版）</t>
        </is>
      </c>
      <c r="M71" s="6" t="inlineStr">
        <is>
          <t>https://money.finance.sina.com.cn/corp/view/vCB_AllBulletinDetail.php?stockid=688359&amp;id=12383591</t>
        </is>
      </c>
    </row>
    <row r="72" ht="104" customHeight="1">
      <c r="B72" s="7" t="inlineStr">
        <is>
          <t>688388</t>
        </is>
      </c>
      <c r="C72" s="7" t="inlineStr">
        <is>
          <t>嘉元科技</t>
        </is>
      </c>
      <c r="D72" s="8" t="inlineStr">
        <is>
          <t>PCB：HVLP</t>
        </is>
      </c>
      <c r="E72" s="7" t="inlineStr">
        <is>
          <t>纠错</t>
        </is>
      </c>
      <c r="F72" s="7" t="inlineStr">
        <is>
          <t>PCB</t>
        </is>
      </c>
      <c r="G72" s="8" t="inlineStr">
        <is>
          <t>铜箔-通用PCB、铜箔-HVLP与高频高速</t>
        </is>
      </c>
      <c r="H72" s="7" t="inlineStr">
        <is>
          <t>相关</t>
        </is>
      </c>
      <c r="I72" s="8" t="inlineStr">
        <is>
          <t>公司真实铜箔同时覆盖锂电和电子电路两条线，年报将标准铜箔明确界定为PCB用电解铜箔，并列出HVLP一至四代、RTF及HTE产品，应用包括高速PCB、AI服务器、交换机和覆铜板，不能因锂电规模大就否定真实PCB业务，也不能把全部铜箔收入算作PCB。iFinD二〇二五年锂电铜箔收入八十三点二〇亿元、约占总收入百分之八十六点二八，标准铜箔仅三点四〇亿元、约占百分之三点五三，其他收入占百分之十点一九。标准铜箔已有独立收入但占比较低，HVLP具体收入未单列，因此定为相关而非核心。旧“HVLP”单独保留会遗漏通用PCB铜箔并混淆锂电边界，现拆为通用PCB与高频高速两类。</t>
        </is>
      </c>
      <c r="J72" s="7" t="inlineStr">
        <is>
          <t>嘉元科技：2025年年度报告</t>
        </is>
      </c>
      <c r="K72" s="7" t="inlineStr">
        <is>
          <t>2026-04-21</t>
        </is>
      </c>
      <c r="L72" s="8" t="inlineStr">
        <is>
          <t>iFinD ifind_get_stock_info + ifind_get_stock_business_segmentation (as of 2026-10-27)；嘉元科技：2025年年度报告</t>
        </is>
      </c>
      <c r="M72" s="9" t="inlineStr">
        <is>
          <t>https://money.finance.sina.com.cn/corp/view/vCB_AllBulletinDetail.php?stockid=688388&amp;id=12118652</t>
        </is>
      </c>
    </row>
    <row r="73" ht="104" customHeight="1">
      <c r="B73" s="4" t="inlineStr">
        <is>
          <t>688519</t>
        </is>
      </c>
      <c r="C73" s="4" t="inlineStr">
        <is>
          <t>南亚新材</t>
        </is>
      </c>
      <c r="D73" s="5" t="inlineStr">
        <is>
          <t>PCB：覆铜板</t>
        </is>
      </c>
      <c r="E73" s="4" t="inlineStr">
        <is>
          <t>纠错</t>
        </is>
      </c>
      <c r="F73" s="4" t="inlineStr">
        <is>
          <t>PCB</t>
        </is>
      </c>
      <c r="G73" s="5" t="inlineStr">
        <is>
          <t>覆铜板与粘结片</t>
        </is>
      </c>
      <c r="H73" s="4" t="inlineStr">
        <is>
          <t>核心</t>
        </is>
      </c>
      <c r="I73" s="5" t="inlineStr">
        <is>
          <t>公司真实主营为电子电路基材设计、研发、生产和销售，产品包括普通及无卤FR-4、高频高速覆铜板、车用板、HDI及IC封装基材和粘结片。年报明确覆铜板用于制作印制电路板，粘结片是多层板生产材料，处于PCB直接上游，而不是终端元件或泛电子材料。iFinD二〇二五年电子专用材料收入五十一点二七亿元，占营业收入百分之九十八点〇七，其中覆铜板四十点五五亿元、约占百分之七十七点五六，粘结片十点七二亿元、约占百分之二十点五一，其他业务占百分之一点九三。两类产品均为独立规模收入，核心定级明确；其他业务不得混入。旧“覆铜板”和“CCL”同义重复，现统一为覆铜板与粘结片，避免重复贴标。</t>
        </is>
      </c>
      <c r="J73" s="4" t="inlineStr">
        <is>
          <t>南亚新材：2025年年度报告</t>
        </is>
      </c>
      <c r="K73" s="4" t="inlineStr">
        <is>
          <t>2026-03-26</t>
        </is>
      </c>
      <c r="L73" s="5" t="inlineStr">
        <is>
          <t>iFinD ifind_get_stock_info + ifind_get_stock_business_segmentation (as of 2026-10-27)；南亚新材：2025年年度报告</t>
        </is>
      </c>
      <c r="M73" s="6" t="inlineStr">
        <is>
          <t>https://money.finance.sina.com.cn/corp/view/vCB_AllBulletinDetail.php?stockid=688519&amp;id=12017881</t>
        </is>
      </c>
    </row>
    <row r="74" ht="104" customHeight="1">
      <c r="B74" s="7" t="inlineStr">
        <is>
          <t>688603</t>
        </is>
      </c>
      <c r="C74" s="7" t="inlineStr">
        <is>
          <t>天承科技</t>
        </is>
      </c>
      <c r="D74" s="8" t="inlineStr">
        <is>
          <t>PCB：化学品</t>
        </is>
      </c>
      <c r="E74" s="7" t="inlineStr">
        <is>
          <t>纠错</t>
        </is>
      </c>
      <c r="F74" s="7" t="inlineStr">
        <is>
          <t>PCB</t>
        </is>
      </c>
      <c r="G74" s="8" t="inlineStr">
        <is>
          <t>PCB化学品-电镀与湿制程</t>
        </is>
      </c>
      <c r="H74" s="7" t="inlineStr">
        <is>
          <t>核心</t>
        </is>
      </c>
      <c r="I74" s="8" t="inlineStr">
        <is>
          <t>公司真实产品是电子电路功能性湿电子化学品，主要包括沉铜电镀专用化学品和铜面处理专用化学品，直接服务PCB沉铜、电镀及表面处理制程，不是将半导体、通用化工或所有电子化学品混合计入。iFinD二〇二五年电子电路收入四点六四亿元，占营业收入百分之九十八点六〇，其中沉铜电镀专用化学品四点一三亿元、约占总收入百分之八十七点六八，铜面处理专用化学品零点三三亿元，其他业务占百分之一点四〇。主营产品、应用场景和独立收入高度一致，核心定级充分。少量其他产品及其他业务不纳入PCB口径。旧“化学品”虽方向正确但范围过宽，现纠正为PCB化学品-电镀与湿制程，不额外虚构曝光、检测或设备标签。</t>
        </is>
      </c>
      <c r="J74" s="7" t="inlineStr">
        <is>
          <t>天承科技：2025年年度报告</t>
        </is>
      </c>
      <c r="K74" s="7" t="inlineStr">
        <is>
          <t>2026-04-28</t>
        </is>
      </c>
      <c r="L74" s="8" t="inlineStr">
        <is>
          <t>iFinD ifind_get_stock_info + ifind_get_stock_business_segmentation (as of 2026-10-27)；天承科技：2025年年度报告</t>
        </is>
      </c>
      <c r="M74" s="9" t="inlineStr">
        <is>
          <t>https://money.finance.sina.com.cn/corp/view/vCB_AllBulletinDetail.php?stockid=688603&amp;id=12214747</t>
        </is>
      </c>
    </row>
    <row r="75" ht="104" customHeight="1">
      <c r="B75" s="4" t="inlineStr">
        <is>
          <t>688630</t>
        </is>
      </c>
      <c r="C75" s="4" t="inlineStr">
        <is>
          <t>芯碁微装</t>
        </is>
      </c>
      <c r="D75" s="5" t="inlineStr">
        <is>
          <t>PCB：曝光</t>
        </is>
      </c>
      <c r="E75" s="4" t="inlineStr">
        <is>
          <t>纠错</t>
        </is>
      </c>
      <c r="F75" s="4" t="inlineStr">
        <is>
          <t>PCB</t>
        </is>
      </c>
      <c r="G75" s="5" t="inlineStr">
        <is>
          <t>PCB设备-曝光与成像</t>
        </is>
      </c>
      <c r="H75" s="4" t="inlineStr">
        <is>
          <t>核心</t>
        </is>
      </c>
      <c r="I75" s="5" t="inlineStr">
        <is>
          <t>公司以微纳直写光刻为技术核心，真实PCB产品是直接成像和高端线路设备，用于PCB线路曝光成像；同时另有泛半导体直写光刻设备，两者应分开，不应把半导体设备收入或晶圆先进制程概念并入PCB。iFinD二〇二五年PCB系列收入十点八〇亿元，占营业收入百分之七十六点六九，泛半导体系列二点三三亿元、占百分之十六点五八，维护租赁及其他构成剩余收入。PCB系列已经独立披露并占绝对主体，因此由旧相关上调为核心，而非仅凭光刻机题材判断。维护租赁和泛半导体收入不得混入PCB。旧“曝光”现规范为PCB设备-曝光与成像，并保留PCB与泛半导体的清晰收入边界。</t>
        </is>
      </c>
      <c r="J75" s="4" t="inlineStr">
        <is>
          <t>芯碁微装：2025年年度报告</t>
        </is>
      </c>
      <c r="K75" s="4" t="inlineStr">
        <is>
          <t>2026-03-14</t>
        </is>
      </c>
      <c r="L75" s="5" t="inlineStr">
        <is>
          <t>iFinD ifind_get_stock_info + ifind_get_stock_business_segmentation (as of 2026-10-27)；芯碁微装：2025年年度报告</t>
        </is>
      </c>
      <c r="M75" s="6" t="inlineStr">
        <is>
          <t>https://money.finance.sina.com.cn/corp/view/vCB_AllBulletinDetail.php?stockid=688630&amp;id=11993950</t>
        </is>
      </c>
    </row>
    <row r="76" ht="104" customHeight="1">
      <c r="B76" s="7" t="inlineStr">
        <is>
          <t>688655</t>
        </is>
      </c>
      <c r="C76" s="7" t="inlineStr">
        <is>
          <t>迅捷兴</t>
        </is>
      </c>
      <c r="D76" s="8" t="inlineStr">
        <is>
          <t>PCB：PCB</t>
        </is>
      </c>
      <c r="E76" s="7" t="inlineStr">
        <is>
          <t>纠错</t>
        </is>
      </c>
      <c r="F76" s="7" t="inlineStr">
        <is>
          <t>PCB</t>
        </is>
      </c>
      <c r="G76" s="8" t="inlineStr">
        <is>
          <t>PCB-通用刚性板、PCB-HDI与任意层互连、PCB-FPC与刚挠结合、PCB-高多层与服务器板</t>
        </is>
      </c>
      <c r="H76" s="7" t="inlineStr">
        <is>
          <t>核心</t>
        </is>
      </c>
      <c r="I76" s="8" t="inlineStr">
        <is>
          <t>公司直接从事印制电路板研发、生产和销售，真实产品包括刚性板、HDI、高频高速板、厚铜板、金属基板、挠性板和刚挠结合板，产品分类均有年报释义及主营业务支撑，不是依赖CPO、5G等终端概念反推PCB。iFinD二〇二五年印制电路板收入六点四五亿元，占营业收入百分之九十三点五四，其他业务零点四五亿元、占百分之六点四六，PCB独立收入占绝对主体，故定核心。其他业务不得并入，高频高速或通信应用也不等于全部产品都是AI服务器板，故不添加缺乏单独依据的服务器标签。旧“PCB”过于笼统，现按真实板型规范为通用刚性板、HDI和FPC与刚挠结合，保留产品之间及下游应用的边界。</t>
        </is>
      </c>
      <c r="J76" s="7" t="inlineStr">
        <is>
          <t>迅捷兴：2025年年度报告</t>
        </is>
      </c>
      <c r="K76" s="7" t="inlineStr">
        <is>
          <t>2026-03-28</t>
        </is>
      </c>
      <c r="L76" s="8" t="inlineStr">
        <is>
          <t>iFinD ifind_get_stock_info + ifind_get_stock_business_segmentation (as of 2026-10-27)；迅捷兴：2025年年度报告</t>
        </is>
      </c>
      <c r="M76" s="9" t="inlineStr">
        <is>
          <t>https://money.finance.sina.com.cn/corp/view/vCB_AllBulletinDetail.php?stockid=688655&amp;id=12030435</t>
        </is>
      </c>
    </row>
    <row r="77" ht="104" customHeight="1">
      <c r="B77" s="4" t="inlineStr">
        <is>
          <t>688700</t>
        </is>
      </c>
      <c r="C77" s="4" t="inlineStr">
        <is>
          <t>东威科技</t>
        </is>
      </c>
      <c r="D77" s="5" t="inlineStr">
        <is>
          <t>PCB：电镀</t>
        </is>
      </c>
      <c r="E77" s="4" t="inlineStr">
        <is>
          <t>纠错</t>
        </is>
      </c>
      <c r="F77" s="4" t="inlineStr">
        <is>
          <t>PCB</t>
        </is>
      </c>
      <c r="G77" s="5" t="inlineStr">
        <is>
          <t>PCB设备-电镀</t>
        </is>
      </c>
      <c r="H77" s="4" t="inlineStr">
        <is>
          <t>核心</t>
        </is>
      </c>
      <c r="I77" s="5" t="inlineStr">
        <is>
          <t>公司真实产品是高端精密电镀设备，其中垂直连续电镀设备用于PCB镀铜，并覆盖刚性板、柔性板、HDI和封装基板等工艺；年报同时列出五金、新能源及光伏设备，说明不能把全部电镀设备收入简单归入PCB。iFinD二〇二五年高端印制电路电镀领域专用设备收入八点二二亿元，占营业收入百分之七十四点八五，通用五金设备占百分之十四点一一，新能源设备占百分之二点七二，其他及少量其他业务构成剩余口径。PCB专用设备已形成独立且占主体的规模收入，核心定级明确，新能源复合铜箔设备不得混入。旧“电镀”现规范为PCB设备-电镀，旧把复合铜箔延伸与PCB主业混写的理由予以纠正。</t>
        </is>
      </c>
      <c r="J77" s="4" t="inlineStr">
        <is>
          <t>东威科技：2025年年度报告</t>
        </is>
      </c>
      <c r="K77" s="4" t="inlineStr">
        <is>
          <t>2026-04-28</t>
        </is>
      </c>
      <c r="L77" s="5" t="inlineStr">
        <is>
          <t>iFinD ifind_get_stock_info + ifind_get_stock_business_segmentation (as of 2026-10-27)；东威科技：2025年年度报告</t>
        </is>
      </c>
      <c r="M77" s="6" t="inlineStr">
        <is>
          <t>https://money.finance.sina.com.cn/corp/view/vCB_AllBulletinDetail.php?stockid=688700&amp;id=12218310</t>
        </is>
      </c>
    </row>
    <row r="78" ht="104" customHeight="1">
      <c r="B78" s="7" t="inlineStr">
        <is>
          <t>688720</t>
        </is>
      </c>
      <c r="C78" s="7" t="inlineStr">
        <is>
          <t>艾森股份</t>
        </is>
      </c>
      <c r="D78" s="8" t="inlineStr">
        <is>
          <t>PCB：化学品</t>
        </is>
      </c>
      <c r="E78" s="7" t="inlineStr">
        <is>
          <t>纠错</t>
        </is>
      </c>
      <c r="F78" s="7" t="inlineStr">
        <is>
          <t>PCB</t>
        </is>
      </c>
      <c r="G78" s="8" t="inlineStr">
        <is>
          <t>PCB化学品-电镀与湿制程</t>
        </is>
      </c>
      <c r="H78" s="7" t="inlineStr">
        <is>
          <t>相关</t>
        </is>
      </c>
      <c r="I78" s="8" t="inlineStr">
        <is>
          <t>公司真实产品为电镀液、配套试剂、光刻胶及配套材料，年报披露电镀液产品矩阵覆盖传统封装、先进封装、晶圆制造，也包括玻璃基板、IC载板和HDI应用，因此存在真实PCB及类载板湿制程关联，不能因公司名称含半导体就完全摘除。iFinD二〇二五年半导体行业收入五点四八亿元，占营业收入百分之九十二点四三，其他行业仅百分之四点四二，其他业务百分之三略强；电镀液及配套试剂二点八八亿元还混合封装、晶圆和HDI等下游，PCB收入没有单独披露。基于真实应用但低占比且无法拆分，由旧核心下调为相关。旧泛“电子化学品”现收窄为PCB化学品-电镀与湿制程，并排除半导体主业收入。</t>
        </is>
      </c>
      <c r="J78" s="7" t="inlineStr">
        <is>
          <t>艾森股份：2025年年度报告</t>
        </is>
      </c>
      <c r="K78" s="7" t="inlineStr">
        <is>
          <t>2026-04-25</t>
        </is>
      </c>
      <c r="L78" s="8" t="inlineStr">
        <is>
          <t>iFinD ifind_get_stock_info + ifind_get_stock_business_segmentation (as of 2026-10-27)；艾森股份：2025年年度报告</t>
        </is>
      </c>
      <c r="M78" s="9" t="inlineStr">
        <is>
          <t>https://money.finance.sina.com.cn/corp/view/vCB_AllBulletinDetail.php?stockid=688720&amp;id=12199345</t>
        </is>
      </c>
    </row>
    <row r="79" ht="104" customHeight="1">
      <c r="B79" s="4" t="inlineStr">
        <is>
          <t>688733</t>
        </is>
      </c>
      <c r="C79" s="4" t="inlineStr">
        <is>
          <t>壹石通</t>
        </is>
      </c>
      <c r="D79" s="5" t="inlineStr">
        <is>
          <t>PCB：硅微粉</t>
        </is>
      </c>
      <c r="E79" s="4" t="inlineStr">
        <is>
          <t>纠错</t>
        </is>
      </c>
      <c r="F79" s="4" t="inlineStr">
        <is>
          <t>PCB</t>
        </is>
      </c>
      <c r="G79" s="5" t="inlineStr">
        <is>
          <t>填料-硅微粉与功能粉体</t>
        </is>
      </c>
      <c r="H79" s="4" t="inlineStr">
        <is>
          <t>相关</t>
        </is>
      </c>
      <c r="I79" s="5" t="inlineStr">
        <is>
          <t>公司真实产品包括勃姆石、二氧化硅粉体、球形氧化铝和阻燃材料；年报明确二氧化硅、球形氧化铝可填充于电子芯片封装材料和电子印制线路板，用于高频高速、低损耗及高可靠场景，因而具有真实PCB功能填料应用，不是单纯锂电材料概念。iFinD二〇二五年无机功能粉体材料收入五点七二亿元、约占总收入百分之九十点七一，低烟无卤阻燃材料零点五二亿元；但粉体还包含主要用于锂电隔膜涂覆的勃姆石以及芯片封装、热管理等下游，PCB收入未拆分，不能把全部粉体收入归入PCB。基于真实产品但混合收入边界，由旧核心下调为相关。旧“硅微粉”规范为填料-硅微粉与功能粉体，避免只凭二氧化硅名称判核心。</t>
        </is>
      </c>
      <c r="J79" s="4" t="inlineStr">
        <is>
          <t>壹石通：2025年年度报告</t>
        </is>
      </c>
      <c r="K79" s="4" t="inlineStr">
        <is>
          <t>2026-04-17</t>
        </is>
      </c>
      <c r="L79" s="5" t="inlineStr">
        <is>
          <t>iFinD ifind_get_stock_info + ifind_get_stock_business_segmentation (as of 2026-10-27)；壹石通：2025年年度报告</t>
        </is>
      </c>
      <c r="M79" s="6" t="inlineStr">
        <is>
          <t>https://money.finance.sina.com.cn/corp/view/vCB_AllBulletinDetail.php?stockid=688733&amp;id=12099645</t>
        </is>
      </c>
    </row>
    <row r="80" ht="104" customHeight="1">
      <c r="B80" s="7" t="inlineStr">
        <is>
          <t>920821</t>
        </is>
      </c>
      <c r="C80" s="7" t="inlineStr">
        <is>
          <t>则成电子</t>
        </is>
      </c>
      <c r="D80" s="8" t="inlineStr">
        <is>
          <t>PCB：FPC</t>
        </is>
      </c>
      <c r="E80" s="7" t="inlineStr">
        <is>
          <t>纠错</t>
        </is>
      </c>
      <c r="F80" s="7" t="inlineStr">
        <is>
          <t>PCB</t>
        </is>
      </c>
      <c r="G80" s="8" t="inlineStr">
        <is>
          <t>PCB-FPC与刚挠结合、PCB-HDI与任意层互连、PCB-IC载板</t>
        </is>
      </c>
      <c r="H80" s="7" t="inlineStr">
        <is>
          <t>核心</t>
        </is>
      </c>
      <c r="I80" s="8" t="inlineStr">
        <is>
          <t>公司真实业务是基于柔性应用的定制化模组及印制电路板设计、研发、生产和销售，iFinD主营资料明确为FPC及FPC产业链延伸的FPC组件，年报还披露HDI、SLP和RF软硬结合板研发及医疗多层、超长尺寸FPC项目，不是仅采购FPC组装普通电子模组。二〇二五年印制电路板收入九千〇六十六万元，约占总收入百分之二十三；消费电子、食品医疗、交通工具等模组分类中还包含基于柔性板的定制产品，但不能把这些分类收入全部当作裸板或全部重复计算。FPC裸板已有重要收入，FPC组件又是主营方向，故定核心并保留模组混合边界。旧“FPC与电子模组”现按白名单归为PCB-FPC与刚挠结合，避免误标为通用刚性板。</t>
        </is>
      </c>
      <c r="J80" s="7" t="inlineStr">
        <is>
          <t>则成电子：2025年年度报告</t>
        </is>
      </c>
      <c r="K80" s="7" t="inlineStr">
        <is>
          <t>2026-04-24</t>
        </is>
      </c>
      <c r="L80" s="8" t="inlineStr">
        <is>
          <t>iFinD ifind_get_stock_info + ifind_get_stock_business_segmentation (as of 2026-10-27)；则成电子：2025年年度报告</t>
        </is>
      </c>
      <c r="M80" s="9" t="inlineStr">
        <is>
          <t>https://money.finance.sina.com.cn/corp/view/vCB_AllBulletinDetail.php?stockid=920821&amp;id=12196512</t>
        </is>
      </c>
    </row>
  </sheetData>
  <autoFilter ref="B4:M80"/>
  <mergeCells count="2">
    <mergeCell ref="B3:M3"/>
    <mergeCell ref="B2:M2"/>
  </mergeCell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B2:M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0" customWidth="1" min="4" max="4"/>
    <col width="10" customWidth="1" min="5" max="5"/>
    <col width="16" customWidth="1" min="6" max="6"/>
    <col width="60" customWidth="1" min="7" max="7"/>
    <col width="10" customWidth="1" min="8" max="8"/>
    <col width="125" customWidth="1" min="9" max="9"/>
    <col width="52" customWidth="1" min="10" max="10"/>
    <col width="14" customWidth="1" min="11" max="11"/>
    <col width="62" customWidth="1" min="12" max="12"/>
    <col width="82" customWidth="1" min="13" max="13"/>
  </cols>
  <sheetData>
    <row r="2" ht="32" customHeight="1">
      <c r="B2" s="1" t="inlineStr">
        <is>
          <t>摘除清单 · 13只证据不足或业务错标</t>
        </is>
      </c>
    </row>
    <row r="3">
      <c r="B3" s="2" t="inlineStr">
        <is>
          <t>通用产品潜在用途、央企背景、SpaceX预期、太空光伏设备及未决投资不直接计入PCB。</t>
        </is>
      </c>
    </row>
    <row r="4">
      <c r="B4" s="3" t="inlineStr">
        <is>
          <t>代码</t>
        </is>
      </c>
      <c r="C4" s="3" t="inlineStr">
        <is>
          <t>名称</t>
        </is>
      </c>
      <c r="D4" s="3" t="inlineStr">
        <is>
          <t>旧PCB概念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104" customHeight="1">
      <c r="B5" s="4" t="inlineStr">
        <is>
          <t>000636</t>
        </is>
      </c>
      <c r="C5" s="4" t="inlineStr">
        <is>
          <t>风华高科</t>
        </is>
      </c>
      <c r="D5" s="5" t="inlineStr">
        <is>
          <t>PCB：MLCC</t>
        </is>
      </c>
      <c r="E5" s="4" t="inlineStr">
        <is>
          <t>摘除</t>
        </is>
      </c>
      <c r="F5" s="4" t="inlineStr">
        <is>
          <t>—</t>
        </is>
      </c>
      <c r="G5" s="5" t="inlineStr">
        <is>
          <t>—</t>
        </is>
      </c>
      <c r="H5" s="4" t="inlineStr">
        <is>
          <t>摘除</t>
        </is>
      </c>
      <c r="I5" s="5" t="inlineStr">
        <is>
          <t>公司真实产品是片式多层陶瓷电容器、片式电阻器、电感器及其他电子元器件和电子材料，MLCC属于被动元件，不是印制电路板，也不属于覆铜板、电子布、铜箔、PCB化学品、设备或刀具。2025年电子元器件收入56.5238亿元，其他业务1.0403亿元，合计营业收入57.5641亿元，元器件约占98.19%，但该口径包含多类被动元件，不能全部视为MLCC，更不能转换为PCB收入。公司虽具备电子材料平台属性，现有正式资料未显示独立PCB制造或直接专用材料、设备业务，因此按产业链排除规则定级为摘除。旧“PCB-MLCC”把下游元件与电路板混同，本次只删除该错误交叉标签，不处理公司其他产业分类。</t>
        </is>
      </c>
      <c r="J5" s="4" t="inlineStr">
        <is>
          <t>广东风华高新科技股份有限公司2025年度审计报告</t>
        </is>
      </c>
      <c r="K5" s="4" t="inlineStr">
        <is>
          <t>2026-04-21</t>
        </is>
      </c>
      <c r="L5" s="5" t="inlineStr">
        <is>
          <t>iFinD ifind_get_stock_info + ifind_get_stock_business_segmentation (as of 2026-10-27)；广东风华高新科技股份有限公司2025年度审计报告</t>
        </is>
      </c>
      <c r="M5" s="6" t="inlineStr">
        <is>
          <t>https://disc.static.szse.cn/disc/disk03/finalpage/2026-04-21/7f212725-e703-4a11-b8f5-5f873701e825.pdf</t>
        </is>
      </c>
    </row>
    <row r="6" ht="104" customHeight="1">
      <c r="B6" s="7" t="inlineStr">
        <is>
          <t>000733</t>
        </is>
      </c>
      <c r="C6" s="7" t="inlineStr">
        <is>
          <t>振华科技</t>
        </is>
      </c>
      <c r="D6" s="8" t="inlineStr">
        <is>
          <t>PCB：MLCC</t>
        </is>
      </c>
      <c r="E6" s="7" t="inlineStr">
        <is>
          <t>摘除</t>
        </is>
      </c>
      <c r="F6" s="7" t="inlineStr">
        <is>
          <t>—</t>
        </is>
      </c>
      <c r="G6" s="8" t="inlineStr">
        <is>
          <t>—</t>
        </is>
      </c>
      <c r="H6" s="7" t="inlineStr">
        <is>
          <t>摘除</t>
        </is>
      </c>
      <c r="I6" s="8" t="inlineStr">
        <is>
          <t>公司新型电子元器件包括电阻、电容、电感、半导体分立器件、继电器、连接器及混合集成电路等，MLCC和军用被动元件即使用于军工电子或服务器，也仍是安装在电路板上的元器件，不等于PCB本体或其直接材料、设备、刀具。2025年新型电子元器件收入57.0999亿元，现代服务业0.4499亿元，合计57.5497亿元，元器件约占99.22%，但这是多产品混合口径，未单列MLCC收入，也不存在可辨认的PCB收入。正式年报未显示公司有独立印制电路板制造或覆铜板等强相关业务，故按排除规则定级为摘除。旧“PCB-MLCC”属于产业环节错配，本次删除该PCB标签，不触碰其军工电子等其他标签。</t>
        </is>
      </c>
      <c r="J6" s="7" t="inlineStr">
        <is>
          <t>中国振华(集团)科技股份有限公司2025年年度报告</t>
        </is>
      </c>
      <c r="K6" s="7" t="inlineStr">
        <is>
          <t>2026-04-29</t>
        </is>
      </c>
      <c r="L6" s="8" t="inlineStr">
        <is>
          <t>iFinD ifind_get_stock_info + ifind_get_stock_business_segmentation (as of 2026-10-27)；中国振华(集团)科技股份有限公司2025年年度报告</t>
        </is>
      </c>
      <c r="M6" s="9" t="inlineStr">
        <is>
          <t>http://file.finance.sina.com.cn/211.154.219.97:9494/MRGG/CNSESZ_STOCK/2026/2026-4/2026-04-29/12267545.PDF</t>
        </is>
      </c>
    </row>
    <row r="7" ht="104" customHeight="1">
      <c r="B7" s="4" t="inlineStr">
        <is>
          <t>001212</t>
        </is>
      </c>
      <c r="C7" s="4" t="inlineStr">
        <is>
          <t>中旗新材</t>
        </is>
      </c>
      <c r="D7" s="5" t="inlineStr">
        <is>
          <t>PCB：硅微粉</t>
        </is>
      </c>
      <c r="E7" s="4" t="inlineStr">
        <is>
          <t>摘除</t>
        </is>
      </c>
      <c r="F7" s="4" t="inlineStr">
        <is>
          <t>—</t>
        </is>
      </c>
      <c r="G7" s="5" t="inlineStr">
        <is>
          <t>—</t>
        </is>
      </c>
      <c r="H7" s="4" t="inlineStr">
        <is>
          <t>摘除</t>
        </is>
      </c>
      <c r="I7" s="5" t="inlineStr">
        <is>
          <t>公司现有人造石英石板材和台面是真实主营产品，高纯砂或石英砂粉也不能仅凭化学成分就自动认定为覆铜板用硅微粉。2025年板材收入3.2807亿元、占约78.58%，台面0.8177亿元、占约19.59%，高纯砂约0.0527亿元、占约1.26%，合计营业收入4.1751亿元；砂粉收入占比很小，且公司正式互动回复明确相关硅微粉尚未在PCB领域应用，因此没有真实供货或收入可支撑PCB标签。混合口径中绝大多数为建材产品，不能当作电子填料业务。按只有潜在用途即排除的规则定级为摘除。旧“硅微粉”虽指出材料形态，却错误暗示PCB应用，本次删除该标签，不另行扩展石英材料分类。</t>
        </is>
      </c>
      <c r="J7" s="4" t="inlineStr">
        <is>
          <t>中旗新材关于硅微粉应用领域的投资者互动回复</t>
        </is>
      </c>
      <c r="K7" s="4" t="inlineStr">
        <is>
          <t>2026-06-08</t>
        </is>
      </c>
      <c r="L7" s="5" t="inlineStr">
        <is>
          <t>iFinD ifind_get_stock_info + ifind_get_stock_business_segmentation (as of 2026-10-27)；中旗新材关于硅微粉应用领域的投资者互动回复</t>
        </is>
      </c>
      <c r="M7" s="6" t="inlineStr">
        <is>
          <t>https://api3.cls.cn/share/article/2400946?os=androids&amp;sv=860&amp;app=</t>
        </is>
      </c>
    </row>
    <row r="8" ht="104" customHeight="1">
      <c r="B8" s="7" t="inlineStr">
        <is>
          <t>001216</t>
        </is>
      </c>
      <c r="C8" s="7" t="inlineStr">
        <is>
          <t>华瓷股份</t>
        </is>
      </c>
      <c r="D8" s="8" t="inlineStr">
        <is>
          <t>PCB：MLCC</t>
        </is>
      </c>
      <c r="E8" s="7" t="inlineStr">
        <is>
          <t>摘除</t>
        </is>
      </c>
      <c r="F8" s="7" t="inlineStr">
        <is>
          <t>—</t>
        </is>
      </c>
      <c r="G8" s="8" t="inlineStr">
        <is>
          <t>—</t>
        </is>
      </c>
      <c r="H8" s="7" t="inlineStr">
        <is>
          <t>摘除</t>
        </is>
      </c>
      <c r="I8" s="8" t="inlineStr">
        <is>
          <t>公司主要产品为色釉陶瓷、釉下五彩瓷等日用陶瓷，另有电瓷和陶瓷新材料，陶瓷材料身份并不代表生产MLCC，更不代表生产PCB或其专用材料。2025年色釉陶瓷收入13.9364亿元，釉下五彩瓷0.3876亿元，电瓷0.2021亿元，陶瓷新材料0.1251亿元，营业收入合计14.7154亿元；日用陶瓷占绝对主体，电瓷属于电力绝缘器材，也不能转为电子元件或电路板收入。年报未显示印制电路板、覆铜板、电子布、PCB设备或刀具等独立业务，故按真实产品和产业边界定级为摘除。旧“PCB-MLCC”没有任何对应主营产品支撑，是把陶瓷概念错误映射到电子元件后再错配到PCB，本次删除该标签，不处理其他产业属性。</t>
        </is>
      </c>
      <c r="J8" s="7" t="inlineStr">
        <is>
          <t>湖南华联瓷业股份有限公司2025年年度报告</t>
        </is>
      </c>
      <c r="K8" s="7" t="inlineStr">
        <is>
          <t>2026-04-29</t>
        </is>
      </c>
      <c r="L8" s="8" t="inlineStr">
        <is>
          <t>iFinD ifind_get_stock_info + ifind_get_stock_business_segmentation (as of 2026-10-27)；湖南华联瓷业股份有限公司2025年年度报告</t>
        </is>
      </c>
      <c r="M8" s="9" t="inlineStr">
        <is>
          <t>http://file.finance.sina.com.cn/211.154.219.97:9494/MRGG/CNSESZ_STOCK/2026/2026-4/2026-04-29/12246740.PDF</t>
        </is>
      </c>
    </row>
    <row r="9" ht="104" customHeight="1">
      <c r="B9" s="4" t="inlineStr">
        <is>
          <t>002859</t>
        </is>
      </c>
      <c r="C9" s="4" t="inlineStr">
        <is>
          <t>洁美科技</t>
        </is>
      </c>
      <c r="D9" s="5" t="inlineStr">
        <is>
          <t>PCB：MLCC</t>
        </is>
      </c>
      <c r="E9" s="4" t="inlineStr">
        <is>
          <t>摘除</t>
        </is>
      </c>
      <c r="F9" s="4" t="inlineStr">
        <is>
          <t>—</t>
        </is>
      </c>
      <c r="G9" s="5" t="inlineStr">
        <is>
          <t>—</t>
        </is>
      </c>
      <c r="H9" s="4" t="inlineStr">
        <is>
          <t>摘除</t>
        </is>
      </c>
      <c r="I9" s="5" t="inlineStr">
        <is>
          <t>公司真实产品为纸质载带、塑料载带、上下胶带及离型膜等电子封装和薄膜材料，主要服务MLCC等被动元件的包装、运输和制造过程；载带不是印制电路板，离型膜也不能仅因用于电子元件就归为PCB材料。2025年电子封装材料收入17.3910亿元，占约82.80%，膜材料2.5977亿元，占约12.37%，其他1.0155亿元，合计约21.0042亿元；这些收入口径均不能转换成PCB制造、覆铜板、电子布、设备或刀具收入。公司虽有电子材料主业，但现有正式资料不支持独立PCB业务，故定级为摘除。旧“PCB-MLCC”虽提到真实下游元件，却把元件封装耗材错接到PCB链条，本次删除该交叉标签，不处理其MLCC耗材等其他产业属性。</t>
        </is>
      </c>
      <c r="J9" s="4" t="inlineStr">
        <is>
          <t>洁美科技：2025年年度报告</t>
        </is>
      </c>
      <c r="K9" s="4" t="inlineStr">
        <is>
          <t>2026-04-21</t>
        </is>
      </c>
      <c r="L9" s="5" t="inlineStr">
        <is>
          <t>iFinD ifind_get_stock_info + ifind_get_stock_business_segmentation (as of 2026-10-27)；洁美科技：2025年年度报告</t>
        </is>
      </c>
      <c r="M9" s="6" t="inlineStr">
        <is>
          <t>https://money.finance.sina.com.cn/corp/view/vCB_AllBulletinDetail.php?stockid=002859&amp;id=12122734</t>
        </is>
      </c>
    </row>
    <row r="10" ht="104" customHeight="1">
      <c r="B10" s="7" t="inlineStr">
        <is>
          <t>300408</t>
        </is>
      </c>
      <c r="C10" s="7" t="inlineStr">
        <is>
          <t>三环集团</t>
        </is>
      </c>
      <c r="D10" s="8" t="inlineStr">
        <is>
          <t>PCB：MLCC、SOFC、MPO/连接器</t>
        </is>
      </c>
      <c r="E10" s="7" t="inlineStr">
        <is>
          <t>摘除</t>
        </is>
      </c>
      <c r="F10" s="7" t="inlineStr">
        <is>
          <t>—</t>
        </is>
      </c>
      <c r="G10" s="8" t="inlineStr">
        <is>
          <t>—</t>
        </is>
      </c>
      <c r="H10" s="7" t="inlineStr">
        <is>
          <t>摘除</t>
        </is>
      </c>
      <c r="I10" s="8" t="inlineStr">
        <is>
          <t>公司真实产品包括MLCC、陶瓷插芯及配套件、MT插芯、陶瓷封装管壳和SOFC相关陶瓷部件，这些分别属于被动元件、光通信和燃料电池领域，本身均不是PCB制造、覆铜板材料、PCB设备或刀具。2025年营业收入90.0715亿元，电子元件收入33.0809亿元、通信器件25.9431亿元、电子及陶瓷材料19.5938亿元、设备组件6.0175亿元，均为混合产品口径，不能全部归为MLCC或MPO，更不存在可辨认的PCB收入。即使MLCC用于服务器、MT插芯用于数据中心，终端相同也不改变产业环节。按无独立PCB业务必须排除的规则定级为摘除。旧PCB项下MLCC、SOFC和MPO均为交叉错标，本次仅删除这些PCB标签，不处理其他产业分类。</t>
        </is>
      </c>
      <c r="J10" s="7" t="inlineStr">
        <is>
          <t>三环集团：2025年年度报告</t>
        </is>
      </c>
      <c r="K10" s="7" t="inlineStr">
        <is>
          <t>2026-03-28</t>
        </is>
      </c>
      <c r="L10" s="8" t="inlineStr">
        <is>
          <t>iFinD ifind_get_stock_info + ifind_get_stock_business_segmentation (as of 2026-10-27)；三环集团：2025年年度报告</t>
        </is>
      </c>
      <c r="M10" s="9" t="inlineStr">
        <is>
          <t>https://money.finance.sina.com.cn/corp/view/vCB_AllBulletinDetail.php?stockid=300408&amp;id=12028356</t>
        </is>
      </c>
    </row>
    <row r="11" ht="104" customHeight="1">
      <c r="B11" s="4" t="inlineStr">
        <is>
          <t>301013</t>
        </is>
      </c>
      <c r="C11" s="4" t="inlineStr">
        <is>
          <t>利和兴</t>
        </is>
      </c>
      <c r="D11" s="5" t="inlineStr">
        <is>
          <t>PCB：MLCC</t>
        </is>
      </c>
      <c r="E11" s="4" t="inlineStr">
        <is>
          <t>摘除</t>
        </is>
      </c>
      <c r="F11" s="4" t="inlineStr">
        <is>
          <t>—</t>
        </is>
      </c>
      <c r="G11" s="5" t="inlineStr">
        <is>
          <t>—</t>
        </is>
      </c>
      <c r="H11" s="4" t="inlineStr">
        <is>
          <t>摘除</t>
        </is>
      </c>
      <c r="I11" s="5" t="inlineStr">
        <is>
          <t>公司2025年真实业务为移动智能终端等自动化测试、组装设备以及MLCC电子元器件，专用设备制造业收入3.0935亿元、占65.8114%，电子元器件制造业收入1.6071亿元、占34.1886%。年报所列MLCC包括高频高容、高强度、射频微波高Q等电容器，应用于通信、消费电子、汽车及工业电源；MLCC是贴装到电路板上的元器件，不是PCB裸板、覆铜板、PCB材料或PCB专用设备，产品用于PCB布局或承受PCB弯曲也不改变其产业分类。公司没有披露独立PCB制造或PCB专用设备收入，智能制造设备收入也不能因涉及PCBA组装工序就全部归入PCB。旧“MLCC”标签属于跨概念误映射，故本次摘除PCB标签，其他超节点或服务器分类不在本次处理范围。</t>
        </is>
      </c>
      <c r="J11" s="4" t="inlineStr">
        <is>
          <t>利和兴：2025年年度报告</t>
        </is>
      </c>
      <c r="K11" s="4" t="inlineStr">
        <is>
          <t>2026-04-27</t>
        </is>
      </c>
      <c r="L11" s="5" t="inlineStr">
        <is>
          <t>iFinD ifind_get_stock_info + ifind_get_stock_business_segmentation (as of 2026-10-27)；利和兴：2025年年度报告</t>
        </is>
      </c>
      <c r="M11" s="6" t="inlineStr">
        <is>
          <t>https://pdf.dfcfw.com/pdf/H2_AN202604261821591854_1.pdf</t>
        </is>
      </c>
    </row>
    <row r="12" ht="104" customHeight="1">
      <c r="B12" s="7" t="inlineStr">
        <is>
          <t>301566</t>
        </is>
      </c>
      <c r="C12" s="7" t="inlineStr">
        <is>
          <t>达利凯普</t>
        </is>
      </c>
      <c r="D12" s="8" t="inlineStr">
        <is>
          <t>PCB：MLCC</t>
        </is>
      </c>
      <c r="E12" s="7" t="inlineStr">
        <is>
          <t>摘除</t>
        </is>
      </c>
      <c r="F12" s="7" t="inlineStr">
        <is>
          <t>—</t>
        </is>
      </c>
      <c r="G12" s="8" t="inlineStr">
        <is>
          <t>—</t>
        </is>
      </c>
      <c r="H12" s="7" t="inlineStr">
        <is>
          <t>摘除</t>
        </is>
      </c>
      <c r="I12" s="8" t="inlineStr">
        <is>
          <t>公司真实主营是射频微波瓷介电容器研发、制造和销售，产品包括片式射频微波MLCC及带金属引脚的电容器，主要服务射频微波、通信、医疗和军工等电子整机。2025年瓷介电容器收入3.5782亿元，按营业收入3.6236亿元计算约占98.75%，其他收入0.0454亿元，主业高度集中且边界清楚。MLCC属于安装在PCB上的电子元器件，不是印制电路板、覆铜板、铜箔、树脂、加工刀具或PCB生产设备；其产品用于电路板贴装并不意味着公司具有独立PCB业务。年报没有披露PCB制造、PCB材料或PCB设备销售收入，因此旧“MLCC”被放入PCB体系属于概念错配，且原“核心”定级放大了错误，本次直接摘除PCB标签。</t>
        </is>
      </c>
      <c r="J12" s="7" t="inlineStr">
        <is>
          <t>达利凯普：2025年年度报告</t>
        </is>
      </c>
      <c r="K12" s="7" t="inlineStr">
        <is>
          <t>2026-04-27</t>
        </is>
      </c>
      <c r="L12" s="8" t="inlineStr">
        <is>
          <t>iFinD ifind_get_stock_info + ifind_get_stock_business_segmentation (as of 2026-10-27)；达利凯普：2025年年度报告</t>
        </is>
      </c>
      <c r="M12" s="9" t="inlineStr">
        <is>
          <t>https://pdf.dfcfw.com/pdf/H2_AN202604261821588733_1.pdf</t>
        </is>
      </c>
    </row>
    <row r="13" ht="104" customHeight="1">
      <c r="B13" s="4" t="inlineStr">
        <is>
          <t>301678</t>
        </is>
      </c>
      <c r="C13" s="4" t="inlineStr">
        <is>
          <t>新恒汇</t>
        </is>
      </c>
      <c r="D13" s="5" t="inlineStr">
        <is>
          <t>PCB：曝光</t>
        </is>
      </c>
      <c r="E13" s="4" t="inlineStr">
        <is>
          <t>摘除</t>
        </is>
      </c>
      <c r="F13" s="4" t="inlineStr">
        <is>
          <t>—</t>
        </is>
      </c>
      <c r="G13" s="5" t="inlineStr">
        <is>
          <t>—</t>
        </is>
      </c>
      <c r="H13" s="4" t="inlineStr">
        <is>
          <t>摘除</t>
        </is>
      </c>
      <c r="I13" s="5" t="inlineStr">
        <is>
          <t>公司真实业务为智能卡模块、蚀刻引线框架和物联网eSIM芯片封测，2025年智能卡业务收入4.8353亿元、约占营业收入52.37%，蚀刻引线框架3.1321亿元、约占33.92%，物联网eSIM封测0.6510亿元、约占7.05%。年报所述LDI曝光、卷式真空连续蚀刻和选择性电镀是公司制造蚀刻引线框架的内部核心工艺，用于芯片封装载体生产，并非对外销售PCB直接成像或曝光设备；年报亦未出现PCB产品业务。引线框架与普通PCB、IC载板不能仅因工艺相似而混同，相关制造收入也不能归入PCB设备或PCB收入。旧“曝光”把生产工序误映射为PCB设备产品，缺少独立PCB业务证据，故本次摘除PCB标签。</t>
        </is>
      </c>
      <c r="J13" s="4" t="inlineStr">
        <is>
          <t>新恒汇：2025年年度报告</t>
        </is>
      </c>
      <c r="K13" s="4" t="inlineStr">
        <is>
          <t>2026-04-22</t>
        </is>
      </c>
      <c r="L13" s="5" t="inlineStr">
        <is>
          <t>iFinD ifind_get_stock_info + ifind_get_stock_business_segmentation (as of 2026-10-27)；新恒汇：2025年年度报告</t>
        </is>
      </c>
      <c r="M13" s="6" t="inlineStr">
        <is>
          <t>https://pdf.dfcfw.com/pdf/H2_AN202604211821395269_1.pdf</t>
        </is>
      </c>
    </row>
    <row r="14" ht="104" customHeight="1">
      <c r="B14" s="7" t="inlineStr">
        <is>
          <t>603267</t>
        </is>
      </c>
      <c r="C14" s="7" t="inlineStr">
        <is>
          <t>鸿远电子</t>
        </is>
      </c>
      <c r="D14" s="8" t="inlineStr">
        <is>
          <t>PCB：MLCC</t>
        </is>
      </c>
      <c r="E14" s="7" t="inlineStr">
        <is>
          <t>摘除</t>
        </is>
      </c>
      <c r="F14" s="7" t="inlineStr">
        <is>
          <t>—</t>
        </is>
      </c>
      <c r="G14" s="8" t="inlineStr">
        <is>
          <t>—</t>
        </is>
      </c>
      <c r="H14" s="7" t="inlineStr">
        <is>
          <t>摘除</t>
        </is>
      </c>
      <c r="I14" s="8" t="inlineStr">
        <is>
          <t>公司真实产品是多层及单层瓷介电容器、滤波器、微波模块、集成电路和陶瓷管壳，年报将MLCC明确界定为在电路中实现调谐、旁路、耦合和滤波的被动元件，并未披露印制电路板、覆铜板、PCB材料或PCB设备业务。MLCC可贴装在PCB上只是下游装配关系，不能据此把电容器制造商归入PCB产业链。iFinD二〇二五年电子元器件行业收入占百分之九十九点一一，其中自产电子元器件十点八八亿元、代理产品六点九〇亿元，这些均为元器件及代理口径而非PCB收入，混合边界不得偷换。因缺少真实PCB产品和收入，判定摘除；旧“MLCC”放在PCB类别属于明确错标，应删除而非改列相关。</t>
        </is>
      </c>
      <c r="J14" s="7" t="inlineStr">
        <is>
          <t>鸿远电子：2025年年度报告</t>
        </is>
      </c>
      <c r="K14" s="7" t="inlineStr">
        <is>
          <t>2026-03-28</t>
        </is>
      </c>
      <c r="L14" s="8" t="inlineStr">
        <is>
          <t>iFinD ifind_get_stock_info + ifind_get_stock_business_segmentation (as of 2026-10-27)；鸿远电子：2025年年度报告</t>
        </is>
      </c>
      <c r="M14" s="9" t="inlineStr">
        <is>
          <t>https://money.finance.sina.com.cn/corp/view/vCB_AllBulletinDetail.php?stockid=603267&amp;id=12031215</t>
        </is>
      </c>
    </row>
    <row r="15" ht="104" customHeight="1">
      <c r="B15" s="4" t="inlineStr">
        <is>
          <t>603678</t>
        </is>
      </c>
      <c r="C15" s="4" t="inlineStr">
        <is>
          <t>火炬电子</t>
        </is>
      </c>
      <c r="D15" s="5" t="inlineStr">
        <is>
          <t>PCB：MLCC</t>
        </is>
      </c>
      <c r="E15" s="4" t="inlineStr">
        <is>
          <t>摘除</t>
        </is>
      </c>
      <c r="F15" s="4" t="inlineStr">
        <is>
          <t>—</t>
        </is>
      </c>
      <c r="G15" s="5" t="inlineStr">
        <is>
          <t>—</t>
        </is>
      </c>
      <c r="H15" s="4" t="inlineStr">
        <is>
          <t>摘除</t>
        </is>
      </c>
      <c r="I15" s="5" t="inlineStr">
        <is>
          <t>公司真实自产元器件包括陶瓷电容器、钽电容器、超级电容器、微波芯片电容器、薄膜电路和滤波器等，年报将相关业务放在电子元器件及新材料体系内，没有披露PCB裸板、覆铜板或PCB专用材料设备收入。陶瓷电容器和MLCC是贴装于电路板的被动元件，薄膜电路也不等同印制电路板，不能因下游电子设备存在PCB就把公司产品归入PCB。iFinD二〇二五年贸易收入占百分之六十一点四三，自产元器件占百分之三十三点〇八，自产新材料占百分之四点九六，均不是PCB分部，混合贸易额更不能转成PCB收入。由此判定摘除；旧“MLCC”置于PCB类别是产品层级错标，应删除，而不是因元器件规模较大保留相关。</t>
        </is>
      </c>
      <c r="J15" s="4" t="inlineStr">
        <is>
          <t>火炬电子：2025年年度报告</t>
        </is>
      </c>
      <c r="K15" s="4" t="inlineStr">
        <is>
          <t>2026-03-31</t>
        </is>
      </c>
      <c r="L15" s="5" t="inlineStr">
        <is>
          <t>iFinD ifind_get_stock_info + ifind_get_stock_business_segmentation (as of 2026-10-27)；火炬电子：2025年年度报告</t>
        </is>
      </c>
      <c r="M15" s="6" t="inlineStr">
        <is>
          <t>https://money.finance.sina.com.cn/corp/view/vCB_AllBulletinDetail.php?stockid=603678&amp;id=12039732</t>
        </is>
      </c>
    </row>
    <row r="16" ht="104" customHeight="1">
      <c r="B16" s="7" t="inlineStr">
        <is>
          <t>605376</t>
        </is>
      </c>
      <c r="C16" s="7" t="inlineStr">
        <is>
          <t>博迁新材</t>
        </is>
      </c>
      <c r="D16" s="8" t="inlineStr">
        <is>
          <t>PCB：MLCC</t>
        </is>
      </c>
      <c r="E16" s="7" t="inlineStr">
        <is>
          <t>摘除</t>
        </is>
      </c>
      <c r="F16" s="7" t="inlineStr">
        <is>
          <t>—</t>
        </is>
      </c>
      <c r="G16" s="8" t="inlineStr">
        <is>
          <t>—</t>
        </is>
      </c>
      <c r="H16" s="7" t="inlineStr">
        <is>
          <t>摘除</t>
        </is>
      </c>
      <c r="I16" s="8" t="inlineStr">
        <is>
          <t>公司真实产品是纳米及亚微米镍粉、铜粉、银粉、银包铜粉和合金粉，年报明确镍粉、铜粉主要应用于MLCC生产，合金粉用于电感，银包铜粉用于光伏低银化，这些下游均不能自动转换为PCB。MLCC内部电极材料与印制电路板用铜箔、覆铜板填料是不同产品和技术环节，AI服务器使用高性能MLCC也不代表粉体进入PCB。iFinD二〇二五年金属粉体材料收入占百分之九十二点二四，其中镍粉八点六二亿元、约占总收入百分之七十四点八二，铜基产品和银粉亦未披露PCB用途，不能借混合粉体收入保留标签。因缺少真实PCB产品、客户或收入证据，判定摘除；旧“MLCC用金属粉体”放在PCB类别属于错标。</t>
        </is>
      </c>
      <c r="J16" s="7" t="inlineStr">
        <is>
          <t>博迁新材：2025年年度报告（更正后）</t>
        </is>
      </c>
      <c r="K16" s="7" t="inlineStr">
        <is>
          <t>2026-04-20</t>
        </is>
      </c>
      <c r="L16" s="8" t="inlineStr">
        <is>
          <t>iFinD ifind_get_stock_info + ifind_get_stock_business_segmentation (as of 2026-10-27)；博迁新材：2025年年度报告（更正后）</t>
        </is>
      </c>
      <c r="M16" s="9" t="inlineStr">
        <is>
          <t>https://money.finance.sina.com.cn/corp/view/vCB_AllBulletinDetail.php?stockid=605376&amp;id=12115441</t>
        </is>
      </c>
    </row>
    <row r="17" ht="104" customHeight="1">
      <c r="B17" s="4" t="inlineStr">
        <is>
          <t>688260</t>
        </is>
      </c>
      <c r="C17" s="4" t="inlineStr">
        <is>
          <t>昀冢科技</t>
        </is>
      </c>
      <c r="D17" s="5" t="inlineStr">
        <is>
          <t>PCB：MLCC</t>
        </is>
      </c>
      <c r="E17" s="4" t="inlineStr">
        <is>
          <t>摘除</t>
        </is>
      </c>
      <c r="F17" s="4" t="inlineStr">
        <is>
          <t>—</t>
        </is>
      </c>
      <c r="G17" s="5" t="inlineStr">
        <is>
          <t>—</t>
        </is>
      </c>
      <c r="H17" s="4" t="inlineStr">
        <is>
          <t>摘除</t>
        </is>
      </c>
      <c r="I17" s="5" t="inlineStr">
        <is>
          <t>公司真实业务包括手机光学精密零部件、汽车电子、电子陶瓷和引线框架等；年报明确电子陶瓷方向包含MLCC及DPC，MLCC即片式多层陶瓷电容器，产能规模较小且尚未盈利。陶瓷电容器、陶瓷热沉或DPC陶瓷基板均不等于印制电路板，SMT定义中出现印刷电路板也只是说明元器件贴装工艺，不能构成PCB产品证据。iFinD二〇二五年电子陶瓷器件收入一点六五亿元、约占总收入百分之二十九点三二，但该口径混合MLCC和其他陶瓷产品，不能转成PCB收入，精密零部件等其余收入同样无PCB归属。因缺少真实PCB产品或供货证据，判定摘除；旧“MLCC”及“消费电子精密件”放在PCB类别均属错标。</t>
        </is>
      </c>
      <c r="J17" s="4" t="inlineStr">
        <is>
          <t>昀冢科技：2025年年度报告</t>
        </is>
      </c>
      <c r="K17" s="4" t="inlineStr">
        <is>
          <t>2026-04-22</t>
        </is>
      </c>
      <c r="L17" s="5" t="inlineStr">
        <is>
          <t>iFinD ifind_get_stock_info + ifind_get_stock_business_segmentation (as of 2026-10-27)；昀冢科技：2025年年度报告</t>
        </is>
      </c>
      <c r="M17" s="6" t="inlineStr">
        <is>
          <t>https://money.finance.sina.com.cn/corp/view/vCB_AllBulletinDetail.php?stockid=688260&amp;id=12132027</t>
        </is>
      </c>
    </row>
  </sheetData>
  <autoFilter ref="B4:M17"/>
  <mergeCells count="2">
    <mergeCell ref="B3:M3"/>
    <mergeCell ref="B2:M2"/>
  </mergeCell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sheetPr>
  <dimension ref="A1:E145"/>
  <sheetViews>
    <sheetView workbookViewId="0">
      <selection activeCell="A1" sqref="A1"/>
    </sheetView>
  </sheetViews>
  <sheetFormatPr baseColWidth="8" defaultRowHeight="15"/>
  <sheetData>
    <row r="1">
      <c r="A1" t="inlineStr">
        <is>
          <t>一级分类</t>
        </is>
      </c>
      <c r="B1" t="inlineStr">
        <is>
          <t>二级概念</t>
        </is>
      </c>
      <c r="C1" t="inlineStr">
        <is>
          <t>判词</t>
        </is>
      </c>
      <c r="D1" t="inlineStr">
        <is>
          <t>代码</t>
        </is>
      </c>
      <c r="E1" t="inlineStr">
        <is>
          <t>名称</t>
        </is>
      </c>
    </row>
    <row r="2">
      <c r="A2" t="inlineStr">
        <is>
          <t>PCB</t>
        </is>
      </c>
      <c r="B2" t="inlineStr">
        <is>
          <t>PCB刀具-钻针与铣刀</t>
        </is>
      </c>
      <c r="C2" t="inlineStr">
        <is>
          <t>核心</t>
        </is>
      </c>
      <c r="D2" t="inlineStr">
        <is>
          <t>000657</t>
        </is>
      </c>
      <c r="E2" t="inlineStr">
        <is>
          <t>中钨高新</t>
        </is>
      </c>
    </row>
    <row r="3">
      <c r="A3" t="inlineStr">
        <is>
          <t>PCB</t>
        </is>
      </c>
      <c r="B3" t="inlineStr">
        <is>
          <t>PCB-HDI与任意层互连</t>
        </is>
      </c>
      <c r="C3" t="inlineStr">
        <is>
          <t>核心</t>
        </is>
      </c>
      <c r="D3" t="inlineStr">
        <is>
          <t>000823</t>
        </is>
      </c>
      <c r="E3" t="inlineStr">
        <is>
          <t>超声电子</t>
        </is>
      </c>
    </row>
    <row r="4">
      <c r="A4" t="inlineStr">
        <is>
          <t>PCB</t>
        </is>
      </c>
      <c r="B4" t="inlineStr">
        <is>
          <t>覆铜板与粘结片</t>
        </is>
      </c>
      <c r="C4" t="inlineStr">
        <is>
          <t>核心</t>
        </is>
      </c>
      <c r="D4" t="inlineStr">
        <is>
          <t>000823</t>
        </is>
      </c>
      <c r="E4" t="inlineStr">
        <is>
          <t>超声电子</t>
        </is>
      </c>
    </row>
    <row r="5">
      <c r="A5" t="inlineStr">
        <is>
          <t>PCB</t>
        </is>
      </c>
      <c r="B5" t="inlineStr">
        <is>
          <t>电子布与玻纤材料</t>
        </is>
      </c>
      <c r="C5" t="inlineStr">
        <is>
          <t>核心</t>
        </is>
      </c>
      <c r="D5" t="inlineStr">
        <is>
          <t>001359</t>
        </is>
      </c>
      <c r="E5" t="inlineStr">
        <is>
          <t>平安电工</t>
        </is>
      </c>
    </row>
    <row r="6">
      <c r="A6" t="inlineStr">
        <is>
          <t>PCB</t>
        </is>
      </c>
      <c r="B6" t="inlineStr">
        <is>
          <t>PCB-高多层与服务器板</t>
        </is>
      </c>
      <c r="C6" t="inlineStr">
        <is>
          <t>核心</t>
        </is>
      </c>
      <c r="D6" t="inlineStr">
        <is>
          <t>001389</t>
        </is>
      </c>
      <c r="E6" t="inlineStr">
        <is>
          <t>广合科技</t>
        </is>
      </c>
    </row>
    <row r="7">
      <c r="A7" t="inlineStr">
        <is>
          <t>PCB</t>
        </is>
      </c>
      <c r="B7" t="inlineStr">
        <is>
          <t>PCB-HDI与任意层互连</t>
        </is>
      </c>
      <c r="C7" t="inlineStr">
        <is>
          <t>核心</t>
        </is>
      </c>
      <c r="D7" t="inlineStr">
        <is>
          <t>001389</t>
        </is>
      </c>
      <c r="E7" t="inlineStr">
        <is>
          <t>广合科技</t>
        </is>
      </c>
    </row>
    <row r="8">
      <c r="A8" t="inlineStr">
        <is>
          <t>PCB</t>
        </is>
      </c>
      <c r="B8" t="inlineStr">
        <is>
          <t>电子布与玻纤材料</t>
        </is>
      </c>
      <c r="C8" t="inlineStr">
        <is>
          <t>相关</t>
        </is>
      </c>
      <c r="D8" t="inlineStr">
        <is>
          <t>002080</t>
        </is>
      </c>
      <c r="E8" t="inlineStr">
        <is>
          <t>中材科技</t>
        </is>
      </c>
    </row>
    <row r="9">
      <c r="A9" t="inlineStr">
        <is>
          <t>PCB</t>
        </is>
      </c>
      <c r="B9" t="inlineStr">
        <is>
          <t>PCB-通用刚性板</t>
        </is>
      </c>
      <c r="C9" t="inlineStr">
        <is>
          <t>核心</t>
        </is>
      </c>
      <c r="D9" t="inlineStr">
        <is>
          <t>002134</t>
        </is>
      </c>
      <c r="E9" t="inlineStr">
        <is>
          <t>天津普林</t>
        </is>
      </c>
    </row>
    <row r="10">
      <c r="A10" t="inlineStr">
        <is>
          <t>PCB</t>
        </is>
      </c>
      <c r="B10" t="inlineStr">
        <is>
          <t>PCB-HDI与任意层互连</t>
        </is>
      </c>
      <c r="C10" t="inlineStr">
        <is>
          <t>核心</t>
        </is>
      </c>
      <c r="D10" t="inlineStr">
        <is>
          <t>002134</t>
        </is>
      </c>
      <c r="E10" t="inlineStr">
        <is>
          <t>天津普林</t>
        </is>
      </c>
    </row>
    <row r="11">
      <c r="A11" t="inlineStr">
        <is>
          <t>PCB</t>
        </is>
      </c>
      <c r="B11" t="inlineStr">
        <is>
          <t>覆铜板与粘结片</t>
        </is>
      </c>
      <c r="C11" t="inlineStr">
        <is>
          <t>核心</t>
        </is>
      </c>
      <c r="D11" t="inlineStr">
        <is>
          <t>002141</t>
        </is>
      </c>
      <c r="E11" t="inlineStr">
        <is>
          <t>贤丰控股</t>
        </is>
      </c>
    </row>
    <row r="12">
      <c r="A12" t="inlineStr">
        <is>
          <t>PCB</t>
        </is>
      </c>
      <c r="B12" t="inlineStr">
        <is>
          <t>填料-硅微粉与功能粉体</t>
        </is>
      </c>
      <c r="C12" t="inlineStr">
        <is>
          <t>相关</t>
        </is>
      </c>
      <c r="D12" t="inlineStr">
        <is>
          <t>002409</t>
        </is>
      </c>
      <c r="E12" t="inlineStr">
        <is>
          <t>雅克科技</t>
        </is>
      </c>
    </row>
    <row r="13">
      <c r="A13" t="inlineStr">
        <is>
          <t>PCB</t>
        </is>
      </c>
      <c r="B13" t="inlineStr">
        <is>
          <t>PCB-高多层与服务器板</t>
        </is>
      </c>
      <c r="C13" t="inlineStr">
        <is>
          <t>核心</t>
        </is>
      </c>
      <c r="D13" t="inlineStr">
        <is>
          <t>002463</t>
        </is>
      </c>
      <c r="E13" t="inlineStr">
        <is>
          <t>沪电股份</t>
        </is>
      </c>
    </row>
    <row r="14">
      <c r="A14" t="inlineStr">
        <is>
          <t>PCB</t>
        </is>
      </c>
      <c r="B14" t="inlineStr">
        <is>
          <t>PCB-HDI与任意层互连</t>
        </is>
      </c>
      <c r="C14" t="inlineStr">
        <is>
          <t>核心</t>
        </is>
      </c>
      <c r="D14" t="inlineStr">
        <is>
          <t>002463</t>
        </is>
      </c>
      <c r="E14" t="inlineStr">
        <is>
          <t>沪电股份</t>
        </is>
      </c>
    </row>
    <row r="15">
      <c r="A15" t="inlineStr">
        <is>
          <t>PCB</t>
        </is>
      </c>
      <c r="B15" t="inlineStr">
        <is>
          <t>覆铜板与粘结片</t>
        </is>
      </c>
      <c r="C15" t="inlineStr">
        <is>
          <t>核心</t>
        </is>
      </c>
      <c r="D15" t="inlineStr">
        <is>
          <t>002552</t>
        </is>
      </c>
      <c r="E15" t="inlineStr">
        <is>
          <t>宝鼎科技</t>
        </is>
      </c>
    </row>
    <row r="16">
      <c r="A16" t="inlineStr">
        <is>
          <t>PCB</t>
        </is>
      </c>
      <c r="B16" t="inlineStr">
        <is>
          <t>铜箔-通用PCB</t>
        </is>
      </c>
      <c r="C16" t="inlineStr">
        <is>
          <t>核心</t>
        </is>
      </c>
      <c r="D16" t="inlineStr">
        <is>
          <t>002552</t>
        </is>
      </c>
      <c r="E16" t="inlineStr">
        <is>
          <t>宝鼎科技</t>
        </is>
      </c>
    </row>
    <row r="17">
      <c r="A17" t="inlineStr">
        <is>
          <t>PCB</t>
        </is>
      </c>
      <c r="B17" t="inlineStr">
        <is>
          <t>铜箔-HVLP与高频高速</t>
        </is>
      </c>
      <c r="C17" t="inlineStr">
        <is>
          <t>核心</t>
        </is>
      </c>
      <c r="D17" t="inlineStr">
        <is>
          <t>002552</t>
        </is>
      </c>
      <c r="E17" t="inlineStr">
        <is>
          <t>宝鼎科技</t>
        </is>
      </c>
    </row>
    <row r="18">
      <c r="A18" t="inlineStr">
        <is>
          <t>PCB</t>
        </is>
      </c>
      <c r="B18" t="inlineStr">
        <is>
          <t>PCB-通用刚性板</t>
        </is>
      </c>
      <c r="C18" t="inlineStr">
        <is>
          <t>核心</t>
        </is>
      </c>
      <c r="D18" t="inlineStr">
        <is>
          <t>002579</t>
        </is>
      </c>
      <c r="E18" t="inlineStr">
        <is>
          <t>中京电子</t>
        </is>
      </c>
    </row>
    <row r="19">
      <c r="A19" t="inlineStr">
        <is>
          <t>PCB</t>
        </is>
      </c>
      <c r="B19" t="inlineStr">
        <is>
          <t>PCB-HDI与任意层互连</t>
        </is>
      </c>
      <c r="C19" t="inlineStr">
        <is>
          <t>核心</t>
        </is>
      </c>
      <c r="D19" t="inlineStr">
        <is>
          <t>002579</t>
        </is>
      </c>
      <c r="E19" t="inlineStr">
        <is>
          <t>中京电子</t>
        </is>
      </c>
    </row>
    <row r="20">
      <c r="A20" t="inlineStr">
        <is>
          <t>PCB</t>
        </is>
      </c>
      <c r="B20" t="inlineStr">
        <is>
          <t>PCB-FPC与刚挠结合</t>
        </is>
      </c>
      <c r="C20" t="inlineStr">
        <is>
          <t>核心</t>
        </is>
      </c>
      <c r="D20" t="inlineStr">
        <is>
          <t>002579</t>
        </is>
      </c>
      <c r="E20" t="inlineStr">
        <is>
          <t>中京电子</t>
        </is>
      </c>
    </row>
    <row r="21">
      <c r="A21" t="inlineStr">
        <is>
          <t>PCB</t>
        </is>
      </c>
      <c r="B21" t="inlineStr">
        <is>
          <t>PCB-高多层与服务器板</t>
        </is>
      </c>
      <c r="C21" t="inlineStr">
        <is>
          <t>核心</t>
        </is>
      </c>
      <c r="D21" t="inlineStr">
        <is>
          <t>002579</t>
        </is>
      </c>
      <c r="E21" t="inlineStr">
        <is>
          <t>中京电子</t>
        </is>
      </c>
    </row>
    <row r="22">
      <c r="A22" t="inlineStr">
        <is>
          <t>PCB</t>
        </is>
      </c>
      <c r="B22" t="inlineStr">
        <is>
          <t>覆铜板与粘结片</t>
        </is>
      </c>
      <c r="C22" t="inlineStr">
        <is>
          <t>核心</t>
        </is>
      </c>
      <c r="D22" t="inlineStr">
        <is>
          <t>002636</t>
        </is>
      </c>
      <c r="E22" t="inlineStr">
        <is>
          <t>金安国纪</t>
        </is>
      </c>
    </row>
    <row r="23">
      <c r="A23" t="inlineStr">
        <is>
          <t>PCB</t>
        </is>
      </c>
      <c r="B23" t="inlineStr">
        <is>
          <t>电子布与玻纤材料</t>
        </is>
      </c>
      <c r="C23" t="inlineStr">
        <is>
          <t>核心</t>
        </is>
      </c>
      <c r="D23" t="inlineStr">
        <is>
          <t>002636</t>
        </is>
      </c>
      <c r="E23" t="inlineStr">
        <is>
          <t>金安国纪</t>
        </is>
      </c>
    </row>
    <row r="24">
      <c r="A24" t="inlineStr">
        <is>
          <t>PCB</t>
        </is>
      </c>
      <c r="B24" t="inlineStr">
        <is>
          <t>PCB-通用刚性板</t>
        </is>
      </c>
      <c r="C24" t="inlineStr">
        <is>
          <t>核心</t>
        </is>
      </c>
      <c r="D24" t="inlineStr">
        <is>
          <t>002636</t>
        </is>
      </c>
      <c r="E24" t="inlineStr">
        <is>
          <t>金安国纪</t>
        </is>
      </c>
    </row>
    <row r="25">
      <c r="A25" t="inlineStr">
        <is>
          <t>PCB</t>
        </is>
      </c>
      <c r="B25" t="inlineStr">
        <is>
          <t>PCB-高多层与服务器板</t>
        </is>
      </c>
      <c r="C25" t="inlineStr">
        <is>
          <t>核心</t>
        </is>
      </c>
      <c r="D25" t="inlineStr">
        <is>
          <t>002815</t>
        </is>
      </c>
      <c r="E25" t="inlineStr">
        <is>
          <t>崇达技术</t>
        </is>
      </c>
    </row>
    <row r="26">
      <c r="A26" t="inlineStr">
        <is>
          <t>PCB</t>
        </is>
      </c>
      <c r="B26" t="inlineStr">
        <is>
          <t>PCB-HDI与任意层互连</t>
        </is>
      </c>
      <c r="C26" t="inlineStr">
        <is>
          <t>核心</t>
        </is>
      </c>
      <c r="D26" t="inlineStr">
        <is>
          <t>002815</t>
        </is>
      </c>
      <c r="E26" t="inlineStr">
        <is>
          <t>崇达技术</t>
        </is>
      </c>
    </row>
    <row r="27">
      <c r="A27" t="inlineStr">
        <is>
          <t>PCB</t>
        </is>
      </c>
      <c r="B27" t="inlineStr">
        <is>
          <t>PCB-IC载板</t>
        </is>
      </c>
      <c r="C27" t="inlineStr">
        <is>
          <t>核心</t>
        </is>
      </c>
      <c r="D27" t="inlineStr">
        <is>
          <t>002815</t>
        </is>
      </c>
      <c r="E27" t="inlineStr">
        <is>
          <t>崇达技术</t>
        </is>
      </c>
    </row>
    <row r="28">
      <c r="A28" t="inlineStr">
        <is>
          <t>PCB</t>
        </is>
      </c>
      <c r="B28" t="inlineStr">
        <is>
          <t>PCB-FPC与刚挠结合</t>
        </is>
      </c>
      <c r="C28" t="inlineStr">
        <is>
          <t>核心</t>
        </is>
      </c>
      <c r="D28" t="inlineStr">
        <is>
          <t>002815</t>
        </is>
      </c>
      <c r="E28" t="inlineStr">
        <is>
          <t>崇达技术</t>
        </is>
      </c>
    </row>
    <row r="29">
      <c r="A29" t="inlineStr">
        <is>
          <t>PCB</t>
        </is>
      </c>
      <c r="B29" t="inlineStr">
        <is>
          <t>PCB-高多层与服务器板</t>
        </is>
      </c>
      <c r="C29" t="inlineStr">
        <is>
          <t>核心</t>
        </is>
      </c>
      <c r="D29" t="inlineStr">
        <is>
          <t>002913</t>
        </is>
      </c>
      <c r="E29" t="inlineStr">
        <is>
          <t>奥士康</t>
        </is>
      </c>
    </row>
    <row r="30">
      <c r="A30" t="inlineStr">
        <is>
          <t>PCB</t>
        </is>
      </c>
      <c r="B30" t="inlineStr">
        <is>
          <t>PCB-通用刚性板</t>
        </is>
      </c>
      <c r="C30" t="inlineStr">
        <is>
          <t>核心</t>
        </is>
      </c>
      <c r="D30" t="inlineStr">
        <is>
          <t>002913</t>
        </is>
      </c>
      <c r="E30" t="inlineStr">
        <is>
          <t>奥士康</t>
        </is>
      </c>
    </row>
    <row r="31">
      <c r="A31" t="inlineStr">
        <is>
          <t>PCB</t>
        </is>
      </c>
      <c r="B31" t="inlineStr">
        <is>
          <t>PCB-HDI与任意层互连</t>
        </is>
      </c>
      <c r="C31" t="inlineStr">
        <is>
          <t>核心</t>
        </is>
      </c>
      <c r="D31" t="inlineStr">
        <is>
          <t>002913</t>
        </is>
      </c>
      <c r="E31" t="inlineStr">
        <is>
          <t>奥士康</t>
        </is>
      </c>
    </row>
    <row r="32">
      <c r="A32" t="inlineStr">
        <is>
          <t>PCB</t>
        </is>
      </c>
      <c r="B32" t="inlineStr">
        <is>
          <t>PCB-高多层与服务器板</t>
        </is>
      </c>
      <c r="C32" t="inlineStr">
        <is>
          <t>核心</t>
        </is>
      </c>
      <c r="D32" t="inlineStr">
        <is>
          <t>002916</t>
        </is>
      </c>
      <c r="E32" t="inlineStr">
        <is>
          <t>深南电路</t>
        </is>
      </c>
    </row>
    <row r="33">
      <c r="A33" t="inlineStr">
        <is>
          <t>PCB</t>
        </is>
      </c>
      <c r="B33" t="inlineStr">
        <is>
          <t>PCB-IC载板</t>
        </is>
      </c>
      <c r="C33" t="inlineStr">
        <is>
          <t>核心</t>
        </is>
      </c>
      <c r="D33" t="inlineStr">
        <is>
          <t>002916</t>
        </is>
      </c>
      <c r="E33" t="inlineStr">
        <is>
          <t>深南电路</t>
        </is>
      </c>
    </row>
    <row r="34">
      <c r="A34" t="inlineStr">
        <is>
          <t>PCB</t>
        </is>
      </c>
      <c r="B34" t="inlineStr">
        <is>
          <t>PCB设计与SMT服务</t>
        </is>
      </c>
      <c r="C34" t="inlineStr">
        <is>
          <t>核心</t>
        </is>
      </c>
      <c r="D34" t="inlineStr">
        <is>
          <t>002916</t>
        </is>
      </c>
      <c r="E34" t="inlineStr">
        <is>
          <t>深南电路</t>
        </is>
      </c>
    </row>
    <row r="35">
      <c r="A35" t="inlineStr">
        <is>
          <t>PCB</t>
        </is>
      </c>
      <c r="B35" t="inlineStr">
        <is>
          <t>PCB-高多层与服务器板</t>
        </is>
      </c>
      <c r="C35" t="inlineStr">
        <is>
          <t>核心</t>
        </is>
      </c>
      <c r="D35" t="inlineStr">
        <is>
          <t>002938</t>
        </is>
      </c>
      <c r="E35" t="inlineStr">
        <is>
          <t>鹏鼎控股</t>
        </is>
      </c>
    </row>
    <row r="36">
      <c r="A36" t="inlineStr">
        <is>
          <t>PCB</t>
        </is>
      </c>
      <c r="B36" t="inlineStr">
        <is>
          <t>PCB-HDI与任意层互连</t>
        </is>
      </c>
      <c r="C36" t="inlineStr">
        <is>
          <t>核心</t>
        </is>
      </c>
      <c r="D36" t="inlineStr">
        <is>
          <t>002938</t>
        </is>
      </c>
      <c r="E36" t="inlineStr">
        <is>
          <t>鹏鼎控股</t>
        </is>
      </c>
    </row>
    <row r="37">
      <c r="A37" t="inlineStr">
        <is>
          <t>PCB</t>
        </is>
      </c>
      <c r="B37" t="inlineStr">
        <is>
          <t>PCB-FPC与刚挠结合</t>
        </is>
      </c>
      <c r="C37" t="inlineStr">
        <is>
          <t>核心</t>
        </is>
      </c>
      <c r="D37" t="inlineStr">
        <is>
          <t>002938</t>
        </is>
      </c>
      <c r="E37" t="inlineStr">
        <is>
          <t>鹏鼎控股</t>
        </is>
      </c>
    </row>
    <row r="38">
      <c r="A38" t="inlineStr">
        <is>
          <t>PCB</t>
        </is>
      </c>
      <c r="B38" t="inlineStr">
        <is>
          <t>PCB材料-其他关键材料</t>
        </is>
      </c>
      <c r="C38" t="inlineStr">
        <is>
          <t>相关</t>
        </is>
      </c>
      <c r="D38" t="inlineStr">
        <is>
          <t>300243</t>
        </is>
      </c>
      <c r="E38" t="inlineStr">
        <is>
          <t>瑞丰高材</t>
        </is>
      </c>
    </row>
    <row r="39">
      <c r="A39" t="inlineStr">
        <is>
          <t>PCB</t>
        </is>
      </c>
      <c r="B39" t="inlineStr">
        <is>
          <t>PCB刀具-钻针与铣刀</t>
        </is>
      </c>
      <c r="C39" t="inlineStr">
        <is>
          <t>相关</t>
        </is>
      </c>
      <c r="D39" t="inlineStr">
        <is>
          <t>300283</t>
        </is>
      </c>
      <c r="E39" t="inlineStr">
        <is>
          <t>温州宏丰</t>
        </is>
      </c>
    </row>
    <row r="40">
      <c r="A40" t="inlineStr">
        <is>
          <t>PCB</t>
        </is>
      </c>
      <c r="B40" t="inlineStr">
        <is>
          <t>填料-硅微粉与功能粉体</t>
        </is>
      </c>
      <c r="C40" t="inlineStr">
        <is>
          <t>相关</t>
        </is>
      </c>
      <c r="D40" t="inlineStr">
        <is>
          <t>300285</t>
        </is>
      </c>
      <c r="E40" t="inlineStr">
        <is>
          <t>国瓷材料</t>
        </is>
      </c>
    </row>
    <row r="41">
      <c r="A41" t="inlineStr">
        <is>
          <t>PCB</t>
        </is>
      </c>
      <c r="B41" t="inlineStr">
        <is>
          <t>电子布与玻纤材料</t>
        </is>
      </c>
      <c r="C41" t="inlineStr">
        <is>
          <t>相关</t>
        </is>
      </c>
      <c r="D41" t="inlineStr">
        <is>
          <t>300395</t>
        </is>
      </c>
      <c r="E41" t="inlineStr">
        <is>
          <t>菲利华</t>
        </is>
      </c>
    </row>
    <row r="42">
      <c r="A42" t="inlineStr">
        <is>
          <t>PCB</t>
        </is>
      </c>
      <c r="B42" t="inlineStr">
        <is>
          <t>PCB设备-检测与测试</t>
        </is>
      </c>
      <c r="C42" t="inlineStr">
        <is>
          <t>核心</t>
        </is>
      </c>
      <c r="D42" t="inlineStr">
        <is>
          <t>300410</t>
        </is>
      </c>
      <c r="E42" t="inlineStr">
        <is>
          <t>正业科技</t>
        </is>
      </c>
    </row>
    <row r="43">
      <c r="A43" t="inlineStr">
        <is>
          <t>PCB</t>
        </is>
      </c>
      <c r="B43" t="inlineStr">
        <is>
          <t>PCB-高多层与服务器板</t>
        </is>
      </c>
      <c r="C43" t="inlineStr">
        <is>
          <t>核心</t>
        </is>
      </c>
      <c r="D43" t="inlineStr">
        <is>
          <t>300476</t>
        </is>
      </c>
      <c r="E43" t="inlineStr">
        <is>
          <t>胜宏科技</t>
        </is>
      </c>
    </row>
    <row r="44">
      <c r="A44" t="inlineStr">
        <is>
          <t>PCB</t>
        </is>
      </c>
      <c r="B44" t="inlineStr">
        <is>
          <t>PCB-HDI与任意层互连</t>
        </is>
      </c>
      <c r="C44" t="inlineStr">
        <is>
          <t>核心</t>
        </is>
      </c>
      <c r="D44" t="inlineStr">
        <is>
          <t>300476</t>
        </is>
      </c>
      <c r="E44" t="inlineStr">
        <is>
          <t>胜宏科技</t>
        </is>
      </c>
    </row>
    <row r="45">
      <c r="A45" t="inlineStr">
        <is>
          <t>PCB</t>
        </is>
      </c>
      <c r="B45" t="inlineStr">
        <is>
          <t>PCB-FPC与刚挠结合</t>
        </is>
      </c>
      <c r="C45" t="inlineStr">
        <is>
          <t>核心</t>
        </is>
      </c>
      <c r="D45" t="inlineStr">
        <is>
          <t>300476</t>
        </is>
      </c>
      <c r="E45" t="inlineStr">
        <is>
          <t>胜宏科技</t>
        </is>
      </c>
    </row>
    <row r="46">
      <c r="A46" t="inlineStr">
        <is>
          <t>PCB</t>
        </is>
      </c>
      <c r="B46" t="inlineStr">
        <is>
          <t>树脂-环氧与碳氢</t>
        </is>
      </c>
      <c r="C46" t="inlineStr">
        <is>
          <t>相关</t>
        </is>
      </c>
      <c r="D46" t="inlineStr">
        <is>
          <t>300522</t>
        </is>
      </c>
      <c r="E46" t="inlineStr">
        <is>
          <t>世名科技</t>
        </is>
      </c>
    </row>
    <row r="47">
      <c r="A47" t="inlineStr">
        <is>
          <t>PCB</t>
        </is>
      </c>
      <c r="B47" t="inlineStr">
        <is>
          <t>树脂-苊烯与特种</t>
        </is>
      </c>
      <c r="C47" t="inlineStr">
        <is>
          <t>相关</t>
        </is>
      </c>
      <c r="D47" t="inlineStr">
        <is>
          <t>300586</t>
        </is>
      </c>
      <c r="E47" t="inlineStr">
        <is>
          <t>美联新材</t>
        </is>
      </c>
    </row>
    <row r="48">
      <c r="A48" t="inlineStr">
        <is>
          <t>PCB</t>
        </is>
      </c>
      <c r="B48" t="inlineStr">
        <is>
          <t>PCB设备-电镀</t>
        </is>
      </c>
      <c r="C48" t="inlineStr">
        <is>
          <t>相关</t>
        </is>
      </c>
      <c r="D48" t="inlineStr">
        <is>
          <t>300724</t>
        </is>
      </c>
      <c r="E48" t="inlineStr">
        <is>
          <t>捷佳伟创</t>
        </is>
      </c>
    </row>
    <row r="49">
      <c r="A49" t="inlineStr">
        <is>
          <t>PCB</t>
        </is>
      </c>
      <c r="B49" t="inlineStr">
        <is>
          <t>PCB股权与产业投资</t>
        </is>
      </c>
      <c r="C49" t="inlineStr">
        <is>
          <t>相关</t>
        </is>
      </c>
      <c r="D49" t="inlineStr">
        <is>
          <t>300758</t>
        </is>
      </c>
      <c r="E49" t="inlineStr">
        <is>
          <t>七彩化学</t>
        </is>
      </c>
    </row>
    <row r="50">
      <c r="A50" t="inlineStr">
        <is>
          <t>PCB</t>
        </is>
      </c>
      <c r="B50" t="inlineStr">
        <is>
          <t>PCB-高多层与服务器板</t>
        </is>
      </c>
      <c r="C50" t="inlineStr">
        <is>
          <t>核心</t>
        </is>
      </c>
      <c r="D50" t="inlineStr">
        <is>
          <t>300814</t>
        </is>
      </c>
      <c r="E50" t="inlineStr">
        <is>
          <t>中富电路</t>
        </is>
      </c>
    </row>
    <row r="51">
      <c r="A51" t="inlineStr">
        <is>
          <t>PCB</t>
        </is>
      </c>
      <c r="B51" t="inlineStr">
        <is>
          <t>PCB-HDI与任意层互连</t>
        </is>
      </c>
      <c r="C51" t="inlineStr">
        <is>
          <t>核心</t>
        </is>
      </c>
      <c r="D51" t="inlineStr">
        <is>
          <t>300814</t>
        </is>
      </c>
      <c r="E51" t="inlineStr">
        <is>
          <t>中富电路</t>
        </is>
      </c>
    </row>
    <row r="52">
      <c r="A52" t="inlineStr">
        <is>
          <t>PCB</t>
        </is>
      </c>
      <c r="B52" t="inlineStr">
        <is>
          <t>PCB-高多层与服务器板</t>
        </is>
      </c>
      <c r="C52" t="inlineStr">
        <is>
          <t>核心</t>
        </is>
      </c>
      <c r="D52" t="inlineStr">
        <is>
          <t>300903</t>
        </is>
      </c>
      <c r="E52" t="inlineStr">
        <is>
          <t>科翔股份</t>
        </is>
      </c>
    </row>
    <row r="53">
      <c r="A53" t="inlineStr">
        <is>
          <t>PCB</t>
        </is>
      </c>
      <c r="B53" t="inlineStr">
        <is>
          <t>PCB-HDI与任意层互连</t>
        </is>
      </c>
      <c r="C53" t="inlineStr">
        <is>
          <t>核心</t>
        </is>
      </c>
      <c r="D53" t="inlineStr">
        <is>
          <t>300903</t>
        </is>
      </c>
      <c r="E53" t="inlineStr">
        <is>
          <t>科翔股份</t>
        </is>
      </c>
    </row>
    <row r="54">
      <c r="A54" t="inlineStr">
        <is>
          <t>PCB</t>
        </is>
      </c>
      <c r="B54" t="inlineStr">
        <is>
          <t>PCB设备-钻孔与激光加工</t>
        </is>
      </c>
      <c r="C54" t="inlineStr">
        <is>
          <t>相关</t>
        </is>
      </c>
      <c r="D54" t="inlineStr">
        <is>
          <t>301021</t>
        </is>
      </c>
      <c r="E54" t="inlineStr">
        <is>
          <t>英诺激光</t>
        </is>
      </c>
    </row>
    <row r="55">
      <c r="A55" t="inlineStr">
        <is>
          <t>PCB</t>
        </is>
      </c>
      <c r="B55" t="inlineStr">
        <is>
          <t>PCB-通用刚性板</t>
        </is>
      </c>
      <c r="C55" t="inlineStr">
        <is>
          <t>核心</t>
        </is>
      </c>
      <c r="D55" t="inlineStr">
        <is>
          <t>301132</t>
        </is>
      </c>
      <c r="E55" t="inlineStr">
        <is>
          <t>满坤科技</t>
        </is>
      </c>
    </row>
    <row r="56">
      <c r="A56" t="inlineStr">
        <is>
          <t>PCB</t>
        </is>
      </c>
      <c r="B56" t="inlineStr">
        <is>
          <t>铜箔-通用PCB</t>
        </is>
      </c>
      <c r="C56" t="inlineStr">
        <is>
          <t>核心</t>
        </is>
      </c>
      <c r="D56" t="inlineStr">
        <is>
          <t>301176</t>
        </is>
      </c>
      <c r="E56" t="inlineStr">
        <is>
          <t>逸豪新材</t>
        </is>
      </c>
    </row>
    <row r="57">
      <c r="A57" t="inlineStr">
        <is>
          <t>PCB</t>
        </is>
      </c>
      <c r="B57" t="inlineStr">
        <is>
          <t>PCB-通用刚性板</t>
        </is>
      </c>
      <c r="C57" t="inlineStr">
        <is>
          <t>核心</t>
        </is>
      </c>
      <c r="D57" t="inlineStr">
        <is>
          <t>301176</t>
        </is>
      </c>
      <c r="E57" t="inlineStr">
        <is>
          <t>逸豪新材</t>
        </is>
      </c>
    </row>
    <row r="58">
      <c r="A58" t="inlineStr">
        <is>
          <t>PCB</t>
        </is>
      </c>
      <c r="B58" t="inlineStr">
        <is>
          <t>覆铜板与粘结片</t>
        </is>
      </c>
      <c r="C58" t="inlineStr">
        <is>
          <t>核心</t>
        </is>
      </c>
      <c r="D58" t="inlineStr">
        <is>
          <t>301176</t>
        </is>
      </c>
      <c r="E58" t="inlineStr">
        <is>
          <t>逸豪新材</t>
        </is>
      </c>
    </row>
    <row r="59">
      <c r="A59" t="inlineStr">
        <is>
          <t>PCB</t>
        </is>
      </c>
      <c r="B59" t="inlineStr">
        <is>
          <t>PCB设备-钻孔与激光加工</t>
        </is>
      </c>
      <c r="C59" t="inlineStr">
        <is>
          <t>核心</t>
        </is>
      </c>
      <c r="D59" t="inlineStr">
        <is>
          <t>301200</t>
        </is>
      </c>
      <c r="E59" t="inlineStr">
        <is>
          <t>大族数控</t>
        </is>
      </c>
    </row>
    <row r="60">
      <c r="A60" t="inlineStr">
        <is>
          <t>PCB</t>
        </is>
      </c>
      <c r="B60" t="inlineStr">
        <is>
          <t>PCB设备-检测与测试</t>
        </is>
      </c>
      <c r="C60" t="inlineStr">
        <is>
          <t>核心</t>
        </is>
      </c>
      <c r="D60" t="inlineStr">
        <is>
          <t>301200</t>
        </is>
      </c>
      <c r="E60" t="inlineStr">
        <is>
          <t>大族数控</t>
        </is>
      </c>
    </row>
    <row r="61">
      <c r="A61" t="inlineStr">
        <is>
          <t>PCB</t>
        </is>
      </c>
      <c r="B61" t="inlineStr">
        <is>
          <t>PCB设备-曝光与成像</t>
        </is>
      </c>
      <c r="C61" t="inlineStr">
        <is>
          <t>核心</t>
        </is>
      </c>
      <c r="D61" t="inlineStr">
        <is>
          <t>301200</t>
        </is>
      </c>
      <c r="E61" t="inlineStr">
        <is>
          <t>大族数控</t>
        </is>
      </c>
    </row>
    <row r="62">
      <c r="A62" t="inlineStr">
        <is>
          <t>PCB</t>
        </is>
      </c>
      <c r="B62" t="inlineStr">
        <is>
          <t>铜箔-HVLP与高频高速</t>
        </is>
      </c>
      <c r="C62" t="inlineStr">
        <is>
          <t>核心</t>
        </is>
      </c>
      <c r="D62" t="inlineStr">
        <is>
          <t>301217</t>
        </is>
      </c>
      <c r="E62" t="inlineStr">
        <is>
          <t>铜冠铜箔</t>
        </is>
      </c>
    </row>
    <row r="63">
      <c r="A63" t="inlineStr">
        <is>
          <t>PCB</t>
        </is>
      </c>
      <c r="B63" t="inlineStr">
        <is>
          <t>铜箔-通用PCB</t>
        </is>
      </c>
      <c r="C63" t="inlineStr">
        <is>
          <t>核心</t>
        </is>
      </c>
      <c r="D63" t="inlineStr">
        <is>
          <t>301217</t>
        </is>
      </c>
      <c r="E63" t="inlineStr">
        <is>
          <t>铜冠铜箔</t>
        </is>
      </c>
    </row>
    <row r="64">
      <c r="A64" t="inlineStr">
        <is>
          <t>PCB</t>
        </is>
      </c>
      <c r="B64" t="inlineStr">
        <is>
          <t>PCB-高多层与服务器板</t>
        </is>
      </c>
      <c r="C64" t="inlineStr">
        <is>
          <t>核心</t>
        </is>
      </c>
      <c r="D64" t="inlineStr">
        <is>
          <t>301251</t>
        </is>
      </c>
      <c r="E64" t="inlineStr">
        <is>
          <t>威尔高</t>
        </is>
      </c>
    </row>
    <row r="65">
      <c r="A65" t="inlineStr">
        <is>
          <t>PCB</t>
        </is>
      </c>
      <c r="B65" t="inlineStr">
        <is>
          <t>PCB设备-SMT与贴装</t>
        </is>
      </c>
      <c r="C65" t="inlineStr">
        <is>
          <t>核心</t>
        </is>
      </c>
      <c r="D65" t="inlineStr">
        <is>
          <t>301338</t>
        </is>
      </c>
      <c r="E65" t="inlineStr">
        <is>
          <t>凯格精机</t>
        </is>
      </c>
    </row>
    <row r="66">
      <c r="A66" t="inlineStr">
        <is>
          <t>PCB</t>
        </is>
      </c>
      <c r="B66" t="inlineStr">
        <is>
          <t>PCB设计与SMT服务</t>
        </is>
      </c>
      <c r="C66" t="inlineStr">
        <is>
          <t>核心</t>
        </is>
      </c>
      <c r="D66" t="inlineStr">
        <is>
          <t>301366</t>
        </is>
      </c>
      <c r="E66" t="inlineStr">
        <is>
          <t>一博科技</t>
        </is>
      </c>
    </row>
    <row r="67">
      <c r="A67" t="inlineStr">
        <is>
          <t>PCB</t>
        </is>
      </c>
      <c r="B67" t="inlineStr">
        <is>
          <t>填料-硅微粉与功能粉体</t>
        </is>
      </c>
      <c r="C67" t="inlineStr">
        <is>
          <t>相关</t>
        </is>
      </c>
      <c r="D67" t="inlineStr">
        <is>
          <t>301373</t>
        </is>
      </c>
      <c r="E67" t="inlineStr">
        <is>
          <t>凌玮科技</t>
        </is>
      </c>
    </row>
    <row r="68">
      <c r="A68" t="inlineStr">
        <is>
          <t>PCB</t>
        </is>
      </c>
      <c r="B68" t="inlineStr">
        <is>
          <t>PCB刀具-钻针与铣刀</t>
        </is>
      </c>
      <c r="C68" t="inlineStr">
        <is>
          <t>核心</t>
        </is>
      </c>
      <c r="D68" t="inlineStr">
        <is>
          <t>301377</t>
        </is>
      </c>
      <c r="E68" t="inlineStr">
        <is>
          <t>鼎泰高科</t>
        </is>
      </c>
    </row>
    <row r="69">
      <c r="A69" t="inlineStr">
        <is>
          <t>PCB</t>
        </is>
      </c>
      <c r="B69" t="inlineStr">
        <is>
          <t>铜箔-HVLP与高频高速</t>
        </is>
      </c>
      <c r="C69" t="inlineStr">
        <is>
          <t>相关</t>
        </is>
      </c>
      <c r="D69" t="inlineStr">
        <is>
          <t>301389</t>
        </is>
      </c>
      <c r="E69" t="inlineStr">
        <is>
          <t>隆扬电子</t>
        </is>
      </c>
    </row>
    <row r="70">
      <c r="A70" t="inlineStr">
        <is>
          <t>PCB</t>
        </is>
      </c>
      <c r="B70" t="inlineStr">
        <is>
          <t>铜箔-HVLP与高频高速</t>
        </is>
      </c>
      <c r="C70" t="inlineStr">
        <is>
          <t>核心</t>
        </is>
      </c>
      <c r="D70" t="inlineStr">
        <is>
          <t>301511</t>
        </is>
      </c>
      <c r="E70" t="inlineStr">
        <is>
          <t>德福科技</t>
        </is>
      </c>
    </row>
    <row r="71">
      <c r="A71" t="inlineStr">
        <is>
          <t>PCB</t>
        </is>
      </c>
      <c r="B71" t="inlineStr">
        <is>
          <t>铜箔-通用PCB</t>
        </is>
      </c>
      <c r="C71" t="inlineStr">
        <is>
          <t>核心</t>
        </is>
      </c>
      <c r="D71" t="inlineStr">
        <is>
          <t>301511</t>
        </is>
      </c>
      <c r="E71" t="inlineStr">
        <is>
          <t>德福科技</t>
        </is>
      </c>
    </row>
    <row r="72">
      <c r="A72" t="inlineStr">
        <is>
          <t>PCB</t>
        </is>
      </c>
      <c r="B72" t="inlineStr">
        <is>
          <t>电子布与玻纤材料</t>
        </is>
      </c>
      <c r="C72" t="inlineStr">
        <is>
          <t>相关</t>
        </is>
      </c>
      <c r="D72" t="inlineStr">
        <is>
          <t>301526</t>
        </is>
      </c>
      <c r="E72" t="inlineStr">
        <is>
          <t>国际复材</t>
        </is>
      </c>
    </row>
    <row r="73">
      <c r="A73" t="inlineStr">
        <is>
          <t>PCB</t>
        </is>
      </c>
      <c r="B73" t="inlineStr">
        <is>
          <t>铜箔-HVLP与高频高速</t>
        </is>
      </c>
      <c r="C73" t="inlineStr">
        <is>
          <t>相关</t>
        </is>
      </c>
      <c r="D73" t="inlineStr">
        <is>
          <t>600110</t>
        </is>
      </c>
      <c r="E73" t="inlineStr">
        <is>
          <t>诺德股份</t>
        </is>
      </c>
    </row>
    <row r="74">
      <c r="A74" t="inlineStr">
        <is>
          <t>PCB</t>
        </is>
      </c>
      <c r="B74" t="inlineStr">
        <is>
          <t>铜箔-通用PCB</t>
        </is>
      </c>
      <c r="C74" t="inlineStr">
        <is>
          <t>相关</t>
        </is>
      </c>
      <c r="D74" t="inlineStr">
        <is>
          <t>600110</t>
        </is>
      </c>
      <c r="E74" t="inlineStr">
        <is>
          <t>诺德股份</t>
        </is>
      </c>
    </row>
    <row r="75">
      <c r="A75" t="inlineStr">
        <is>
          <t>PCB</t>
        </is>
      </c>
      <c r="B75" t="inlineStr">
        <is>
          <t>电子布与玻纤材料</t>
        </is>
      </c>
      <c r="C75" t="inlineStr">
        <is>
          <t>核心</t>
        </is>
      </c>
      <c r="D75" t="inlineStr">
        <is>
          <t>600176</t>
        </is>
      </c>
      <c r="E75" t="inlineStr">
        <is>
          <t>中国巨石</t>
        </is>
      </c>
    </row>
    <row r="76">
      <c r="A76" t="inlineStr">
        <is>
          <t>PCB</t>
        </is>
      </c>
      <c r="B76" t="inlineStr">
        <is>
          <t>覆铜板与粘结片</t>
        </is>
      </c>
      <c r="C76" t="inlineStr">
        <is>
          <t>核心</t>
        </is>
      </c>
      <c r="D76" t="inlineStr">
        <is>
          <t>600183</t>
        </is>
      </c>
      <c r="E76" t="inlineStr">
        <is>
          <t>生益科技</t>
        </is>
      </c>
    </row>
    <row r="77">
      <c r="A77" t="inlineStr">
        <is>
          <t>PCB</t>
        </is>
      </c>
      <c r="B77" t="inlineStr">
        <is>
          <t>PCB-高多层与服务器板</t>
        </is>
      </c>
      <c r="C77" t="inlineStr">
        <is>
          <t>核心</t>
        </is>
      </c>
      <c r="D77" t="inlineStr">
        <is>
          <t>600183</t>
        </is>
      </c>
      <c r="E77" t="inlineStr">
        <is>
          <t>生益科技</t>
        </is>
      </c>
    </row>
    <row r="78">
      <c r="A78" t="inlineStr">
        <is>
          <t>PCB</t>
        </is>
      </c>
      <c r="B78" t="inlineStr">
        <is>
          <t>填料-硅微粉与功能粉体</t>
        </is>
      </c>
      <c r="C78" t="inlineStr">
        <is>
          <t>相关</t>
        </is>
      </c>
      <c r="D78" t="inlineStr">
        <is>
          <t>600552</t>
        </is>
      </c>
      <c r="E78" t="inlineStr">
        <is>
          <t>凯盛科技</t>
        </is>
      </c>
    </row>
    <row r="79">
      <c r="A79" t="inlineStr">
        <is>
          <t>PCB</t>
        </is>
      </c>
      <c r="B79" t="inlineStr">
        <is>
          <t>PCB-高多层与服务器板</t>
        </is>
      </c>
      <c r="C79" t="inlineStr">
        <is>
          <t>核心</t>
        </is>
      </c>
      <c r="D79" t="inlineStr">
        <is>
          <t>600601</t>
        </is>
      </c>
      <c r="E79" t="inlineStr">
        <is>
          <t>方正科技</t>
        </is>
      </c>
    </row>
    <row r="80">
      <c r="A80" t="inlineStr">
        <is>
          <t>PCB</t>
        </is>
      </c>
      <c r="B80" t="inlineStr">
        <is>
          <t>PCB-HDI与任意层互连</t>
        </is>
      </c>
      <c r="C80" t="inlineStr">
        <is>
          <t>核心</t>
        </is>
      </c>
      <c r="D80" t="inlineStr">
        <is>
          <t>600601</t>
        </is>
      </c>
      <c r="E80" t="inlineStr">
        <is>
          <t>方正科技</t>
        </is>
      </c>
    </row>
    <row r="81">
      <c r="A81" t="inlineStr">
        <is>
          <t>PCB</t>
        </is>
      </c>
      <c r="B81" t="inlineStr">
        <is>
          <t>PCB-FPC与刚挠结合</t>
        </is>
      </c>
      <c r="C81" t="inlineStr">
        <is>
          <t>核心</t>
        </is>
      </c>
      <c r="D81" t="inlineStr">
        <is>
          <t>600601</t>
        </is>
      </c>
      <c r="E81" t="inlineStr">
        <is>
          <t>方正科技</t>
        </is>
      </c>
    </row>
    <row r="82">
      <c r="A82" t="inlineStr">
        <is>
          <t>PCB</t>
        </is>
      </c>
      <c r="B82" t="inlineStr">
        <is>
          <t>PCB设计与SMT服务</t>
        </is>
      </c>
      <c r="C82" t="inlineStr">
        <is>
          <t>核心</t>
        </is>
      </c>
      <c r="D82" t="inlineStr">
        <is>
          <t>600601</t>
        </is>
      </c>
      <c r="E82" t="inlineStr">
        <is>
          <t>方正科技</t>
        </is>
      </c>
    </row>
    <row r="83">
      <c r="A83" t="inlineStr">
        <is>
          <t>PCB</t>
        </is>
      </c>
      <c r="B83" t="inlineStr">
        <is>
          <t>树脂-环氧与碳氢</t>
        </is>
      </c>
      <c r="C83" t="inlineStr">
        <is>
          <t>核心</t>
        </is>
      </c>
      <c r="D83" t="inlineStr">
        <is>
          <t>601208</t>
        </is>
      </c>
      <c r="E83" t="inlineStr">
        <is>
          <t>东材科技</t>
        </is>
      </c>
    </row>
    <row r="84">
      <c r="A84" t="inlineStr">
        <is>
          <t>PCB</t>
        </is>
      </c>
      <c r="B84" t="inlineStr">
        <is>
          <t>树脂-环氧与碳氢</t>
        </is>
      </c>
      <c r="C84" t="inlineStr">
        <is>
          <t>核心</t>
        </is>
      </c>
      <c r="D84" t="inlineStr">
        <is>
          <t>603002</t>
        </is>
      </c>
      <c r="E84" t="inlineStr">
        <is>
          <t>宏昌电子</t>
        </is>
      </c>
    </row>
    <row r="85">
      <c r="A85" t="inlineStr">
        <is>
          <t>PCB</t>
        </is>
      </c>
      <c r="B85" t="inlineStr">
        <is>
          <t>覆铜板与粘结片</t>
        </is>
      </c>
      <c r="C85" t="inlineStr">
        <is>
          <t>核心</t>
        </is>
      </c>
      <c r="D85" t="inlineStr">
        <is>
          <t>603002</t>
        </is>
      </c>
      <c r="E85" t="inlineStr">
        <is>
          <t>宏昌电子</t>
        </is>
      </c>
    </row>
    <row r="86">
      <c r="A86" t="inlineStr">
        <is>
          <t>PCB</t>
        </is>
      </c>
      <c r="B86" t="inlineStr">
        <is>
          <t>PCB材料-其他关键材料</t>
        </is>
      </c>
      <c r="C86" t="inlineStr">
        <is>
          <t>核心</t>
        </is>
      </c>
      <c r="D86" t="inlineStr">
        <is>
          <t>603124</t>
        </is>
      </c>
      <c r="E86" t="inlineStr">
        <is>
          <t>江南新材</t>
        </is>
      </c>
    </row>
    <row r="87">
      <c r="A87" t="inlineStr">
        <is>
          <t>PCB</t>
        </is>
      </c>
      <c r="B87" t="inlineStr">
        <is>
          <t>PCB配套-精密零部件</t>
        </is>
      </c>
      <c r="C87" t="inlineStr">
        <is>
          <t>核心</t>
        </is>
      </c>
      <c r="D87" t="inlineStr">
        <is>
          <t>603124</t>
        </is>
      </c>
      <c r="E87" t="inlineStr">
        <is>
          <t>江南新材</t>
        </is>
      </c>
    </row>
    <row r="88">
      <c r="A88" t="inlineStr">
        <is>
          <t>PCB</t>
        </is>
      </c>
      <c r="B88" t="inlineStr">
        <is>
          <t>PCB-高多层与服务器板</t>
        </is>
      </c>
      <c r="C88" t="inlineStr">
        <is>
          <t>核心</t>
        </is>
      </c>
      <c r="D88" t="inlineStr">
        <is>
          <t>603175</t>
        </is>
      </c>
      <c r="E88" t="inlineStr">
        <is>
          <t>超颖电子</t>
        </is>
      </c>
    </row>
    <row r="89">
      <c r="A89" t="inlineStr">
        <is>
          <t>PCB</t>
        </is>
      </c>
      <c r="B89" t="inlineStr">
        <is>
          <t>PCB-HDI与任意层互连</t>
        </is>
      </c>
      <c r="C89" t="inlineStr">
        <is>
          <t>核心</t>
        </is>
      </c>
      <c r="D89" t="inlineStr">
        <is>
          <t>603175</t>
        </is>
      </c>
      <c r="E89" t="inlineStr">
        <is>
          <t>超颖电子</t>
        </is>
      </c>
    </row>
    <row r="90">
      <c r="A90" t="inlineStr">
        <is>
          <t>PCB</t>
        </is>
      </c>
      <c r="B90" t="inlineStr">
        <is>
          <t>覆铜板与粘结片</t>
        </is>
      </c>
      <c r="C90" t="inlineStr">
        <is>
          <t>核心</t>
        </is>
      </c>
      <c r="D90" t="inlineStr">
        <is>
          <t>603186</t>
        </is>
      </c>
      <c r="E90" t="inlineStr">
        <is>
          <t>华正新材</t>
        </is>
      </c>
    </row>
    <row r="91">
      <c r="A91" t="inlineStr">
        <is>
          <t>PCB</t>
        </is>
      </c>
      <c r="B91" t="inlineStr">
        <is>
          <t>PCB-高多层与服务器板</t>
        </is>
      </c>
      <c r="C91" t="inlineStr">
        <is>
          <t>核心</t>
        </is>
      </c>
      <c r="D91" t="inlineStr">
        <is>
          <t>603228</t>
        </is>
      </c>
      <c r="E91" t="inlineStr">
        <is>
          <t>景旺电子</t>
        </is>
      </c>
    </row>
    <row r="92">
      <c r="A92" t="inlineStr">
        <is>
          <t>PCB</t>
        </is>
      </c>
      <c r="B92" t="inlineStr">
        <is>
          <t>PCB-HDI与任意层互连</t>
        </is>
      </c>
      <c r="C92" t="inlineStr">
        <is>
          <t>核心</t>
        </is>
      </c>
      <c r="D92" t="inlineStr">
        <is>
          <t>603228</t>
        </is>
      </c>
      <c r="E92" t="inlineStr">
        <is>
          <t>景旺电子</t>
        </is>
      </c>
    </row>
    <row r="93">
      <c r="A93" t="inlineStr">
        <is>
          <t>PCB</t>
        </is>
      </c>
      <c r="B93" t="inlineStr">
        <is>
          <t>PCB-FPC与刚挠结合</t>
        </is>
      </c>
      <c r="C93" t="inlineStr">
        <is>
          <t>核心</t>
        </is>
      </c>
      <c r="D93" t="inlineStr">
        <is>
          <t>603228</t>
        </is>
      </c>
      <c r="E93" t="inlineStr">
        <is>
          <t>景旺电子</t>
        </is>
      </c>
    </row>
    <row r="94">
      <c r="A94" t="inlineStr">
        <is>
          <t>PCB</t>
        </is>
      </c>
      <c r="B94" t="inlineStr">
        <is>
          <t>电子布与玻纤材料</t>
        </is>
      </c>
      <c r="C94" t="inlineStr">
        <is>
          <t>核心</t>
        </is>
      </c>
      <c r="D94" t="inlineStr">
        <is>
          <t>603256</t>
        </is>
      </c>
      <c r="E94" t="inlineStr">
        <is>
          <t>宏和科技</t>
        </is>
      </c>
    </row>
    <row r="95">
      <c r="A95" t="inlineStr">
        <is>
          <t>PCB</t>
        </is>
      </c>
      <c r="B95" t="inlineStr">
        <is>
          <t>PCB-通用刚性板</t>
        </is>
      </c>
      <c r="C95" t="inlineStr">
        <is>
          <t>核心</t>
        </is>
      </c>
      <c r="D95" t="inlineStr">
        <is>
          <t>603328</t>
        </is>
      </c>
      <c r="E95" t="inlineStr">
        <is>
          <t>依顿电子</t>
        </is>
      </c>
    </row>
    <row r="96">
      <c r="A96" t="inlineStr">
        <is>
          <t>PCB</t>
        </is>
      </c>
      <c r="B96" t="inlineStr">
        <is>
          <t>PCB-HDI与任意层互连</t>
        </is>
      </c>
      <c r="C96" t="inlineStr">
        <is>
          <t>核心</t>
        </is>
      </c>
      <c r="D96" t="inlineStr">
        <is>
          <t>603328</t>
        </is>
      </c>
      <c r="E96" t="inlineStr">
        <is>
          <t>依顿电子</t>
        </is>
      </c>
    </row>
    <row r="97">
      <c r="A97" t="inlineStr">
        <is>
          <t>PCB</t>
        </is>
      </c>
      <c r="B97" t="inlineStr">
        <is>
          <t>PCB-高多层与服务器板</t>
        </is>
      </c>
      <c r="C97" t="inlineStr">
        <is>
          <t>核心</t>
        </is>
      </c>
      <c r="D97" t="inlineStr">
        <is>
          <t>603328</t>
        </is>
      </c>
      <c r="E97" t="inlineStr">
        <is>
          <t>依顿电子</t>
        </is>
      </c>
    </row>
    <row r="98">
      <c r="A98" t="inlineStr">
        <is>
          <t>PCB</t>
        </is>
      </c>
      <c r="B98" t="inlineStr">
        <is>
          <t>PCB-通用刚性板</t>
        </is>
      </c>
      <c r="C98" t="inlineStr">
        <is>
          <t>核心</t>
        </is>
      </c>
      <c r="D98" t="inlineStr">
        <is>
          <t>603386</t>
        </is>
      </c>
      <c r="E98" t="inlineStr">
        <is>
          <t>骏亚科技</t>
        </is>
      </c>
    </row>
    <row r="99">
      <c r="A99" t="inlineStr">
        <is>
          <t>PCB</t>
        </is>
      </c>
      <c r="B99" t="inlineStr">
        <is>
          <t>PCB设计与SMT服务</t>
        </is>
      </c>
      <c r="C99" t="inlineStr">
        <is>
          <t>核心</t>
        </is>
      </c>
      <c r="D99" t="inlineStr">
        <is>
          <t>603386</t>
        </is>
      </c>
      <c r="E99" t="inlineStr">
        <is>
          <t>骏亚科技</t>
        </is>
      </c>
    </row>
    <row r="100">
      <c r="A100" t="inlineStr">
        <is>
          <t>PCB</t>
        </is>
      </c>
      <c r="B100" t="inlineStr">
        <is>
          <t>PCB-高多层与服务器板</t>
        </is>
      </c>
      <c r="C100" t="inlineStr">
        <is>
          <t>核心</t>
        </is>
      </c>
      <c r="D100" t="inlineStr">
        <is>
          <t>603386</t>
        </is>
      </c>
      <c r="E100" t="inlineStr">
        <is>
          <t>骏亚科技</t>
        </is>
      </c>
    </row>
    <row r="101">
      <c r="A101" t="inlineStr">
        <is>
          <t>PCB</t>
        </is>
      </c>
      <c r="B101" t="inlineStr">
        <is>
          <t>PCB-HDI与任意层互连</t>
        </is>
      </c>
      <c r="C101" t="inlineStr">
        <is>
          <t>核心</t>
        </is>
      </c>
      <c r="D101" t="inlineStr">
        <is>
          <t>603386</t>
        </is>
      </c>
      <c r="E101" t="inlineStr">
        <is>
          <t>骏亚科技</t>
        </is>
      </c>
    </row>
    <row r="102">
      <c r="A102" t="inlineStr">
        <is>
          <t>PCB</t>
        </is>
      </c>
      <c r="B102" t="inlineStr">
        <is>
          <t>PCB-FPC与刚挠结合</t>
        </is>
      </c>
      <c r="C102" t="inlineStr">
        <is>
          <t>核心</t>
        </is>
      </c>
      <c r="D102" t="inlineStr">
        <is>
          <t>603386</t>
        </is>
      </c>
      <c r="E102" t="inlineStr">
        <is>
          <t>骏亚科技</t>
        </is>
      </c>
    </row>
    <row r="103">
      <c r="A103" t="inlineStr">
        <is>
          <t>PCB</t>
        </is>
      </c>
      <c r="B103" t="inlineStr">
        <is>
          <t>PCB-HDI与任意层互连</t>
        </is>
      </c>
      <c r="C103" t="inlineStr">
        <is>
          <t>核心</t>
        </is>
      </c>
      <c r="D103" t="inlineStr">
        <is>
          <t>603459</t>
        </is>
      </c>
      <c r="E103" t="inlineStr">
        <is>
          <t>红板科技</t>
        </is>
      </c>
    </row>
    <row r="104">
      <c r="A104" t="inlineStr">
        <is>
          <t>PCB</t>
        </is>
      </c>
      <c r="B104" t="inlineStr">
        <is>
          <t>PCB-通用刚性板</t>
        </is>
      </c>
      <c r="C104" t="inlineStr">
        <is>
          <t>核心</t>
        </is>
      </c>
      <c r="D104" t="inlineStr">
        <is>
          <t>603459</t>
        </is>
      </c>
      <c r="E104" t="inlineStr">
        <is>
          <t>红板科技</t>
        </is>
      </c>
    </row>
    <row r="105">
      <c r="A105" t="inlineStr">
        <is>
          <t>PCB</t>
        </is>
      </c>
      <c r="B105" t="inlineStr">
        <is>
          <t>PCB-FPC与刚挠结合</t>
        </is>
      </c>
      <c r="C105" t="inlineStr">
        <is>
          <t>核心</t>
        </is>
      </c>
      <c r="D105" t="inlineStr">
        <is>
          <t>603459</t>
        </is>
      </c>
      <c r="E105" t="inlineStr">
        <is>
          <t>红板科技</t>
        </is>
      </c>
    </row>
    <row r="106">
      <c r="A106" t="inlineStr">
        <is>
          <t>PCB</t>
        </is>
      </c>
      <c r="B106" t="inlineStr">
        <is>
          <t>PCB-IC载板</t>
        </is>
      </c>
      <c r="C106" t="inlineStr">
        <is>
          <t>核心</t>
        </is>
      </c>
      <c r="D106" t="inlineStr">
        <is>
          <t>603459</t>
        </is>
      </c>
      <c r="E106" t="inlineStr">
        <is>
          <t>红板科技</t>
        </is>
      </c>
    </row>
    <row r="107">
      <c r="A107" t="inlineStr">
        <is>
          <t>PCB</t>
        </is>
      </c>
      <c r="B107" t="inlineStr">
        <is>
          <t>PCB设备-曝光与成像</t>
        </is>
      </c>
      <c r="C107" t="inlineStr">
        <is>
          <t>相关</t>
        </is>
      </c>
      <c r="D107" t="inlineStr">
        <is>
          <t>603800</t>
        </is>
      </c>
      <c r="E107" t="inlineStr">
        <is>
          <t>洪田股份</t>
        </is>
      </c>
    </row>
    <row r="108">
      <c r="A108" t="inlineStr">
        <is>
          <t>PCB</t>
        </is>
      </c>
      <c r="B108" t="inlineStr">
        <is>
          <t>PCB-高多层与服务器板</t>
        </is>
      </c>
      <c r="C108" t="inlineStr">
        <is>
          <t>核心</t>
        </is>
      </c>
      <c r="D108" t="inlineStr">
        <is>
          <t>603936</t>
        </is>
      </c>
      <c r="E108" t="inlineStr">
        <is>
          <t>博敏电子</t>
        </is>
      </c>
    </row>
    <row r="109">
      <c r="A109" t="inlineStr">
        <is>
          <t>PCB</t>
        </is>
      </c>
      <c r="B109" t="inlineStr">
        <is>
          <t>PCB-HDI与任意层互连</t>
        </is>
      </c>
      <c r="C109" t="inlineStr">
        <is>
          <t>核心</t>
        </is>
      </c>
      <c r="D109" t="inlineStr">
        <is>
          <t>603936</t>
        </is>
      </c>
      <c r="E109" t="inlineStr">
        <is>
          <t>博敏电子</t>
        </is>
      </c>
    </row>
    <row r="110">
      <c r="A110" t="inlineStr">
        <is>
          <t>PCB</t>
        </is>
      </c>
      <c r="B110" t="inlineStr">
        <is>
          <t>PCB-FPC与刚挠结合</t>
        </is>
      </c>
      <c r="C110" t="inlineStr">
        <is>
          <t>核心</t>
        </is>
      </c>
      <c r="D110" t="inlineStr">
        <is>
          <t>603936</t>
        </is>
      </c>
      <c r="E110" t="inlineStr">
        <is>
          <t>博敏电子</t>
        </is>
      </c>
    </row>
    <row r="111">
      <c r="A111" t="inlineStr">
        <is>
          <t>PCB</t>
        </is>
      </c>
      <c r="B111" t="inlineStr">
        <is>
          <t>PCB-IC载板</t>
        </is>
      </c>
      <c r="C111" t="inlineStr">
        <is>
          <t>核心</t>
        </is>
      </c>
      <c r="D111" t="inlineStr">
        <is>
          <t>603936</t>
        </is>
      </c>
      <c r="E111" t="inlineStr">
        <is>
          <t>博敏电子</t>
        </is>
      </c>
    </row>
    <row r="112">
      <c r="A112" t="inlineStr">
        <is>
          <t>PCB</t>
        </is>
      </c>
      <c r="B112" t="inlineStr">
        <is>
          <t>PCB设计与SMT服务</t>
        </is>
      </c>
      <c r="C112" t="inlineStr">
        <is>
          <t>核心</t>
        </is>
      </c>
      <c r="D112" t="inlineStr">
        <is>
          <t>603936</t>
        </is>
      </c>
      <c r="E112" t="inlineStr">
        <is>
          <t>博敏电子</t>
        </is>
      </c>
    </row>
    <row r="113">
      <c r="A113" t="inlineStr">
        <is>
          <t>PCB</t>
        </is>
      </c>
      <c r="B113" t="inlineStr">
        <is>
          <t>PCB-通用刚性板</t>
        </is>
      </c>
      <c r="C113" t="inlineStr">
        <is>
          <t>核心</t>
        </is>
      </c>
      <c r="D113" t="inlineStr">
        <is>
          <t>605058</t>
        </is>
      </c>
      <c r="E113" t="inlineStr">
        <is>
          <t>澳弘电子</t>
        </is>
      </c>
    </row>
    <row r="114">
      <c r="A114" t="inlineStr">
        <is>
          <t>PCB</t>
        </is>
      </c>
      <c r="B114" t="inlineStr">
        <is>
          <t>PCB-HDI与任意层互连</t>
        </is>
      </c>
      <c r="C114" t="inlineStr">
        <is>
          <t>核心</t>
        </is>
      </c>
      <c r="D114" t="inlineStr">
        <is>
          <t>605058</t>
        </is>
      </c>
      <c r="E114" t="inlineStr">
        <is>
          <t>澳弘电子</t>
        </is>
      </c>
    </row>
    <row r="115">
      <c r="A115" t="inlineStr">
        <is>
          <t>PCB</t>
        </is>
      </c>
      <c r="B115" t="inlineStr">
        <is>
          <t>PCB-高多层与服务器板</t>
        </is>
      </c>
      <c r="C115" t="inlineStr">
        <is>
          <t>核心</t>
        </is>
      </c>
      <c r="D115" t="inlineStr">
        <is>
          <t>605058</t>
        </is>
      </c>
      <c r="E115" t="inlineStr">
        <is>
          <t>澳弘电子</t>
        </is>
      </c>
    </row>
    <row r="116">
      <c r="A116" t="inlineStr">
        <is>
          <t>PCB</t>
        </is>
      </c>
      <c r="B116" t="inlineStr">
        <is>
          <t>PCB-通用刚性板</t>
        </is>
      </c>
      <c r="C116" t="inlineStr">
        <is>
          <t>核心</t>
        </is>
      </c>
      <c r="D116" t="inlineStr">
        <is>
          <t>605258</t>
        </is>
      </c>
      <c r="E116" t="inlineStr">
        <is>
          <t>协和电子</t>
        </is>
      </c>
    </row>
    <row r="117">
      <c r="A117" t="inlineStr">
        <is>
          <t>PCB</t>
        </is>
      </c>
      <c r="B117" t="inlineStr">
        <is>
          <t>PCB-FPC与刚挠结合</t>
        </is>
      </c>
      <c r="C117" t="inlineStr">
        <is>
          <t>核心</t>
        </is>
      </c>
      <c r="D117" t="inlineStr">
        <is>
          <t>605258</t>
        </is>
      </c>
      <c r="E117" t="inlineStr">
        <is>
          <t>协和电子</t>
        </is>
      </c>
    </row>
    <row r="118">
      <c r="A118" t="inlineStr">
        <is>
          <t>PCB</t>
        </is>
      </c>
      <c r="B118" t="inlineStr">
        <is>
          <t>PCB设计与SMT服务</t>
        </is>
      </c>
      <c r="C118" t="inlineStr">
        <is>
          <t>核心</t>
        </is>
      </c>
      <c r="D118" t="inlineStr">
        <is>
          <t>605258</t>
        </is>
      </c>
      <c r="E118" t="inlineStr">
        <is>
          <t>协和电子</t>
        </is>
      </c>
    </row>
    <row r="119">
      <c r="A119" t="inlineStr">
        <is>
          <t>PCB</t>
        </is>
      </c>
      <c r="B119" t="inlineStr">
        <is>
          <t>树脂-环氧与碳氢</t>
        </is>
      </c>
      <c r="C119" t="inlineStr">
        <is>
          <t>相关</t>
        </is>
      </c>
      <c r="D119" t="inlineStr">
        <is>
          <t>605589</t>
        </is>
      </c>
      <c r="E119" t="inlineStr">
        <is>
          <t>圣泉集团</t>
        </is>
      </c>
    </row>
    <row r="120">
      <c r="A120" t="inlineStr">
        <is>
          <t>PCB</t>
        </is>
      </c>
      <c r="B120" t="inlineStr">
        <is>
          <t>PCB设备-曝光与成像</t>
        </is>
      </c>
      <c r="C120" t="inlineStr">
        <is>
          <t>相关</t>
        </is>
      </c>
      <c r="D120" t="inlineStr">
        <is>
          <t>688003</t>
        </is>
      </c>
      <c r="E120" t="inlineStr">
        <is>
          <t>天准科技</t>
        </is>
      </c>
    </row>
    <row r="121">
      <c r="A121" t="inlineStr">
        <is>
          <t>PCB</t>
        </is>
      </c>
      <c r="B121" t="inlineStr">
        <is>
          <t>PCB设备-钻孔与激光加工</t>
        </is>
      </c>
      <c r="C121" t="inlineStr">
        <is>
          <t>相关</t>
        </is>
      </c>
      <c r="D121" t="inlineStr">
        <is>
          <t>688003</t>
        </is>
      </c>
      <c r="E121" t="inlineStr">
        <is>
          <t>天准科技</t>
        </is>
      </c>
    </row>
    <row r="122">
      <c r="A122" t="inlineStr">
        <is>
          <t>PCB</t>
        </is>
      </c>
      <c r="B122" t="inlineStr">
        <is>
          <t>PCB设备-检测与测试</t>
        </is>
      </c>
      <c r="C122" t="inlineStr">
        <is>
          <t>相关</t>
        </is>
      </c>
      <c r="D122" t="inlineStr">
        <is>
          <t>688003</t>
        </is>
      </c>
      <c r="E122" t="inlineStr">
        <is>
          <t>天准科技</t>
        </is>
      </c>
    </row>
    <row r="123">
      <c r="A123" t="inlineStr">
        <is>
          <t>PCB</t>
        </is>
      </c>
      <c r="B123" t="inlineStr">
        <is>
          <t>PCB设备-钻孔与激光加工</t>
        </is>
      </c>
      <c r="C123" t="inlineStr">
        <is>
          <t>相关</t>
        </is>
      </c>
      <c r="D123" t="inlineStr">
        <is>
          <t>688170</t>
        </is>
      </c>
      <c r="E123" t="inlineStr">
        <is>
          <t>德龙激光</t>
        </is>
      </c>
    </row>
    <row r="124">
      <c r="A124" t="inlineStr">
        <is>
          <t>PCB</t>
        </is>
      </c>
      <c r="B124" t="inlineStr">
        <is>
          <t>PCB-高多层与服务器板</t>
        </is>
      </c>
      <c r="C124" t="inlineStr">
        <is>
          <t>核心</t>
        </is>
      </c>
      <c r="D124" t="inlineStr">
        <is>
          <t>688183</t>
        </is>
      </c>
      <c r="E124" t="inlineStr">
        <is>
          <t>生益电子</t>
        </is>
      </c>
    </row>
    <row r="125">
      <c r="A125" t="inlineStr">
        <is>
          <t>PCB</t>
        </is>
      </c>
      <c r="B125" t="inlineStr">
        <is>
          <t>PCB-HDI与任意层互连</t>
        </is>
      </c>
      <c r="C125" t="inlineStr">
        <is>
          <t>核心</t>
        </is>
      </c>
      <c r="D125" t="inlineStr">
        <is>
          <t>688183</t>
        </is>
      </c>
      <c r="E125" t="inlineStr">
        <is>
          <t>生益电子</t>
        </is>
      </c>
    </row>
    <row r="126">
      <c r="A126" t="inlineStr">
        <is>
          <t>PCB</t>
        </is>
      </c>
      <c r="B126" t="inlineStr">
        <is>
          <t>PCB-FPC与刚挠结合</t>
        </is>
      </c>
      <c r="C126" t="inlineStr">
        <is>
          <t>核心</t>
        </is>
      </c>
      <c r="D126" t="inlineStr">
        <is>
          <t>688183</t>
        </is>
      </c>
      <c r="E126" t="inlineStr">
        <is>
          <t>生益电子</t>
        </is>
      </c>
    </row>
    <row r="127">
      <c r="A127" t="inlineStr">
        <is>
          <t>PCB</t>
        </is>
      </c>
      <c r="B127" t="inlineStr">
        <is>
          <t>填料-硅微粉与功能粉体</t>
        </is>
      </c>
      <c r="C127" t="inlineStr">
        <is>
          <t>相关</t>
        </is>
      </c>
      <c r="D127" t="inlineStr">
        <is>
          <t>688300</t>
        </is>
      </c>
      <c r="E127" t="inlineStr">
        <is>
          <t>联瑞新材</t>
        </is>
      </c>
    </row>
    <row r="128">
      <c r="A128" t="inlineStr">
        <is>
          <t>PCB</t>
        </is>
      </c>
      <c r="B128" t="inlineStr">
        <is>
          <t>PCB设备-检测与测试</t>
        </is>
      </c>
      <c r="C128" t="inlineStr">
        <is>
          <t>核心</t>
        </is>
      </c>
      <c r="D128" t="inlineStr">
        <is>
          <t>688312</t>
        </is>
      </c>
      <c r="E128" t="inlineStr">
        <is>
          <t>燕麦科技</t>
        </is>
      </c>
    </row>
    <row r="129">
      <c r="A129" t="inlineStr">
        <is>
          <t>PCB</t>
        </is>
      </c>
      <c r="B129" t="inlineStr">
        <is>
          <t>PCB化学品-电镀与湿制程</t>
        </is>
      </c>
      <c r="C129" t="inlineStr">
        <is>
          <t>核心</t>
        </is>
      </c>
      <c r="D129" t="inlineStr">
        <is>
          <t>688359</t>
        </is>
      </c>
      <c r="E129" t="inlineStr">
        <is>
          <t>三孚新科</t>
        </is>
      </c>
    </row>
    <row r="130">
      <c r="A130" t="inlineStr">
        <is>
          <t>PCB</t>
        </is>
      </c>
      <c r="B130" t="inlineStr">
        <is>
          <t>PCB设备-电镀</t>
        </is>
      </c>
      <c r="C130" t="inlineStr">
        <is>
          <t>核心</t>
        </is>
      </c>
      <c r="D130" t="inlineStr">
        <is>
          <t>688359</t>
        </is>
      </c>
      <c r="E130" t="inlineStr">
        <is>
          <t>三孚新科</t>
        </is>
      </c>
    </row>
    <row r="131">
      <c r="A131" t="inlineStr">
        <is>
          <t>PCB</t>
        </is>
      </c>
      <c r="B131" t="inlineStr">
        <is>
          <t>铜箔-通用PCB</t>
        </is>
      </c>
      <c r="C131" t="inlineStr">
        <is>
          <t>相关</t>
        </is>
      </c>
      <c r="D131" t="inlineStr">
        <is>
          <t>688388</t>
        </is>
      </c>
      <c r="E131" t="inlineStr">
        <is>
          <t>嘉元科技</t>
        </is>
      </c>
    </row>
    <row r="132">
      <c r="A132" t="inlineStr">
        <is>
          <t>PCB</t>
        </is>
      </c>
      <c r="B132" t="inlineStr">
        <is>
          <t>铜箔-HVLP与高频高速</t>
        </is>
      </c>
      <c r="C132" t="inlineStr">
        <is>
          <t>相关</t>
        </is>
      </c>
      <c r="D132" t="inlineStr">
        <is>
          <t>688388</t>
        </is>
      </c>
      <c r="E132" t="inlineStr">
        <is>
          <t>嘉元科技</t>
        </is>
      </c>
    </row>
    <row r="133">
      <c r="A133" t="inlineStr">
        <is>
          <t>PCB</t>
        </is>
      </c>
      <c r="B133" t="inlineStr">
        <is>
          <t>覆铜板与粘结片</t>
        </is>
      </c>
      <c r="C133" t="inlineStr">
        <is>
          <t>核心</t>
        </is>
      </c>
      <c r="D133" t="inlineStr">
        <is>
          <t>688519</t>
        </is>
      </c>
      <c r="E133" t="inlineStr">
        <is>
          <t>南亚新材</t>
        </is>
      </c>
    </row>
    <row r="134">
      <c r="A134" t="inlineStr">
        <is>
          <t>PCB</t>
        </is>
      </c>
      <c r="B134" t="inlineStr">
        <is>
          <t>PCB化学品-电镀与湿制程</t>
        </is>
      </c>
      <c r="C134" t="inlineStr">
        <is>
          <t>核心</t>
        </is>
      </c>
      <c r="D134" t="inlineStr">
        <is>
          <t>688603</t>
        </is>
      </c>
      <c r="E134" t="inlineStr">
        <is>
          <t>天承科技</t>
        </is>
      </c>
    </row>
    <row r="135">
      <c r="A135" t="inlineStr">
        <is>
          <t>PCB</t>
        </is>
      </c>
      <c r="B135" t="inlineStr">
        <is>
          <t>PCB设备-曝光与成像</t>
        </is>
      </c>
      <c r="C135" t="inlineStr">
        <is>
          <t>核心</t>
        </is>
      </c>
      <c r="D135" t="inlineStr">
        <is>
          <t>688630</t>
        </is>
      </c>
      <c r="E135" t="inlineStr">
        <is>
          <t>芯碁微装</t>
        </is>
      </c>
    </row>
    <row r="136">
      <c r="A136" t="inlineStr">
        <is>
          <t>PCB</t>
        </is>
      </c>
      <c r="B136" t="inlineStr">
        <is>
          <t>PCB-通用刚性板</t>
        </is>
      </c>
      <c r="C136" t="inlineStr">
        <is>
          <t>核心</t>
        </is>
      </c>
      <c r="D136" t="inlineStr">
        <is>
          <t>688655</t>
        </is>
      </c>
      <c r="E136" t="inlineStr">
        <is>
          <t>迅捷兴</t>
        </is>
      </c>
    </row>
    <row r="137">
      <c r="A137" t="inlineStr">
        <is>
          <t>PCB</t>
        </is>
      </c>
      <c r="B137" t="inlineStr">
        <is>
          <t>PCB-HDI与任意层互连</t>
        </is>
      </c>
      <c r="C137" t="inlineStr">
        <is>
          <t>核心</t>
        </is>
      </c>
      <c r="D137" t="inlineStr">
        <is>
          <t>688655</t>
        </is>
      </c>
      <c r="E137" t="inlineStr">
        <is>
          <t>迅捷兴</t>
        </is>
      </c>
    </row>
    <row r="138">
      <c r="A138" t="inlineStr">
        <is>
          <t>PCB</t>
        </is>
      </c>
      <c r="B138" t="inlineStr">
        <is>
          <t>PCB-FPC与刚挠结合</t>
        </is>
      </c>
      <c r="C138" t="inlineStr">
        <is>
          <t>核心</t>
        </is>
      </c>
      <c r="D138" t="inlineStr">
        <is>
          <t>688655</t>
        </is>
      </c>
      <c r="E138" t="inlineStr">
        <is>
          <t>迅捷兴</t>
        </is>
      </c>
    </row>
    <row r="139">
      <c r="A139" t="inlineStr">
        <is>
          <t>PCB</t>
        </is>
      </c>
      <c r="B139" t="inlineStr">
        <is>
          <t>PCB-高多层与服务器板</t>
        </is>
      </c>
      <c r="C139" t="inlineStr">
        <is>
          <t>核心</t>
        </is>
      </c>
      <c r="D139" t="inlineStr">
        <is>
          <t>688655</t>
        </is>
      </c>
      <c r="E139" t="inlineStr">
        <is>
          <t>迅捷兴</t>
        </is>
      </c>
    </row>
    <row r="140">
      <c r="A140" t="inlineStr">
        <is>
          <t>PCB</t>
        </is>
      </c>
      <c r="B140" t="inlineStr">
        <is>
          <t>PCB设备-电镀</t>
        </is>
      </c>
      <c r="C140" t="inlineStr">
        <is>
          <t>核心</t>
        </is>
      </c>
      <c r="D140" t="inlineStr">
        <is>
          <t>688700</t>
        </is>
      </c>
      <c r="E140" t="inlineStr">
        <is>
          <t>东威科技</t>
        </is>
      </c>
    </row>
    <row r="141">
      <c r="A141" t="inlineStr">
        <is>
          <t>PCB</t>
        </is>
      </c>
      <c r="B141" t="inlineStr">
        <is>
          <t>PCB化学品-电镀与湿制程</t>
        </is>
      </c>
      <c r="C141" t="inlineStr">
        <is>
          <t>相关</t>
        </is>
      </c>
      <c r="D141" t="inlineStr">
        <is>
          <t>688720</t>
        </is>
      </c>
      <c r="E141" t="inlineStr">
        <is>
          <t>艾森股份</t>
        </is>
      </c>
    </row>
    <row r="142">
      <c r="A142" t="inlineStr">
        <is>
          <t>PCB</t>
        </is>
      </c>
      <c r="B142" t="inlineStr">
        <is>
          <t>填料-硅微粉与功能粉体</t>
        </is>
      </c>
      <c r="C142" t="inlineStr">
        <is>
          <t>相关</t>
        </is>
      </c>
      <c r="D142" t="inlineStr">
        <is>
          <t>688733</t>
        </is>
      </c>
      <c r="E142" t="inlineStr">
        <is>
          <t>壹石通</t>
        </is>
      </c>
    </row>
    <row r="143">
      <c r="A143" t="inlineStr">
        <is>
          <t>PCB</t>
        </is>
      </c>
      <c r="B143" t="inlineStr">
        <is>
          <t>PCB-FPC与刚挠结合</t>
        </is>
      </c>
      <c r="C143" t="inlineStr">
        <is>
          <t>核心</t>
        </is>
      </c>
      <c r="D143" t="inlineStr">
        <is>
          <t>920821</t>
        </is>
      </c>
      <c r="E143" t="inlineStr">
        <is>
          <t>则成电子</t>
        </is>
      </c>
    </row>
    <row r="144">
      <c r="A144" t="inlineStr">
        <is>
          <t>PCB</t>
        </is>
      </c>
      <c r="B144" t="inlineStr">
        <is>
          <t>PCB-HDI与任意层互连</t>
        </is>
      </c>
      <c r="C144" t="inlineStr">
        <is>
          <t>核心</t>
        </is>
      </c>
      <c r="D144" t="inlineStr">
        <is>
          <t>920821</t>
        </is>
      </c>
      <c r="E144" t="inlineStr">
        <is>
          <t>则成电子</t>
        </is>
      </c>
    </row>
    <row r="145">
      <c r="A145" t="inlineStr">
        <is>
          <t>PCB</t>
        </is>
      </c>
      <c r="B145" t="inlineStr">
        <is>
          <t>PCB-IC载板</t>
        </is>
      </c>
      <c r="C145" t="inlineStr">
        <is>
          <t>核心</t>
        </is>
      </c>
      <c r="D145" t="inlineStr">
        <is>
          <t>920821</t>
        </is>
      </c>
      <c r="E145" t="inlineStr">
        <is>
          <t>则成电子</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2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8" customWidth="1" min="2" max="2"/>
    <col width="42" customWidth="1" min="3" max="3"/>
    <col width="18" customWidth="1" min="4" max="4"/>
    <col width="18" customWidth="1" min="5" max="5"/>
    <col width="18" customWidth="1" min="6" max="6"/>
  </cols>
  <sheetData>
    <row r="2" ht="32" customHeight="1">
      <c r="B2" s="1" t="inlineStr">
        <is>
          <t>概念统计 · 核心/相关分布</t>
        </is>
      </c>
    </row>
    <row r="3">
      <c r="B3" s="2" t="inlineStr">
        <is>
          <t>公式引用隐藏展开表精确计数；一只股票可对应多个概念。</t>
        </is>
      </c>
    </row>
    <row r="4">
      <c r="B4" s="10" t="inlineStr">
        <is>
          <t>一级分类</t>
        </is>
      </c>
      <c r="C4" s="10" t="inlineStr">
        <is>
          <t>二级概念</t>
        </is>
      </c>
      <c r="D4" s="10" t="inlineStr">
        <is>
          <t>核心（只）</t>
        </is>
      </c>
      <c r="E4" s="10" t="inlineStr">
        <is>
          <t>相关（只）</t>
        </is>
      </c>
      <c r="F4" s="10" t="inlineStr">
        <is>
          <t>合计（只）</t>
        </is>
      </c>
    </row>
    <row r="5">
      <c r="B5" t="inlineStr">
        <is>
          <t>PCB</t>
        </is>
      </c>
      <c r="C5" s="11" t="inlineStr">
        <is>
          <t>PCB-FPC与刚挠结合</t>
        </is>
      </c>
      <c r="D5" s="12">
        <f>COUNTIFS('概念展开'!$A$2:$A$145,B5,'概念展开'!$B$2:$B$145,C5,'概念展开'!$C$2:$C$145,"核心")</f>
        <v/>
      </c>
      <c r="E5" s="12">
        <f>COUNTIFS('概念展开'!$A$2:$A$145,B5,'概念展开'!$B$2:$B$145,C5,'概念展开'!$C$2:$C$145,"相关")</f>
        <v/>
      </c>
      <c r="F5">
        <f>SUM(D5:E5)</f>
        <v/>
      </c>
    </row>
    <row r="6">
      <c r="B6" s="13" t="inlineStr">
        <is>
          <t>PCB</t>
        </is>
      </c>
      <c r="C6" s="14" t="inlineStr">
        <is>
          <t>PCB-HDI与任意层互连</t>
        </is>
      </c>
      <c r="D6" s="15">
        <f>COUNTIFS('概念展开'!$A$2:$A$145,B6,'概念展开'!$B$2:$B$145,C6,'概念展开'!$C$2:$C$145,"核心")</f>
        <v/>
      </c>
      <c r="E6" s="15">
        <f>COUNTIFS('概念展开'!$A$2:$A$145,B6,'概念展开'!$B$2:$B$145,C6,'概念展开'!$C$2:$C$145,"相关")</f>
        <v/>
      </c>
      <c r="F6" s="13">
        <f>SUM(D6:E6)</f>
        <v/>
      </c>
    </row>
    <row r="7">
      <c r="B7" t="inlineStr">
        <is>
          <t>PCB</t>
        </is>
      </c>
      <c r="C7" s="11" t="inlineStr">
        <is>
          <t>PCB-IC载板</t>
        </is>
      </c>
      <c r="D7" s="12">
        <f>COUNTIFS('概念展开'!$A$2:$A$145,B7,'概念展开'!$B$2:$B$145,C7,'概念展开'!$C$2:$C$145,"核心")</f>
        <v/>
      </c>
      <c r="E7" s="12">
        <f>COUNTIFS('概念展开'!$A$2:$A$145,B7,'概念展开'!$B$2:$B$145,C7,'概念展开'!$C$2:$C$145,"相关")</f>
        <v/>
      </c>
      <c r="F7">
        <f>SUM(D7:E7)</f>
        <v/>
      </c>
    </row>
    <row r="8">
      <c r="B8" s="13" t="inlineStr">
        <is>
          <t>PCB</t>
        </is>
      </c>
      <c r="C8" s="14" t="inlineStr">
        <is>
          <t>PCB-通用刚性板</t>
        </is>
      </c>
      <c r="D8" s="15">
        <f>COUNTIFS('概念展开'!$A$2:$A$145,B8,'概念展开'!$B$2:$B$145,C8,'概念展开'!$C$2:$C$145,"核心")</f>
        <v/>
      </c>
      <c r="E8" s="15">
        <f>COUNTIFS('概念展开'!$A$2:$A$145,B8,'概念展开'!$B$2:$B$145,C8,'概念展开'!$C$2:$C$145,"相关")</f>
        <v/>
      </c>
      <c r="F8" s="13">
        <f>SUM(D8:E8)</f>
        <v/>
      </c>
    </row>
    <row r="9">
      <c r="B9" t="inlineStr">
        <is>
          <t>PCB</t>
        </is>
      </c>
      <c r="C9" s="11" t="inlineStr">
        <is>
          <t>PCB-高多层与服务器板</t>
        </is>
      </c>
      <c r="D9" s="12">
        <f>COUNTIFS('概念展开'!$A$2:$A$145,B9,'概念展开'!$B$2:$B$145,C9,'概念展开'!$C$2:$C$145,"核心")</f>
        <v/>
      </c>
      <c r="E9" s="12">
        <f>COUNTIFS('概念展开'!$A$2:$A$145,B9,'概念展开'!$B$2:$B$145,C9,'概念展开'!$C$2:$C$145,"相关")</f>
        <v/>
      </c>
      <c r="F9">
        <f>SUM(D9:E9)</f>
        <v/>
      </c>
    </row>
    <row r="10">
      <c r="B10" s="13" t="inlineStr">
        <is>
          <t>PCB</t>
        </is>
      </c>
      <c r="C10" s="14" t="inlineStr">
        <is>
          <t>PCB刀具-钻针与铣刀</t>
        </is>
      </c>
      <c r="D10" s="15">
        <f>COUNTIFS('概念展开'!$A$2:$A$145,B10,'概念展开'!$B$2:$B$145,C10,'概念展开'!$C$2:$C$145,"核心")</f>
        <v/>
      </c>
      <c r="E10" s="15">
        <f>COUNTIFS('概念展开'!$A$2:$A$145,B10,'概念展开'!$B$2:$B$145,C10,'概念展开'!$C$2:$C$145,"相关")</f>
        <v/>
      </c>
      <c r="F10" s="13">
        <f>SUM(D10:E10)</f>
        <v/>
      </c>
    </row>
    <row r="11">
      <c r="B11" t="inlineStr">
        <is>
          <t>PCB</t>
        </is>
      </c>
      <c r="C11" s="11" t="inlineStr">
        <is>
          <t>PCB化学品-电镀与湿制程</t>
        </is>
      </c>
      <c r="D11" s="12">
        <f>COUNTIFS('概念展开'!$A$2:$A$145,B11,'概念展开'!$B$2:$B$145,C11,'概念展开'!$C$2:$C$145,"核心")</f>
        <v/>
      </c>
      <c r="E11" s="12">
        <f>COUNTIFS('概念展开'!$A$2:$A$145,B11,'概念展开'!$B$2:$B$145,C11,'概念展开'!$C$2:$C$145,"相关")</f>
        <v/>
      </c>
      <c r="F11">
        <f>SUM(D11:E11)</f>
        <v/>
      </c>
    </row>
    <row r="12">
      <c r="B12" s="13" t="inlineStr">
        <is>
          <t>PCB</t>
        </is>
      </c>
      <c r="C12" s="14" t="inlineStr">
        <is>
          <t>PCB材料-其他关键材料</t>
        </is>
      </c>
      <c r="D12" s="15">
        <f>COUNTIFS('概念展开'!$A$2:$A$145,B12,'概念展开'!$B$2:$B$145,C12,'概念展开'!$C$2:$C$145,"核心")</f>
        <v/>
      </c>
      <c r="E12" s="15">
        <f>COUNTIFS('概念展开'!$A$2:$A$145,B12,'概念展开'!$B$2:$B$145,C12,'概念展开'!$C$2:$C$145,"相关")</f>
        <v/>
      </c>
      <c r="F12" s="13">
        <f>SUM(D12:E12)</f>
        <v/>
      </c>
    </row>
    <row r="13">
      <c r="B13" t="inlineStr">
        <is>
          <t>PCB</t>
        </is>
      </c>
      <c r="C13" s="11" t="inlineStr">
        <is>
          <t>PCB股权与产业投资</t>
        </is>
      </c>
      <c r="D13" s="12">
        <f>COUNTIFS('概念展开'!$A$2:$A$145,B13,'概念展开'!$B$2:$B$145,C13,'概念展开'!$C$2:$C$145,"核心")</f>
        <v/>
      </c>
      <c r="E13" s="12">
        <f>COUNTIFS('概念展开'!$A$2:$A$145,B13,'概念展开'!$B$2:$B$145,C13,'概念展开'!$C$2:$C$145,"相关")</f>
        <v/>
      </c>
      <c r="F13">
        <f>SUM(D13:E13)</f>
        <v/>
      </c>
    </row>
    <row r="14">
      <c r="B14" s="13" t="inlineStr">
        <is>
          <t>PCB</t>
        </is>
      </c>
      <c r="C14" s="14" t="inlineStr">
        <is>
          <t>PCB设备-SMT与贴装</t>
        </is>
      </c>
      <c r="D14" s="15">
        <f>COUNTIFS('概念展开'!$A$2:$A$145,B14,'概念展开'!$B$2:$B$145,C14,'概念展开'!$C$2:$C$145,"核心")</f>
        <v/>
      </c>
      <c r="E14" s="15">
        <f>COUNTIFS('概念展开'!$A$2:$A$145,B14,'概念展开'!$B$2:$B$145,C14,'概念展开'!$C$2:$C$145,"相关")</f>
        <v/>
      </c>
      <c r="F14" s="13">
        <f>SUM(D14:E14)</f>
        <v/>
      </c>
    </row>
    <row r="15">
      <c r="B15" t="inlineStr">
        <is>
          <t>PCB</t>
        </is>
      </c>
      <c r="C15" s="11" t="inlineStr">
        <is>
          <t>PCB设备-曝光与成像</t>
        </is>
      </c>
      <c r="D15" s="12">
        <f>COUNTIFS('概念展开'!$A$2:$A$145,B15,'概念展开'!$B$2:$B$145,C15,'概念展开'!$C$2:$C$145,"核心")</f>
        <v/>
      </c>
      <c r="E15" s="12">
        <f>COUNTIFS('概念展开'!$A$2:$A$145,B15,'概念展开'!$B$2:$B$145,C15,'概念展开'!$C$2:$C$145,"相关")</f>
        <v/>
      </c>
      <c r="F15">
        <f>SUM(D15:E15)</f>
        <v/>
      </c>
    </row>
    <row r="16">
      <c r="B16" s="13" t="inlineStr">
        <is>
          <t>PCB</t>
        </is>
      </c>
      <c r="C16" s="14" t="inlineStr">
        <is>
          <t>PCB设备-检测与测试</t>
        </is>
      </c>
      <c r="D16" s="15">
        <f>COUNTIFS('概念展开'!$A$2:$A$145,B16,'概念展开'!$B$2:$B$145,C16,'概念展开'!$C$2:$C$145,"核心")</f>
        <v/>
      </c>
      <c r="E16" s="15">
        <f>COUNTIFS('概念展开'!$A$2:$A$145,B16,'概念展开'!$B$2:$B$145,C16,'概念展开'!$C$2:$C$145,"相关")</f>
        <v/>
      </c>
      <c r="F16" s="13">
        <f>SUM(D16:E16)</f>
        <v/>
      </c>
    </row>
    <row r="17">
      <c r="B17" t="inlineStr">
        <is>
          <t>PCB</t>
        </is>
      </c>
      <c r="C17" s="11" t="inlineStr">
        <is>
          <t>PCB设备-电镀</t>
        </is>
      </c>
      <c r="D17" s="12">
        <f>COUNTIFS('概念展开'!$A$2:$A$145,B17,'概念展开'!$B$2:$B$145,C17,'概念展开'!$C$2:$C$145,"核心")</f>
        <v/>
      </c>
      <c r="E17" s="12">
        <f>COUNTIFS('概念展开'!$A$2:$A$145,B17,'概念展开'!$B$2:$B$145,C17,'概念展开'!$C$2:$C$145,"相关")</f>
        <v/>
      </c>
      <c r="F17">
        <f>SUM(D17:E17)</f>
        <v/>
      </c>
    </row>
    <row r="18">
      <c r="B18" s="13" t="inlineStr">
        <is>
          <t>PCB</t>
        </is>
      </c>
      <c r="C18" s="14" t="inlineStr">
        <is>
          <t>PCB设备-钻孔与激光加工</t>
        </is>
      </c>
      <c r="D18" s="15">
        <f>COUNTIFS('概念展开'!$A$2:$A$145,B18,'概念展开'!$B$2:$B$145,C18,'概念展开'!$C$2:$C$145,"核心")</f>
        <v/>
      </c>
      <c r="E18" s="15">
        <f>COUNTIFS('概念展开'!$A$2:$A$145,B18,'概念展开'!$B$2:$B$145,C18,'概念展开'!$C$2:$C$145,"相关")</f>
        <v/>
      </c>
      <c r="F18" s="13">
        <f>SUM(D18:E18)</f>
        <v/>
      </c>
    </row>
    <row r="19">
      <c r="B19" t="inlineStr">
        <is>
          <t>PCB</t>
        </is>
      </c>
      <c r="C19" s="11" t="inlineStr">
        <is>
          <t>PCB设计与SMT服务</t>
        </is>
      </c>
      <c r="D19" s="12">
        <f>COUNTIFS('概念展开'!$A$2:$A$145,B19,'概念展开'!$B$2:$B$145,C19,'概念展开'!$C$2:$C$145,"核心")</f>
        <v/>
      </c>
      <c r="E19" s="12">
        <f>COUNTIFS('概念展开'!$A$2:$A$145,B19,'概念展开'!$B$2:$B$145,C19,'概念展开'!$C$2:$C$145,"相关")</f>
        <v/>
      </c>
      <c r="F19">
        <f>SUM(D19:E19)</f>
        <v/>
      </c>
    </row>
    <row r="20">
      <c r="B20" s="13" t="inlineStr">
        <is>
          <t>PCB</t>
        </is>
      </c>
      <c r="C20" s="14" t="inlineStr">
        <is>
          <t>PCB配套-精密零部件</t>
        </is>
      </c>
      <c r="D20" s="15">
        <f>COUNTIFS('概念展开'!$A$2:$A$145,B20,'概念展开'!$B$2:$B$145,C20,'概念展开'!$C$2:$C$145,"核心")</f>
        <v/>
      </c>
      <c r="E20" s="15">
        <f>COUNTIFS('概念展开'!$A$2:$A$145,B20,'概念展开'!$B$2:$B$145,C20,'概念展开'!$C$2:$C$145,"相关")</f>
        <v/>
      </c>
      <c r="F20" s="13">
        <f>SUM(D20:E20)</f>
        <v/>
      </c>
    </row>
    <row r="21">
      <c r="B21" t="inlineStr">
        <is>
          <t>PCB</t>
        </is>
      </c>
      <c r="C21" s="11" t="inlineStr">
        <is>
          <t>填料-硅微粉与功能粉体</t>
        </is>
      </c>
      <c r="D21" s="12">
        <f>COUNTIFS('概念展开'!$A$2:$A$145,B21,'概念展开'!$B$2:$B$145,C21,'概念展开'!$C$2:$C$145,"核心")</f>
        <v/>
      </c>
      <c r="E21" s="12">
        <f>COUNTIFS('概念展开'!$A$2:$A$145,B21,'概念展开'!$B$2:$B$145,C21,'概念展开'!$C$2:$C$145,"相关")</f>
        <v/>
      </c>
      <c r="F21">
        <f>SUM(D21:E21)</f>
        <v/>
      </c>
    </row>
    <row r="22">
      <c r="B22" s="13" t="inlineStr">
        <is>
          <t>PCB</t>
        </is>
      </c>
      <c r="C22" s="14" t="inlineStr">
        <is>
          <t>树脂-环氧与碳氢</t>
        </is>
      </c>
      <c r="D22" s="15">
        <f>COUNTIFS('概念展开'!$A$2:$A$145,B22,'概念展开'!$B$2:$B$145,C22,'概念展开'!$C$2:$C$145,"核心")</f>
        <v/>
      </c>
      <c r="E22" s="15">
        <f>COUNTIFS('概念展开'!$A$2:$A$145,B22,'概念展开'!$B$2:$B$145,C22,'概念展开'!$C$2:$C$145,"相关")</f>
        <v/>
      </c>
      <c r="F22" s="13">
        <f>SUM(D22:E22)</f>
        <v/>
      </c>
    </row>
    <row r="23">
      <c r="B23" t="inlineStr">
        <is>
          <t>PCB</t>
        </is>
      </c>
      <c r="C23" s="11" t="inlineStr">
        <is>
          <t>树脂-苊烯与特种</t>
        </is>
      </c>
      <c r="D23" s="12">
        <f>COUNTIFS('概念展开'!$A$2:$A$145,B23,'概念展开'!$B$2:$B$145,C23,'概念展开'!$C$2:$C$145,"核心")</f>
        <v/>
      </c>
      <c r="E23" s="12">
        <f>COUNTIFS('概念展开'!$A$2:$A$145,B23,'概念展开'!$B$2:$B$145,C23,'概念展开'!$C$2:$C$145,"相关")</f>
        <v/>
      </c>
      <c r="F23">
        <f>SUM(D23:E23)</f>
        <v/>
      </c>
    </row>
    <row r="24">
      <c r="B24" s="13" t="inlineStr">
        <is>
          <t>PCB</t>
        </is>
      </c>
      <c r="C24" s="14" t="inlineStr">
        <is>
          <t>电子布与玻纤材料</t>
        </is>
      </c>
      <c r="D24" s="15">
        <f>COUNTIFS('概念展开'!$A$2:$A$145,B24,'概念展开'!$B$2:$B$145,C24,'概念展开'!$C$2:$C$145,"核心")</f>
        <v/>
      </c>
      <c r="E24" s="15">
        <f>COUNTIFS('概念展开'!$A$2:$A$145,B24,'概念展开'!$B$2:$B$145,C24,'概念展开'!$C$2:$C$145,"相关")</f>
        <v/>
      </c>
      <c r="F24" s="13">
        <f>SUM(D24:E24)</f>
        <v/>
      </c>
    </row>
    <row r="25">
      <c r="B25" t="inlineStr">
        <is>
          <t>PCB</t>
        </is>
      </c>
      <c r="C25" s="11" t="inlineStr">
        <is>
          <t>覆铜板与粘结片</t>
        </is>
      </c>
      <c r="D25" s="12">
        <f>COUNTIFS('概念展开'!$A$2:$A$145,B25,'概念展开'!$B$2:$B$145,C25,'概念展开'!$C$2:$C$145,"核心")</f>
        <v/>
      </c>
      <c r="E25" s="12">
        <f>COUNTIFS('概念展开'!$A$2:$A$145,B25,'概念展开'!$B$2:$B$145,C25,'概念展开'!$C$2:$C$145,"相关")</f>
        <v/>
      </c>
      <c r="F25">
        <f>SUM(D25:E25)</f>
        <v/>
      </c>
    </row>
    <row r="26">
      <c r="B26" s="13" t="inlineStr">
        <is>
          <t>PCB</t>
        </is>
      </c>
      <c r="C26" s="14" t="inlineStr">
        <is>
          <t>铜箔-HVLP与高频高速</t>
        </is>
      </c>
      <c r="D26" s="15">
        <f>COUNTIFS('概念展开'!$A$2:$A$145,B26,'概念展开'!$B$2:$B$145,C26,'概念展开'!$C$2:$C$145,"核心")</f>
        <v/>
      </c>
      <c r="E26" s="15">
        <f>COUNTIFS('概念展开'!$A$2:$A$145,B26,'概念展开'!$B$2:$B$145,C26,'概念展开'!$C$2:$C$145,"相关")</f>
        <v/>
      </c>
      <c r="F26" s="13">
        <f>SUM(D26:E26)</f>
        <v/>
      </c>
    </row>
    <row r="27">
      <c r="B27" t="inlineStr">
        <is>
          <t>PCB</t>
        </is>
      </c>
      <c r="C27" s="11" t="inlineStr">
        <is>
          <t>铜箔-通用PCB</t>
        </is>
      </c>
      <c r="D27" s="12">
        <f>COUNTIFS('概念展开'!$A$2:$A$145,B27,'概念展开'!$B$2:$B$145,C27,'概念展开'!$C$2:$C$145,"核心")</f>
        <v/>
      </c>
      <c r="E27" s="12">
        <f>COUNTIFS('概念展开'!$A$2:$A$145,B27,'概念展开'!$B$2:$B$145,C27,'概念展开'!$C$2:$C$145,"相关")</f>
        <v/>
      </c>
      <c r="F27">
        <f>SUM(D27:E27)</f>
        <v/>
      </c>
    </row>
    <row r="28">
      <c r="B28" s="16" t="inlineStr">
        <is>
          <t>合计（概念次数，非股票去重数）</t>
        </is>
      </c>
      <c r="D28" s="16">
        <f>SUM(D5:D27)</f>
        <v/>
      </c>
      <c r="E28" s="16">
        <f>SUM(E5:E27)</f>
        <v/>
      </c>
      <c r="F28" s="16">
        <f>SUM(F5:F27)</f>
        <v/>
      </c>
    </row>
  </sheetData>
  <autoFilter ref="B4:F27"/>
  <mergeCells count="2">
    <mergeCell ref="B2:F2"/>
    <mergeCell ref="B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2026-10-27T07:44:47Z</dcterms:created>
  <dcterms:modified xmlns:dcterms="http://purl.org/dc/terms/" xmlns:xsi="http://www.w3.org/2001/XMLSchema-instance" xsi:type="dcterms:W3CDTF">2026-10-27T07:44:51Z</dcterms:modified>
</cp:coreProperties>
</file>