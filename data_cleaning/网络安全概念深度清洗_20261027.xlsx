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网络安全"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'清洗总表'!$B$4:$M$49</definedName>
    <definedName name="_xlnm._FilterDatabase" localSheetId="2" hidden="1">'网络安全'!$B$4:$M$42</definedName>
    <definedName name="_xlnm._FilterDatabase" localSheetId="3" hidden="1">'摘除清单'!$B$4:$M$11</definedName>
    <definedName name="_xlnm._FilterDatabase" localSheetId="5" hidden="1">'概念统计'!$B$4:$F$51</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22B49"/>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22B49"/>
      <sz val="13"/>
    </font>
    <font>
      <b val="1"/>
      <color rgb="000066CC"/>
    </font>
    <font>
      <color rgb="00666666"/>
      <sz val="10"/>
    </font>
  </fonts>
  <fills count="4">
    <fill>
      <patternFill/>
    </fill>
    <fill>
      <patternFill patternType="gray125"/>
    </fill>
    <fill>
      <patternFill patternType="solid">
        <fgColor rgb="00122B49"/>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网络安全概念深度清洗报告</t>
        </is>
      </c>
    </row>
    <row r="3">
      <c r="B3" s="2" t="inlineStr">
        <is>
          <t>复核日期：2026-10-27｜范围：45只｜重点：真实产品、商业化、分类边界与详细理由</t>
        </is>
      </c>
    </row>
    <row r="6" ht="26" customHeight="1">
      <c r="B6" s="17" t="inlineStr">
        <is>
          <t>复核股票（只）</t>
        </is>
      </c>
      <c r="C6" s="18">
        <f>COUNTA('清洗总表'!$B$5:$B$49)</f>
        <v/>
      </c>
    </row>
    <row r="7" ht="26" customHeight="1">
      <c r="B7" s="17" t="inlineStr">
        <is>
          <t>保留网络安全（只）</t>
        </is>
      </c>
      <c r="C7" s="18">
        <f>COUNTA('网络安全'!$B$5:$B$42)</f>
        <v/>
      </c>
    </row>
    <row r="8" ht="26" customHeight="1">
      <c r="B8" s="17" t="inlineStr">
        <is>
          <t>核心判词（只）</t>
        </is>
      </c>
      <c r="C8" s="18">
        <f>COUNTIF('清洗总表'!$H$5:$H$49,"核心")</f>
        <v/>
      </c>
    </row>
    <row r="9" ht="26" customHeight="1">
      <c r="B9" s="17" t="inlineStr">
        <is>
          <t>相关判词（只）</t>
        </is>
      </c>
      <c r="C9" s="18">
        <f>COUNTIF('清洗总表'!$H$5:$H$49,"相关")</f>
        <v/>
      </c>
    </row>
    <row r="10" ht="26" customHeight="1">
      <c r="B10" s="17" t="inlineStr">
        <is>
          <t>完全摘除（只）</t>
        </is>
      </c>
      <c r="C10" s="18">
        <f>COUNTA('摘除清单'!$B$5:$B$11)</f>
        <v/>
      </c>
    </row>
    <row r="11" ht="26" customHeight="1">
      <c r="B11" s="17" t="inlineStr">
        <is>
          <t>纠错动作（只）</t>
        </is>
      </c>
      <c r="C11" s="18">
        <f>COUNTIF('清洗总表'!$E$5:$E$49,"纠错")</f>
        <v/>
      </c>
    </row>
    <row r="12" ht="26" customHeight="1">
      <c r="B12" s="17" t="inlineStr">
        <is>
          <t>新增动作（只）</t>
        </is>
      </c>
      <c r="C12" s="18">
        <f>COUNTIF('清洗总表'!$E$5:$E$49,"新增")</f>
        <v/>
      </c>
    </row>
    <row r="15">
      <c r="B15" s="19" t="inlineStr">
        <is>
          <t>工作表索引</t>
        </is>
      </c>
    </row>
    <row r="16">
      <c r="B16" s="20" t="inlineStr">
        <is>
          <t>清洗总表</t>
        </is>
      </c>
      <c r="C16" s="11" t="inlineStr">
        <is>
          <t>45只旧概念、新概念、动作、判词、详细理由和证据</t>
        </is>
      </c>
    </row>
    <row r="17">
      <c r="B17" s="20" t="inlineStr">
        <is>
          <t>网络安全</t>
        </is>
      </c>
      <c r="C17" s="11" t="inlineStr">
        <is>
          <t>38只清洗后网络安全公司</t>
        </is>
      </c>
    </row>
    <row r="18">
      <c r="B18" s="20" t="inlineStr">
        <is>
          <t>摘除清单</t>
        </is>
      </c>
      <c r="C18" s="11" t="inlineStr">
        <is>
          <t>7只错标、内部治理或落地不足公司</t>
        </is>
      </c>
    </row>
    <row r="19">
      <c r="B19" s="20" t="inlineStr">
        <is>
          <t>概念统计</t>
        </is>
      </c>
      <c r="C19" s="11" t="inlineStr">
        <is>
          <t>47个二级概念的核心/相关数量</t>
        </is>
      </c>
    </row>
    <row r="23">
      <c r="B23" s="21" t="inlineStr">
        <is>
          <t>核心：网络安全产品或服务是明确主营、重要收入或规模化核心产品；相关：有真实产品、客户、项目或收入，但仍属新业务或占比较低。</t>
        </is>
      </c>
    </row>
    <row r="24">
      <c r="B24" s="21" t="inlineStr">
        <is>
          <t>普通安防、IDC托管、信息化集成、传媒VR、内部审核和纸币鉴伪不直接纳入；央企或国资背景也不再作为独立二级概念。</t>
        </is>
      </c>
    </row>
    <row r="25">
      <c r="B25" s="21" t="inlineStr">
        <is>
          <t>“其他”“国家队”“字节生态”等泛标签已按防火墙、密码、数据安全、内容安全、安全运营、DPI等真实业务重新归类。</t>
        </is>
      </c>
    </row>
    <row r="26">
      <c r="B26" s="21" t="inlineStr">
        <is>
          <t>主营资料：iFinD ifind_get_stock_info（2026-10-27）；逐股证据名称、日期及URL见Source列。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8" customWidth="1" min="4" max="4"/>
    <col width="10" customWidth="1" min="5" max="5"/>
    <col width="16" customWidth="1" min="6" max="6"/>
    <col width="48"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网络安全 · 45只逐项复核</t>
        </is>
      </c>
    </row>
    <row r="3">
      <c r="B3" s="2" t="inlineStr">
        <is>
          <t>逐股核对主营、产品、客户与商业化证据；重写详细理由并清理泛化、错标标签。</t>
        </is>
      </c>
    </row>
    <row r="4">
      <c r="B4" s="3" t="inlineStr">
        <is>
          <t>代码</t>
        </is>
      </c>
      <c r="C4" s="3" t="inlineStr">
        <is>
          <t>名称</t>
        </is>
      </c>
      <c r="D4" s="3" t="inlineStr">
        <is>
          <t>旧网络安全概念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000156</t>
        </is>
      </c>
      <c r="C5" s="4" t="inlineStr">
        <is>
          <t>华数传媒</t>
        </is>
      </c>
      <c r="D5" s="5" t="inlineStr">
        <is>
          <t>网络安全：AI监管-内容审核</t>
        </is>
      </c>
      <c r="E5" s="4" t="inlineStr">
        <is>
          <t>纠错</t>
        </is>
      </c>
      <c r="F5" s="4" t="inlineStr">
        <is>
          <t>网络安全</t>
        </is>
      </c>
      <c r="G5" s="5" t="inlineStr">
        <is>
          <t>内容安全与智能审核</t>
        </is>
      </c>
      <c r="H5" s="4" t="inlineStr">
        <is>
          <t>相关</t>
        </is>
      </c>
      <c r="I5" s="5" t="inlineStr">
        <is>
          <t>公司主营仍是有线电视、新媒体、宽带和智慧城市，并非通用网络安全厂商；但2025年报披露文盾大模型已完成文化市场综合执法国家级试点阶段研发并取得一定规模合同营收，同时升级智能审核与播控治理体系，说明内容安全监管已有真实客户项目和商业化，而非仅内部制度或战略设想。因未披露该业务独立收入且相对九十余亿元营收仍属新业务，新增内容安全标签并定相关。</t>
        </is>
      </c>
      <c r="J5" s="4" t="inlineStr">
        <is>
          <t>华数传媒：2025年年度报告</t>
        </is>
      </c>
      <c r="K5" s="4" t="inlineStr">
        <is>
          <t>2026-03-21</t>
        </is>
      </c>
      <c r="L5" s="5" t="inlineStr">
        <is>
          <t>iFinD ifind_get_stock_info (as of 2026-10-27)；华数传媒：2025年年度报告</t>
        </is>
      </c>
      <c r="M5" s="6" t="inlineStr">
        <is>
          <t>https://money.finance.sina.com.cn/corp/view/vCB_AllBulletinDetail.php?stockid=000156&amp;id=12009319</t>
        </is>
      </c>
    </row>
    <row r="6" ht="92" customHeight="1">
      <c r="B6" s="7" t="inlineStr">
        <is>
          <t>000681</t>
        </is>
      </c>
      <c r="C6" s="7" t="inlineStr">
        <is>
          <t>视觉中国</t>
        </is>
      </c>
      <c r="D6" s="8" t="inlineStr">
        <is>
          <t>网络安全：字节生态</t>
        </is>
      </c>
      <c r="E6" s="7" t="inlineStr">
        <is>
          <t>摘除</t>
        </is>
      </c>
      <c r="F6" s="7" t="inlineStr">
        <is>
          <t>—</t>
        </is>
      </c>
      <c r="G6" s="8" t="inlineStr">
        <is>
          <t>—</t>
        </is>
      </c>
      <c r="H6" s="7" t="inlineStr">
        <is>
          <t>摘除</t>
        </is>
      </c>
      <c r="I6" s="8" t="inlineStr">
        <is>
          <t>公司主营是正版图片、视频等视觉内容授权、创意定制及数据服务。年报中的AI质量审核、版权查重和合规审核主要服务于自有素材平台入库与交易治理，光厂创意的智能审核也用于自身作品管理，未证明向外部客户销售独立内容安全产品或审核服务；可信时间戳等能力还涉及战略投资企业。版权授权、内部平台审核和AI训练素材经营不能直接等同网络安全主营，故删除错误的字节生态标签且不新增网安概念。</t>
        </is>
      </c>
      <c r="J6" s="7" t="inlineStr">
        <is>
          <t>视觉中国：2025年年度报告</t>
        </is>
      </c>
      <c r="K6" s="7" t="inlineStr">
        <is>
          <t>2026-03-31</t>
        </is>
      </c>
      <c r="L6" s="8" t="inlineStr">
        <is>
          <t>iFinD ifind_get_stock_info (as of 2026-10-27)；视觉中国：2025年年度报告</t>
        </is>
      </c>
      <c r="M6" s="9" t="inlineStr">
        <is>
          <t>https://money.finance.sina.com.cn/corp/view/vCB_AllBulletinDetail.php?stockid=000681&amp;id=12047786</t>
        </is>
      </c>
    </row>
    <row r="7" ht="92" customHeight="1">
      <c r="B7" s="4" t="inlineStr">
        <is>
          <t>000839</t>
        </is>
      </c>
      <c r="C7" s="4" t="inlineStr">
        <is>
          <t>国安股份</t>
        </is>
      </c>
      <c r="D7" s="5" t="inlineStr">
        <is>
          <t>网络安全：AI监管-内容审核</t>
        </is>
      </c>
      <c r="E7" s="4" t="inlineStr">
        <is>
          <t>纠错</t>
        </is>
      </c>
      <c r="F7" s="4" t="inlineStr">
        <is>
          <t>网络安全</t>
        </is>
      </c>
      <c r="G7" s="5" t="inlineStr">
        <is>
          <t>内容安全与审核服务</t>
        </is>
      </c>
      <c r="H7" s="4" t="inlineStr">
        <is>
          <t>相关</t>
        </is>
      </c>
      <c r="I7" s="5" t="inlineStr">
        <is>
          <t>公司通过子公司鸿联九五开展企业数智综合服务，2025年半年报明确列示内容审核业务，面向互联网平台、社交应用和电商提供文本、图片、视频、音频及直播内容安全审核，属于已实际经营的外包审核服务，与内容安全直接相关，并非传统电信业务贴安全标签。不过公司收入还包含有线电视、房地产及其他企业综合服务，未单独披露审核收入占比，因此保留为相关，并将泛化的AI监管表述纠正为内容安全与审核服务。</t>
        </is>
      </c>
      <c r="J7" s="4" t="inlineStr">
        <is>
          <t>国安股份：2025年半年度报告</t>
        </is>
      </c>
      <c r="K7" s="4" t="inlineStr">
        <is>
          <t>2025-08-23</t>
        </is>
      </c>
      <c r="L7" s="5" t="inlineStr">
        <is>
          <t>iFinD ifind_get_stock_info (as of 2026-10-27)；国安股份：2025年半年度报告</t>
        </is>
      </c>
      <c r="M7" s="6" t="inlineStr">
        <is>
          <t>http://money.finance.sina.com.cn/corp/view/vCB_AllBulletinDetail.php?stockid=000839&amp;id=11339850</t>
        </is>
      </c>
    </row>
    <row r="8" ht="92" customHeight="1">
      <c r="B8" s="7" t="inlineStr">
        <is>
          <t>002212</t>
        </is>
      </c>
      <c r="C8" s="7" t="inlineStr">
        <is>
          <t>天融信</t>
        </is>
      </c>
      <c r="D8" s="8" t="inlineStr">
        <is>
          <t>网络安全：其他</t>
        </is>
      </c>
      <c r="E8" s="7" t="inlineStr">
        <is>
          <t>纠错</t>
        </is>
      </c>
      <c r="F8" s="7" t="inlineStr">
        <is>
          <t>网络安全</t>
        </is>
      </c>
      <c r="G8" s="8" t="inlineStr">
        <is>
          <t>防火墙与零信任、数据安全、安全运营与托管服务</t>
        </is>
      </c>
      <c r="H8" s="7" t="inlineStr">
        <is>
          <t>核心</t>
        </is>
      </c>
      <c r="I8" s="8" t="inlineStr">
        <is>
          <t>公司长期提供防火墙、VPN、WAF、零信任、数据安全及安全运营等产品和服务，网络安全是明确主营而非概念延伸。2025年网络安全行业收入25.56亿元，占营业收入99.37%，其中网络安全产品收入21.52亿元，智算云为另一产品线；安全服务亦按运营、维护、咨询等合同确认收入，商业化规模充分。原“其他”完全不能体现实际业务，故按优势产品及交付形态细化为防火墙与零信任、数据安全和安全运营与托管服务，维持核心。</t>
        </is>
      </c>
      <c r="J8" s="7" t="inlineStr">
        <is>
          <t>天融信：2025年年度报告</t>
        </is>
      </c>
      <c r="K8" s="7" t="inlineStr">
        <is>
          <t>2026-04-24</t>
        </is>
      </c>
      <c r="L8" s="8" t="inlineStr">
        <is>
          <t>iFinD ifind_get_stock_info (as of 2026-10-27)；天融信：2025年年度报告</t>
        </is>
      </c>
      <c r="M8" s="9" t="inlineStr">
        <is>
          <t>http://money.finance.sina.com.cn/corp/view/vCB_AllBulletinDetail.php?stockid=002212&amp;id=12168962</t>
        </is>
      </c>
    </row>
    <row r="9" ht="92" customHeight="1">
      <c r="B9" s="4" t="inlineStr">
        <is>
          <t>002268</t>
        </is>
      </c>
      <c r="C9" s="4" t="inlineStr">
        <is>
          <t>电科网安</t>
        </is>
      </c>
      <c r="D9" s="5" t="inlineStr">
        <is>
          <t>网络安全：国家队</t>
        </is>
      </c>
      <c r="E9" s="4" t="inlineStr">
        <is>
          <t>纠错</t>
        </is>
      </c>
      <c r="F9" s="4" t="inlineStr">
        <is>
          <t>网络安全</t>
        </is>
      </c>
      <c r="G9" s="5" t="inlineStr">
        <is>
          <t>密码与身份认证、数据安全、网络安全运营</t>
        </is>
      </c>
      <c r="H9" s="4" t="inlineStr">
        <is>
          <t>核心</t>
        </is>
      </c>
      <c r="I9" s="5" t="inlineStr">
        <is>
          <t>公司以密码为核心提供网络安全和数据安全产品、服务及解决方案，实际产品覆盖密码基础算力、纵向加密、网络防护、数据安全合规平台和安全运营中心。2025年数据安全与网络安全行业收入占营收100%，其中密码收入10.36亿元、网络安全收入11.76亿元、数据安全收入0.56亿元，主营和规模化收入证据充分。保留核心不是因为央企背景，而是基于完整产品体系和收入结构；将“国家队”改为密码与身份认证、数据安全及网络安全运营。</t>
        </is>
      </c>
      <c r="J9" s="4" t="inlineStr">
        <is>
          <t>电科网安：2025年年度报告</t>
        </is>
      </c>
      <c r="K9" s="4" t="inlineStr">
        <is>
          <t>2026-04-18</t>
        </is>
      </c>
      <c r="L9" s="5" t="inlineStr">
        <is>
          <t>iFinD ifind_get_stock_info (as of 2026-10-27)；电科网安：2025年年度报告</t>
        </is>
      </c>
      <c r="M9" s="6" t="inlineStr">
        <is>
          <t>http://money.finance.sina.com.cn/corp/view/vCB_AllBulletinDetail.php?stockid=002268&amp;id=12113837</t>
        </is>
      </c>
    </row>
    <row r="10" ht="92" customHeight="1">
      <c r="B10" s="7" t="inlineStr">
        <is>
          <t>002279</t>
        </is>
      </c>
      <c r="C10" s="7" t="inlineStr">
        <is>
          <t>久其软件</t>
        </is>
      </c>
      <c r="D10" s="8" t="inlineStr">
        <is>
          <t>网络安全：其他</t>
        </is>
      </c>
      <c r="E10" s="7" t="inlineStr">
        <is>
          <t>摘除</t>
        </is>
      </c>
      <c r="F10" s="7" t="inlineStr">
        <is>
          <t>—</t>
        </is>
      </c>
      <c r="G10" s="8" t="inlineStr">
        <is>
          <t>—</t>
        </is>
      </c>
      <c r="H10" s="7" t="inlineStr">
        <is>
          <t>摘除</t>
        </is>
      </c>
      <c r="I10" s="8" t="inlineStr">
        <is>
          <t>公司主要向政企客户提供数字政府、数智财务、资产管理、数据智能和数字传播产品。2025年报所述安全底座、DevOps加固、灾备、应急响应和项目安全巡检，主要用于保障女娲平台及既有信息化项目交付；新获软件安全开发、安全集成资质也只是交付能力证明，未显示独立网络安全产品、客户项目收入或规模化安全服务。庭审音视频脱敏属于智慧司法应用，不足以支撑通用网安标签，故摘除原“其他”。</t>
        </is>
      </c>
      <c r="J10" s="7" t="inlineStr">
        <is>
          <t>北京久其软件股份有限公司2025年年度报告全文</t>
        </is>
      </c>
      <c r="K10" s="7" t="inlineStr">
        <is>
          <t>2026-04-25</t>
        </is>
      </c>
      <c r="L10" s="8" t="inlineStr">
        <is>
          <t>iFinD ifind_get_stock_info (as of 2026-10-27)；北京久其软件股份有限公司2025年年度报告全文</t>
        </is>
      </c>
      <c r="M10" s="9" t="inlineStr">
        <is>
          <t>https://static.cninfo.com.cn/finalpage/2026-04-25/1225189930.PDF</t>
        </is>
      </c>
    </row>
    <row r="11" ht="92" customHeight="1">
      <c r="B11" s="4" t="inlineStr">
        <is>
          <t>002362</t>
        </is>
      </c>
      <c r="C11" s="4" t="inlineStr">
        <is>
          <t>汉王科技</t>
        </is>
      </c>
      <c r="D11" s="5" t="inlineStr">
        <is>
          <t>网络安全：AI监管-内容标识</t>
        </is>
      </c>
      <c r="E11" s="4" t="inlineStr">
        <is>
          <t>摘除</t>
        </is>
      </c>
      <c r="F11" s="4" t="inlineStr">
        <is>
          <t>—</t>
        </is>
      </c>
      <c r="G11" s="5" t="inlineStr">
        <is>
          <t>—</t>
        </is>
      </c>
      <c r="H11" s="4" t="inlineStr">
        <is>
          <t>摘除</t>
        </is>
      </c>
      <c r="I11" s="5" t="inlineStr">
        <is>
          <t>公司以模式识别和智能交互为基础，2025年收入主要来自笔智能交互、AI终端和多模态大数据，应用包括数字绘画、无纸化签批、智慧司法及数字人文。年报及现有主营资料未证明AI生成内容标识、深度伪造检测或内容安全审核已形成对外销售产品，更无对应客户、项目或收入；电子签名、OCR、档案数字化及商用密码经营范围也不能替代实际网安业务证据。因此原“AI监管-内容标识”属于技术印象延伸，予以摘除。</t>
        </is>
      </c>
      <c r="J11" s="4" t="inlineStr">
        <is>
          <t>汉王科技股份有限公司2025年年度报告全文</t>
        </is>
      </c>
      <c r="K11" s="4" t="inlineStr">
        <is>
          <t>2026-03-28</t>
        </is>
      </c>
      <c r="L11" s="5" t="inlineStr">
        <is>
          <t>iFinD ifind_get_stock_info (as of 2026-10-27)；汉王科技股份有限公司2025年年度报告全文</t>
        </is>
      </c>
      <c r="M11" s="6" t="inlineStr">
        <is>
          <t>http://static.cninfo.com.cn/finalpage/2026-03-28/1225045555.PDF</t>
        </is>
      </c>
    </row>
    <row r="12" ht="92" customHeight="1">
      <c r="B12" s="7" t="inlineStr">
        <is>
          <t>002439</t>
        </is>
      </c>
      <c r="C12" s="7" t="inlineStr">
        <is>
          <t>启明星辰</t>
        </is>
      </c>
      <c r="D12" s="8" t="inlineStr">
        <is>
          <t>网络安全：国家队</t>
        </is>
      </c>
      <c r="E12" s="7" t="inlineStr">
        <is>
          <t>纠错</t>
        </is>
      </c>
      <c r="F12" s="7" t="inlineStr">
        <is>
          <t>网络安全</t>
        </is>
      </c>
      <c r="G12" s="8" t="inlineStr">
        <is>
          <t>安全运营与托管服务、防火墙与零信任、数据安全</t>
        </is>
      </c>
      <c r="H12" s="7" t="inlineStr">
        <is>
          <t>核心</t>
        </is>
      </c>
      <c r="I12" s="8" t="inlineStr">
        <is>
          <t>公司安全产品和安全运营与托管服务两条主线覆盖安全网关、IDS/IPS、日志审计、零信任、数据安全和托管安全。2025年信息网络安全收入23.17亿元，占营收99.10%，其中安全产品12.67亿元、安全运营与服务10.50亿元；专线卫士已服务超过7.2万家政企客户，数据安全和密评密改亦有项目落地。核心判断依据是主营收入及规模化客户，而非中国移动控股背景，故将“国家队”纠正为具体产品与运营标签。</t>
        </is>
      </c>
      <c r="J12" s="7" t="inlineStr">
        <is>
          <t>启明星辰：2025年年度报告</t>
        </is>
      </c>
      <c r="K12" s="7" t="inlineStr">
        <is>
          <t>2026-04-13</t>
        </is>
      </c>
      <c r="L12" s="8" t="inlineStr">
        <is>
          <t>iFinD ifind_get_stock_info (as of 2026-10-27)；启明星辰：2025年年度报告</t>
        </is>
      </c>
      <c r="M12" s="9" t="inlineStr">
        <is>
          <t>https://money.finance.sina.com.cn/corp/view/vCB_AllBulletinDetail.php?stockid=002439&amp;id=12082100</t>
        </is>
      </c>
    </row>
    <row r="13" ht="92" customHeight="1">
      <c r="B13" s="4" t="inlineStr">
        <is>
          <t>002912</t>
        </is>
      </c>
      <c r="C13" s="4" t="inlineStr">
        <is>
          <t>中新赛克</t>
        </is>
      </c>
      <c r="D13" s="5" t="inlineStr">
        <is>
          <t>网络安全：网安细分-网络可视化</t>
        </is>
      </c>
      <c r="E13" s="4" t="inlineStr">
        <is>
          <t>纠错</t>
        </is>
      </c>
      <c r="F13" s="4" t="inlineStr">
        <is>
          <t>网络安全</t>
        </is>
      </c>
      <c r="G13" s="5" t="inlineStr">
        <is>
          <t>网络可视化、网络内容安全、数据安全</t>
        </is>
      </c>
      <c r="H13" s="4" t="inlineStr">
        <is>
          <t>核心</t>
        </is>
      </c>
      <c r="I13" s="5" t="inlineStr">
        <is>
          <t>公司宽带网和移动网产品直接提取、解析网络流量，构成网络可视化基础架构；网络内容安全和数据与网络安全产品则面向政府、运营商及海外客户交付。2025年网络内容安全收入1.95亿元，占25.94%，数据与网络安全收入0.16亿元，网络可视化基础架构仍是主要收入来源，相关产品合计已构成明确主营和重要收入，不应再仅定相关。故升级为核心，并保留网络可视化、补充网络内容安全及数据安全三个具体方向。</t>
        </is>
      </c>
      <c r="J13" s="4" t="inlineStr">
        <is>
          <t>中新赛克：2025年年度报告</t>
        </is>
      </c>
      <c r="K13" s="4" t="inlineStr">
        <is>
          <t>2026-03-18</t>
        </is>
      </c>
      <c r="L13" s="5" t="inlineStr">
        <is>
          <t>iFinD ifind_get_stock_info (as of 2026-10-27)；中新赛克：2025年年度报告</t>
        </is>
      </c>
      <c r="M13" s="6" t="inlineStr">
        <is>
          <t>https://money.finance.sina.com.cn/corp/view/vCB_AllBulletinDetail.php?stockid=002912&amp;id=12001026</t>
        </is>
      </c>
    </row>
    <row r="14" ht="92" customHeight="1">
      <c r="B14" s="7" t="inlineStr">
        <is>
          <t>003029</t>
        </is>
      </c>
      <c r="C14" s="7" t="inlineStr">
        <is>
          <t>吉大正元</t>
        </is>
      </c>
      <c r="D14" s="8" t="inlineStr">
        <is>
          <t>网络安全：抗量子密码</t>
        </is>
      </c>
      <c r="E14" s="7" t="inlineStr">
        <is>
          <t>纠错</t>
        </is>
      </c>
      <c r="F14" s="7" t="inlineStr">
        <is>
          <t>网络安全</t>
        </is>
      </c>
      <c r="G14" s="8" t="inlineStr">
        <is>
          <t>密码与身份认证、抗量子密码</t>
        </is>
      </c>
      <c r="H14" s="7" t="inlineStr">
        <is>
          <t>核心</t>
        </is>
      </c>
      <c r="I14" s="8" t="inlineStr">
        <is>
          <t>公司以密码技术为核心，主营PKI、数字证书、签名、身份认证、安全网关及网络安全服务，并通过子公司实际开展电子认证服务。2025年上半年全部收入均归入信息安全行业，网络安全产品、生态和服务分别占53.97%、9.83%和36.19%，商业化主营属性明确；同时将传统密码、量子密码与抗量子密码能力整合，抗量子属于真实技术布局但不能替代其PKI主业标签。因此维持核心，将单一抗量子标签纠正为密码与身份认证并保留抗量子密码。</t>
        </is>
      </c>
      <c r="J14" s="7" t="inlineStr">
        <is>
          <t>吉大正元：2025年半年度报告</t>
        </is>
      </c>
      <c r="K14" s="7" t="inlineStr">
        <is>
          <t>2025-08-28</t>
        </is>
      </c>
      <c r="L14" s="8" t="inlineStr">
        <is>
          <t>iFinD ifind_get_stock_info (as of 2026-10-27)；吉大正元：2025年半年度报告</t>
        </is>
      </c>
      <c r="M14" s="9" t="inlineStr">
        <is>
          <t>http://vip.stock.finance.sina.com.cn/corp/view/vCB_AllBulletinDetail.php?stockid=003029&amp;id=11384651</t>
        </is>
      </c>
    </row>
    <row r="15" ht="92" customHeight="1">
      <c r="B15" s="4" t="inlineStr">
        <is>
          <t>300017</t>
        </is>
      </c>
      <c r="C15" s="4" t="inlineStr">
        <is>
          <t>网宿科技</t>
        </is>
      </c>
      <c r="D15" s="5" t="inlineStr">
        <is>
          <t>网络安全：网安细分-云安全CDN</t>
        </is>
      </c>
      <c r="E15" s="4" t="inlineStr">
        <is>
          <t>纠错</t>
        </is>
      </c>
      <c r="F15" s="4" t="inlineStr">
        <is>
          <t>网络安全</t>
        </is>
      </c>
      <c r="G15" s="5" t="inlineStr">
        <is>
          <t>云安全与CDN、零信任与SASE</t>
        </is>
      </c>
      <c r="H15" s="4" t="inlineStr">
        <is>
          <t>核心</t>
        </is>
      </c>
      <c r="I15" s="5" t="inlineStr">
        <is>
          <t>公司以CDN及边缘计算为基本盘，同时实际提供WAAP、DDoS防护、Web及API安全、零信任、SASE和SD-WAN等产品，依托全球节点以直销和订阅方式收费，不是给普通CDN简单贴安全标签。2025年安全及增值服务收入13.80亿元，同比增长18.65%，占营收29.61%，公司亦将安全列为核心业务之一，已达到重要收入和规模化产品标准。故由相关升级为核心，将旧称规范为云安全与CDN、零信任与SASE。</t>
        </is>
      </c>
      <c r="J15" s="4" t="inlineStr">
        <is>
          <t>网宿科技股份有限公司2025年年度报告全文</t>
        </is>
      </c>
      <c r="K15" s="4" t="inlineStr">
        <is>
          <t>2026-04-15</t>
        </is>
      </c>
      <c r="L15" s="5" t="inlineStr">
        <is>
          <t>iFinD ifind_get_stock_info (as of 2026-10-27)；网宿科技股份有限公司2025年年度报告全文</t>
        </is>
      </c>
      <c r="M15" s="6" t="inlineStr">
        <is>
          <t>https://static.cninfo.com.cn/finalpage/2026-04-15/1225101555.PDF</t>
        </is>
      </c>
    </row>
    <row r="16" ht="92" customHeight="1">
      <c r="B16" s="7" t="inlineStr">
        <is>
          <t>300079</t>
        </is>
      </c>
      <c r="C16" s="7" t="inlineStr">
        <is>
          <t>数码视讯</t>
        </is>
      </c>
      <c r="D16" s="8" t="inlineStr">
        <is>
          <t>网络安全：AI监管-AI鉴伪</t>
        </is>
      </c>
      <c r="E16" s="7" t="inlineStr">
        <is>
          <t>纠错</t>
        </is>
      </c>
      <c r="F16" s="7" t="inlineStr">
        <is>
          <t>网络安全</t>
        </is>
      </c>
      <c r="G16" s="8" t="inlineStr">
        <is>
          <t>内容安全与AI鉴伪、数字版权保护与数字水印</t>
        </is>
      </c>
      <c r="H16" s="7" t="inlineStr">
        <is>
          <t>相关</t>
        </is>
      </c>
      <c r="I16" s="8" t="inlineStr">
        <is>
          <t>公司主体仍是视频技术、广电设备、应急广播和通信服务，但公共安全产品已形成内容版权标识、DRM加密、数字水印、版权监测、电子证据采集及音视频AI鉴伪标识系统，能够直接服务内容安全和传播溯源。2025年报披露DRM及条件接收系统已在数十个电信、广电运营商落地，证明并非仅有研发预期；AI鉴伪为新增产品且未单列收入，整体安全业务占比也未充分披露，因此维持相关，并细分AI鉴伪与数字版权水印标签。</t>
        </is>
      </c>
      <c r="J16" s="7" t="inlineStr">
        <is>
          <t>数码视讯：2025年年度报告</t>
        </is>
      </c>
      <c r="K16" s="7" t="inlineStr">
        <is>
          <t>2026-04-17</t>
        </is>
      </c>
      <c r="L16" s="8" t="inlineStr">
        <is>
          <t>iFinD ifind_get_stock_info (as of 2026-10-27)；数码视讯：2025年年度报告</t>
        </is>
      </c>
      <c r="M16" s="9" t="inlineStr">
        <is>
          <t>http://money.finance.sina.com.cn/corp/view/vCB_AllBulletinDetail.php?stockid=300079&amp;id=12100785</t>
        </is>
      </c>
    </row>
    <row r="17" ht="92" customHeight="1">
      <c r="B17" s="4" t="inlineStr">
        <is>
          <t>300188</t>
        </is>
      </c>
      <c r="C17" s="4" t="inlineStr">
        <is>
          <t>国投智能</t>
        </is>
      </c>
      <c r="D17" s="5" t="inlineStr">
        <is>
          <t>网络安全：国家队</t>
        </is>
      </c>
      <c r="E17" s="4" t="inlineStr">
        <is>
          <t>纠错</t>
        </is>
      </c>
      <c r="F17" s="4" t="inlineStr">
        <is>
          <t>网络安全</t>
        </is>
      </c>
      <c r="G17" s="5" t="inlineStr">
        <is>
          <t>电子数据取证、网络空间安全</t>
        </is>
      </c>
      <c r="H17" s="4" t="inlineStr">
        <is>
          <t>核心</t>
        </is>
      </c>
      <c r="I17" s="5" t="inlineStr">
        <is>
          <t>公司电子数据取证和网络信息安全产品是明确主营，手机取证大师、计算机取证大师、取证云及新网络空间安全产品均有销售、交付和订单转化，不是依靠国投背景归类。2025年电子数据取证收入5.48亿元，占38.80%；新网络空间安全收入1.18亿元，占8.37%，另有公共安全大数据业务支撑司法与执法场景，核心产品及收入证据充分。因此维持核心，将泛化“国家队”纠正为电子数据取证和网络空间安全两个真实业务标签。</t>
        </is>
      </c>
      <c r="J17" s="4" t="inlineStr">
        <is>
          <t>国投智能：2025年年度报告</t>
        </is>
      </c>
      <c r="K17" s="4" t="inlineStr">
        <is>
          <t>2026-04-18</t>
        </is>
      </c>
      <c r="L17" s="5" t="inlineStr">
        <is>
          <t>iFinD ifind_get_stock_info (as of 2026-10-27)；国投智能：2025年年度报告</t>
        </is>
      </c>
      <c r="M17" s="6" t="inlineStr">
        <is>
          <t>https://money.finance.sina.com.cn/corp/view/vCB_AllBulletinDetail.php?stockid=300188&amp;id=12112119</t>
        </is>
      </c>
    </row>
    <row r="18" ht="92" customHeight="1">
      <c r="B18" s="7" t="inlineStr">
        <is>
          <t>300229</t>
        </is>
      </c>
      <c r="C18" s="7" t="inlineStr">
        <is>
          <t>拓尔思</t>
        </is>
      </c>
      <c r="D18" s="8" t="inlineStr">
        <is>
          <t>网络安全：AI监管-内容审核</t>
        </is>
      </c>
      <c r="E18" s="7" t="inlineStr">
        <is>
          <t>纠错</t>
        </is>
      </c>
      <c r="F18" s="7" t="inlineStr">
        <is>
          <t>网络安全</t>
        </is>
      </c>
      <c r="G18" s="8" t="inlineStr">
        <is>
          <t>数据安全、安全隔离与数据交换</t>
        </is>
      </c>
      <c r="H18" s="7" t="inlineStr">
        <is>
          <t>核心</t>
        </is>
      </c>
      <c r="I18" s="8" t="inlineStr">
        <is>
          <t>公司虽以人工智能和大数据软件为更大业务板块，但全资子公司天行网安实际销售安全隔离网闸、单向光闸、安全数据与视频交换、边界监管及隐私计算产品，直接对应数据安全和跨域边界防护。2025年安全产品收入0.94亿元，占营收18.32%，同比增长26.97%；天行网安营业收入1.15亿元，已形成重要收入而非概念性布局，按统一标准应定核心。原内容审核表述过窄，改标数据安全、安全隔离与数据交换。</t>
        </is>
      </c>
      <c r="J18" s="7" t="inlineStr">
        <is>
          <t>拓尔思：2025年年度报告</t>
        </is>
      </c>
      <c r="K18" s="7" t="inlineStr">
        <is>
          <t>2026-04-15</t>
        </is>
      </c>
      <c r="L18" s="8" t="inlineStr">
        <is>
          <t>iFinD ifind_get_stock_info (as of 2026-10-27)；拓尔思：2025年年度报告</t>
        </is>
      </c>
      <c r="M18" s="9" t="inlineStr">
        <is>
          <t>https://vip.stock.finance.sina.com.cn/corp/view/vCB_AllBulletinDetail.php?stockid=300229&amp;id=12089699</t>
        </is>
      </c>
    </row>
    <row r="19" ht="92" customHeight="1">
      <c r="B19" s="4" t="inlineStr">
        <is>
          <t>300311</t>
        </is>
      </c>
      <c r="C19" s="4" t="inlineStr">
        <is>
          <t>任子行</t>
        </is>
      </c>
      <c r="D19" s="5" t="inlineStr">
        <is>
          <t>网络安全：网安细分-网络审计</t>
        </is>
      </c>
      <c r="E19" s="4" t="inlineStr">
        <is>
          <t>纠错</t>
        </is>
      </c>
      <c r="F19" s="4" t="inlineStr">
        <is>
          <t>网络安全</t>
        </is>
      </c>
      <c r="G19" s="5" t="inlineStr">
        <is>
          <t>网络内容与行为审计、数据安全</t>
        </is>
      </c>
      <c r="H19" s="4" t="inlineStr">
        <is>
          <t>核心</t>
        </is>
      </c>
      <c r="I19" s="5" t="inlineStr">
        <is>
          <t>公司主营网络内容与行为审计、监管产品以及安全集成和安全审计服务，产品包括互联网管理综合应用、网络合规审计、威胁情报、反诈和数据分析平台，与网络安全及内容监管直接对应。2025年网络安全收入2.37亿元，占48.40%；网资管理收入2.48亿元，占50.75%，两项合计约99.15%，主营商业化程度充分，原相关评级偏低。故升级为核心，将“网络审计”细化为网络内容与行为审计，并保留已有实际产品和检测认证支撑的数据安全标签。</t>
        </is>
      </c>
      <c r="J19" s="4" t="inlineStr">
        <is>
          <t>任子行网络技术股份有限公司2025年年度报告全文</t>
        </is>
      </c>
      <c r="K19" s="4" t="inlineStr">
        <is>
          <t>2026-04-28</t>
        </is>
      </c>
      <c r="L19" s="5" t="inlineStr">
        <is>
          <t>iFinD ifind_get_stock_info (as of 2026-10-27)；任子行网络技术股份有限公司2025年年度报告全文</t>
        </is>
      </c>
      <c r="M19" s="6" t="inlineStr">
        <is>
          <t>http://file.finance.sina.com.cn/211.154.219.97:9494/MRGG/CNSESZ_STOCK/2026/2026-4/2026-04-28/12232475.PDF</t>
        </is>
      </c>
    </row>
    <row r="20" ht="92" customHeight="1">
      <c r="B20" s="7" t="inlineStr">
        <is>
          <t>300369</t>
        </is>
      </c>
      <c r="C20" s="7" t="inlineStr">
        <is>
          <t>绿盟科技</t>
        </is>
      </c>
      <c r="D20" s="8" t="inlineStr">
        <is>
          <t>网络安全：国家队</t>
        </is>
      </c>
      <c r="E20" s="7" t="inlineStr">
        <is>
          <t>纠错</t>
        </is>
      </c>
      <c r="F20" s="7" t="inlineStr">
        <is>
          <t>网络安全</t>
        </is>
      </c>
      <c r="G20" s="8" t="inlineStr">
        <is>
          <t>网络安全综合平台、AI安全</t>
        </is>
      </c>
      <c r="H20" s="7" t="inlineStr">
        <is>
          <t>核心</t>
        </is>
      </c>
      <c r="I20" s="8" t="inlineStr">
        <is>
          <t>iFinD主营明确为信息安全产品研发、生产、销售及专业安全服务，旧“国家队”只是股东印象，不能反映产品。2025年报显示公司具有入侵防御、抗DDoS、WAF、漏洞评估、安全运营等全线产品，并推出清风卫、大模型安全评估及应用防护系统；安全产品和安全服务收入分别约11.56亿元、9.97亿元，已是规模化主业，故改为综合平台与AI安全并维持核心。</t>
        </is>
      </c>
      <c r="J20" s="7" t="inlineStr">
        <is>
          <t>绿盟科技：2025年年度报告</t>
        </is>
      </c>
      <c r="K20" s="7" t="inlineStr">
        <is>
          <t>2026-04-23</t>
        </is>
      </c>
      <c r="L20" s="8" t="inlineStr">
        <is>
          <t>iFinD ifind_get_stock_info (as of 2026-10-27)；绿盟科技：2025年年度报告</t>
        </is>
      </c>
      <c r="M20" s="9" t="inlineStr">
        <is>
          <t>http://money.finance.sina.com.cn/corp/view/vCB_AllBulletinDetail.php?stockid=300369&amp;id=12154056</t>
        </is>
      </c>
    </row>
    <row r="21" ht="92" customHeight="1">
      <c r="B21" s="4" t="inlineStr">
        <is>
          <t>300449</t>
        </is>
      </c>
      <c r="C21" s="4" t="inlineStr">
        <is>
          <t>汉邦高科</t>
        </is>
      </c>
      <c r="D21" s="5" t="inlineStr">
        <is>
          <t>网络安全：AI监管-数字水印</t>
        </is>
      </c>
      <c r="E21" s="4" t="inlineStr">
        <is>
          <t>纠错</t>
        </is>
      </c>
      <c r="F21" s="4" t="inlineStr">
        <is>
          <t>网络安全</t>
        </is>
      </c>
      <c r="G21" s="5" t="inlineStr">
        <is>
          <t>数字水印与内容溯源</t>
        </is>
      </c>
      <c r="H21" s="4" t="inlineStr">
        <is>
          <t>相关</t>
        </is>
      </c>
      <c r="I21" s="5" t="inlineStr">
        <is>
          <t>iFinD及年报均表明公司主体仍是智算、传统安防和音视频业务，普通视频监控不能据此认定为网络安全；但公司确有自主数字水印技术体系及已完成的视音频溯源系统V1.0，用于版权保护、泄密溯源、内容认证和可信标识，并在广电、军工等场景有应用基础。2025年数字水印收入为零、上年也仅约7.08万元，商业化很弱，因此仅保留为相关并细化标签。</t>
        </is>
      </c>
      <c r="J21" s="4" t="inlineStr">
        <is>
          <t>北京汉邦高科数字技术股份有限公司2025年年度报告</t>
        </is>
      </c>
      <c r="K21" s="4" t="inlineStr">
        <is>
          <t>2026-04-28</t>
        </is>
      </c>
      <c r="L21" s="5" t="inlineStr">
        <is>
          <t>iFinD ifind_get_stock_info (as of 2026-10-27)；北京汉邦高科数字技术股份有限公司2025年年度报告</t>
        </is>
      </c>
      <c r="M21" s="6" t="inlineStr">
        <is>
          <t>http://static.cninfo.com.cn/finalpage/2026-04-28/1225207822.PDF</t>
        </is>
      </c>
    </row>
    <row r="22" ht="92" customHeight="1">
      <c r="B22" s="7" t="inlineStr">
        <is>
          <t>300454</t>
        </is>
      </c>
      <c r="C22" s="7" t="inlineStr">
        <is>
          <t>深信服</t>
        </is>
      </c>
      <c r="D22" s="8" t="inlineStr">
        <is>
          <t>网络安全：国家队</t>
        </is>
      </c>
      <c r="E22" s="7" t="inlineStr">
        <is>
          <t>纠错</t>
        </is>
      </c>
      <c r="F22" s="7" t="inlineStr">
        <is>
          <t>网络安全</t>
        </is>
      </c>
      <c r="G22" s="8" t="inlineStr">
        <is>
          <t>网络安全综合平台、云安全与SASE</t>
        </is>
      </c>
      <c r="H22" s="7" t="inlineStr">
        <is>
          <t>核心</t>
        </is>
      </c>
      <c r="I22" s="8" t="inlineStr">
        <is>
          <t>iFinD主营和年报均显示公司直接提供下一代防火墙、VPN、零信任、XDR、NDR、MSS、数据安全及SASE等产品服务，旧“国家队”与公司实际控制权和产品定位均不符。2025年网络安全业务收入35.40亿元，占营业收入44.01%，同时安全GPT、大模型护栏及一体化办公安全已经正式发布并面向政企客户交付，属于重要收入与规模化核心产品，故按实际业务纠错并保留核心。</t>
        </is>
      </c>
      <c r="J22" s="7" t="inlineStr">
        <is>
          <t>深信服：2025年年度报告</t>
        </is>
      </c>
      <c r="K22" s="7" t="inlineStr">
        <is>
          <t>2026-04-01</t>
        </is>
      </c>
      <c r="L22" s="8" t="inlineStr">
        <is>
          <t>iFinD ifind_get_stock_info (as of 2026-10-27)；深信服：2025年年度报告</t>
        </is>
      </c>
      <c r="M22" s="9" t="inlineStr">
        <is>
          <t>https://money.finance.sina.com.cn/corp/view/vCB_AllBulletinDetail.php?stockid=300454&amp;id=12052056</t>
        </is>
      </c>
    </row>
    <row r="23" ht="92" customHeight="1">
      <c r="B23" s="4" t="inlineStr">
        <is>
          <t>300551</t>
        </is>
      </c>
      <c r="C23" s="4" t="inlineStr">
        <is>
          <t>古鳌科技</t>
        </is>
      </c>
      <c r="D23" s="5" t="inlineStr">
        <is>
          <t>网络安全：AI监管-AI鉴伪</t>
        </is>
      </c>
      <c r="E23" s="4" t="inlineStr">
        <is>
          <t>摘除</t>
        </is>
      </c>
      <c r="F23" s="4" t="inlineStr">
        <is>
          <t>—</t>
        </is>
      </c>
      <c r="G23" s="5" t="inlineStr">
        <is>
          <t>—</t>
        </is>
      </c>
      <c r="H23" s="4" t="inlineStr">
        <is>
          <t>摘除</t>
        </is>
      </c>
      <c r="I23" s="5" t="inlineStr">
        <is>
          <t>iFinD主营为金融设备研发、生产、销售与服务，2025年报进一步列示金融机具设备及服务收入占比90.06%，所谓“鉴伪”主要是点验钞机、清分机利用图像、荧光、磁性、红外等技术识别纸币真伪，并非AIGC内容鉴伪、数据安全或网络防护。印鉴卡授权管理、档案柜防调包也只是金融实物设备功能，未找到可商业化的网络安全产品、客户或项目，因此摘除旧AI鉴伪标签。</t>
        </is>
      </c>
      <c r="J23" s="4" t="inlineStr">
        <is>
          <t>上海古鳌电子科技股份有限公司2025年年度报告</t>
        </is>
      </c>
      <c r="K23" s="4" t="inlineStr">
        <is>
          <t>2026-04-28</t>
        </is>
      </c>
      <c r="L23" s="5" t="inlineStr">
        <is>
          <t>iFinD ifind_get_stock_info (as of 2026-10-27)；上海古鳌电子科技股份有限公司2025年年度报告</t>
        </is>
      </c>
      <c r="M23" s="6" t="inlineStr">
        <is>
          <t>https://static.cninfo.com.cn/finalpage/2026-04-28/1225223150.PDF</t>
        </is>
      </c>
    </row>
    <row r="24" ht="92" customHeight="1">
      <c r="B24" s="7" t="inlineStr">
        <is>
          <t>300579</t>
        </is>
      </c>
      <c r="C24" s="7" t="inlineStr">
        <is>
          <t>数字认证</t>
        </is>
      </c>
      <c r="D24" s="8" t="inlineStr">
        <is>
          <t>网络安全：国家队</t>
        </is>
      </c>
      <c r="E24" s="7" t="inlineStr">
        <is>
          <t>纠错</t>
        </is>
      </c>
      <c r="F24" s="7" t="inlineStr">
        <is>
          <t>网络安全</t>
        </is>
      </c>
      <c r="G24" s="8" t="inlineStr">
        <is>
          <t>身份认证与电子签名</t>
        </is>
      </c>
      <c r="H24" s="7" t="inlineStr">
        <is>
          <t>核心</t>
        </is>
      </c>
      <c r="I24" s="8" t="inlineStr">
        <is>
          <t>iFinD将主营列为电子认证服务、网络安全产品、集成和服务，旧“国家队”仅反映国资背景，应改为实际产品标签。公司以密码技术提供数字证书、可靠电子签名、电子合同、证据保全以及身份认证、加密和数据安全产品，2025年电子认证、网络安全产品、集成和服务收入分别约2.05亿元、2.51亿元、1.08亿元和2.75亿元，四类业务均直接构成网络安全主业，商业化充分，维持核心。</t>
        </is>
      </c>
      <c r="J24" s="7" t="inlineStr">
        <is>
          <t>数字认证：2025年年度报告摘要</t>
        </is>
      </c>
      <c r="K24" s="7" t="inlineStr">
        <is>
          <t>2026-03-31</t>
        </is>
      </c>
      <c r="L24" s="8" t="inlineStr">
        <is>
          <t>iFinD ifind_get_stock_info (as of 2026-10-27)；数字认证：2025年年度报告摘要</t>
        </is>
      </c>
      <c r="M24" s="9" t="inlineStr">
        <is>
          <t>http://money.finance.sina.com.cn/corp/view/vCB_AllBulletinDetail.php?stockid=300579&amp;id=12039448</t>
        </is>
      </c>
    </row>
    <row r="25" ht="92" customHeight="1">
      <c r="B25" s="4" t="inlineStr">
        <is>
          <t>300659</t>
        </is>
      </c>
      <c r="C25" s="4" t="inlineStr">
        <is>
          <t>中孚信息</t>
        </is>
      </c>
      <c r="D25" s="5" t="inlineStr">
        <is>
          <t>网络安全：其他</t>
        </is>
      </c>
      <c r="E25" s="4" t="inlineStr">
        <is>
          <t>纠错</t>
        </is>
      </c>
      <c r="F25" s="4" t="inlineStr">
        <is>
          <t>网络安全</t>
        </is>
      </c>
      <c r="G25" s="5" t="inlineStr">
        <is>
          <t>保密安全、数据安全</t>
        </is>
      </c>
      <c r="H25" s="4" t="inlineStr">
        <is>
          <t>核心</t>
        </is>
      </c>
      <c r="I25" s="5" t="inlineStr">
        <is>
          <t>iFinD及2025年报均明确公司主营信息安全产品研发生产销售和安全服务，旧“其他”过于泛化。公司围绕保密安全、数据安全形成主机与网络安全、数据安全、安全监管、检查检测、密码应用五条产品线，具体包括终端保密检查、数据安全交换、网络隔离单向导入、敏感内容监测和电磁空间检测等，已面向数万家党政、央国企及特殊行业用户交付并取得多项专用产品认证，属于规模化核心主业。</t>
        </is>
      </c>
      <c r="J25" s="4" t="inlineStr">
        <is>
          <t>中孚信息：2025年年度报告</t>
        </is>
      </c>
      <c r="K25" s="4" t="inlineStr">
        <is>
          <t>2026-03-31</t>
        </is>
      </c>
      <c r="L25" s="5" t="inlineStr">
        <is>
          <t>iFinD ifind_get_stock_info (as of 2026-10-27)；中孚信息：2025年年度报告</t>
        </is>
      </c>
      <c r="M25" s="6" t="inlineStr">
        <is>
          <t>http://money.finance.sina.com.cn/corp/view/vCB_AllBulletinDetail.php?stockid=300659&amp;id=12039312</t>
        </is>
      </c>
    </row>
    <row r="26" ht="92" customHeight="1">
      <c r="B26" s="7" t="inlineStr">
        <is>
          <t>300768</t>
        </is>
      </c>
      <c r="C26" s="7" t="inlineStr">
        <is>
          <t>迪普科技</t>
        </is>
      </c>
      <c r="D26" s="8" t="inlineStr">
        <is>
          <t>网络安全：其他</t>
        </is>
      </c>
      <c r="E26" s="7" t="inlineStr">
        <is>
          <t>纠错</t>
        </is>
      </c>
      <c r="F26" s="7" t="inlineStr">
        <is>
          <t>网络安全</t>
        </is>
      </c>
      <c r="G26" s="8" t="inlineStr">
        <is>
          <t>网络设备与安全</t>
        </is>
      </c>
      <c r="H26" s="7" t="inlineStr">
        <is>
          <t>核心</t>
        </is>
      </c>
      <c r="I26" s="8" t="inlineStr">
        <is>
          <t>iFinD主营为网络安全及应用交付，旧“其他”不能体现防火墙、入侵防御、抗DDoS、WAF和漏洞扫描等真实产品。2025年报显示网络安全产品收入7.01亿元，占营收57.58%，安全服务及其他服务另占9.29%；产品已在三大运营商核心节点规模应用，在电力行业在网设备超过六万台，并进入多家银行采购框架。其应用交付虽含通用网络属性，但安全业务本身已构成重要收入和规模化核心产品，故提升为核心。</t>
        </is>
      </c>
      <c r="J26" s="7" t="inlineStr">
        <is>
          <t>迪普科技：2025年年度报告</t>
        </is>
      </c>
      <c r="K26" s="7" t="inlineStr">
        <is>
          <t>2026-04-14</t>
        </is>
      </c>
      <c r="L26" s="8" t="inlineStr">
        <is>
          <t>iFinD ifind_get_stock_info (as of 2026-10-27)；迪普科技：2025年年度报告</t>
        </is>
      </c>
      <c r="M26" s="9" t="inlineStr">
        <is>
          <t>http://money.finance.sina.com.cn/corp/view/vCB_AllBulletinDetail.php?stockid=300768&amp;id=12084823</t>
        </is>
      </c>
    </row>
    <row r="27" ht="92" customHeight="1">
      <c r="B27" s="4" t="inlineStr">
        <is>
          <t>300895</t>
        </is>
      </c>
      <c r="C27" s="4" t="inlineStr">
        <is>
          <t>铜牛信息</t>
        </is>
      </c>
      <c r="D27" s="5" t="inlineStr">
        <is>
          <t>网络安全：网安细分-IDC安全</t>
        </is>
      </c>
      <c r="E27" s="4" t="inlineStr">
        <is>
          <t>纠错</t>
        </is>
      </c>
      <c r="F27" s="4" t="inlineStr">
        <is>
          <t>网络安全</t>
        </is>
      </c>
      <c r="G27" s="5" t="inlineStr">
        <is>
          <t>安全运营与应急响应</t>
        </is>
      </c>
      <c r="H27" s="4" t="inlineStr">
        <is>
          <t>相关</t>
        </is>
      </c>
      <c r="I27" s="5" t="inlineStr">
        <is>
          <t>iFinD和年报显示上市公司主体仍是IDC、云服务、接入及系统集成，IDC等保备案或托管客户数据不能直接等同“IDC安全”。但公司控股51%的铜牛奇安专门提供企业安全运营托管、驻场、应急响应和安全集成，已向奔驰、捷豹路虎、中国移动设计院、中邮证券等客户提供服务，属于真实并表业务。因母公司收入分类仍以IDC为主且未单列网安收入，改为安全运营标签并定相关。</t>
        </is>
      </c>
      <c r="J27" s="4" t="inlineStr">
        <is>
          <t>铜牛信息：2025年年度报告</t>
        </is>
      </c>
      <c r="K27" s="4" t="inlineStr">
        <is>
          <t>2026-04-23</t>
        </is>
      </c>
      <c r="L27" s="5" t="inlineStr">
        <is>
          <t>iFinD ifind_get_stock_info (as of 2026-10-27)；铜牛信息：2025年年度报告</t>
        </is>
      </c>
      <c r="M27" s="6" t="inlineStr">
        <is>
          <t>https://money.finance.sina.com.cn/corp/view/vCB_AllBulletinDetail.php?stockid=300895&amp;id=12153341</t>
        </is>
      </c>
    </row>
    <row r="28" ht="92" customHeight="1">
      <c r="B28" s="7" t="inlineStr">
        <is>
          <t>300921</t>
        </is>
      </c>
      <c r="C28" s="7" t="inlineStr">
        <is>
          <t>南凌科技</t>
        </is>
      </c>
      <c r="D28" s="8" t="inlineStr">
        <is>
          <t>网络安全：其他</t>
        </is>
      </c>
      <c r="E28" s="7" t="inlineStr">
        <is>
          <t>纠错</t>
        </is>
      </c>
      <c r="F28" s="7" t="inlineStr">
        <is>
          <t>网络安全</t>
        </is>
      </c>
      <c r="G28" s="8" t="inlineStr">
        <is>
          <t>云安全与SASE、安全托管与MDR</t>
        </is>
      </c>
      <c r="H28" s="7" t="inlineStr">
        <is>
          <t>相关</t>
        </is>
      </c>
      <c r="I28" s="8" t="inlineStr">
        <is>
          <t>iFinD主营是增值电信和信息系统集成，旧“其他”需按自研安全能力细化，也不能把普通IP-VPN全部视为网安。公司凌云SASE基于自研SD-WAN融合云原生防火墙、入侵检测、加密和零信任接入，凌云MDR以订阅方式提供监测、研判、溯源和远程处置，并已在金融、新能源、制造等行业服务客户。2025年凌云服务收入1.46亿元、占总营收约26.4%，但还包含云连接和边缘计算，安全收入未单独拆分，因此定相关。</t>
        </is>
      </c>
      <c r="J28" s="7" t="inlineStr">
        <is>
          <t>南凌科技：2025年年度报告</t>
        </is>
      </c>
      <c r="K28" s="7" t="inlineStr">
        <is>
          <t>2026-04-28</t>
        </is>
      </c>
      <c r="L28" s="8" t="inlineStr">
        <is>
          <t>iFinD ifind_get_stock_info (as of 2026-10-27)；南凌科技：2025年年度报告</t>
        </is>
      </c>
      <c r="M28" s="9" t="inlineStr">
        <is>
          <t>https://money.finance.sina.com.cn/corp/view/vCB_AllBulletinDetail.php?stockid=300921&amp;id=12225560</t>
        </is>
      </c>
    </row>
    <row r="29" ht="92" customHeight="1">
      <c r="B29" s="4" t="inlineStr">
        <is>
          <t>600654</t>
        </is>
      </c>
      <c r="C29" s="4" t="inlineStr">
        <is>
          <t>中安科</t>
        </is>
      </c>
      <c r="D29" s="5" t="inlineStr">
        <is>
          <t>网络安全：其他</t>
        </is>
      </c>
      <c r="E29" s="4" t="inlineStr">
        <is>
          <t>纠错</t>
        </is>
      </c>
      <c r="F29" s="4" t="inlineStr">
        <is>
          <t>网络安全</t>
        </is>
      </c>
      <c r="G29" s="5" t="inlineStr">
        <is>
          <t>网络安全集成与运维</t>
        </is>
      </c>
      <c r="H29" s="4" t="inlineStr">
        <is>
          <t>相关</t>
        </is>
      </c>
      <c r="I29" s="5" t="inlineStr">
        <is>
          <t>iFinD显示公司收入主体为安保运营、安保系统集成和智能产品制造，武装押运、门禁、视频监控等普通安防不属于网络安全，旧“其他”也应具体化。不过2025年报单独描述网络信息安全业务，实际包括涉密及信创项目的咨询、实施、信息运维和专业软件开发，说明并非完全没有网安交付。由于该业务混入安保系统集成口径，未披露独立网安收入、产品占比或规模化核心产品，故仅按网络安全集成与运维定为相关。</t>
        </is>
      </c>
      <c r="J29" s="4" t="inlineStr">
        <is>
          <t>中安科股份有限公司2025年年度报告</t>
        </is>
      </c>
      <c r="K29" s="4" t="inlineStr">
        <is>
          <t>2026-04-17</t>
        </is>
      </c>
      <c r="L29" s="5" t="inlineStr">
        <is>
          <t>iFinD ifind_get_stock_info (as of 2026-10-27)；中安科股份有限公司2025年年度报告</t>
        </is>
      </c>
      <c r="M29" s="6" t="inlineStr">
        <is>
          <t>https://static.cninfo.com.cn/finalpage/2026-04-17/1225112414.PDF</t>
        </is>
      </c>
    </row>
    <row r="30" ht="92" customHeight="1">
      <c r="B30" s="7" t="inlineStr">
        <is>
          <t>600728</t>
        </is>
      </c>
      <c r="C30" s="7" t="inlineStr">
        <is>
          <t>佳都科技</t>
        </is>
      </c>
      <c r="D30" s="8" t="inlineStr">
        <is>
          <t>网络安全：AI监管-内容标识</t>
        </is>
      </c>
      <c r="E30" s="7" t="inlineStr">
        <is>
          <t>摘除</t>
        </is>
      </c>
      <c r="F30" s="7" t="inlineStr">
        <is>
          <t>—</t>
        </is>
      </c>
      <c r="G30" s="8" t="inlineStr">
        <is>
          <t>—</t>
        </is>
      </c>
      <c r="H30" s="7" t="inlineStr">
        <is>
          <t>摘除</t>
        </is>
      </c>
      <c r="I30" s="8" t="inlineStr">
        <is>
          <t>iFinD及2025年报显示公司主营企业数智化、智慧轨道交通和城市交通管理，核心产品为交通佳鸿操作系统、知行交通大模型、信号控制及轨交综合监控等，未找到AIGC内容标识、内容溯源或鉴伪产品及对应客户项目。企业数智化业务虽渠道集成网络、安全、安防产品并拓展360数字安全等合作厂商，但属于通用ICT分销集成，不等于自身网络安全主营；内部数据安全治理也不能作为对外产品证据，故摘除旧内容标识标签。</t>
        </is>
      </c>
      <c r="J30" s="7" t="inlineStr">
        <is>
          <t>佳都科技：2025年年度报告</t>
        </is>
      </c>
      <c r="K30" s="7" t="inlineStr">
        <is>
          <t>2026-04-10</t>
        </is>
      </c>
      <c r="L30" s="8" t="inlineStr">
        <is>
          <t>iFinD ifind_get_stock_info (as of 2026-10-27)；佳都科技：2025年年度报告</t>
        </is>
      </c>
      <c r="M30" s="9" t="inlineStr">
        <is>
          <t>https://money.finance.sina.com.cn/corp/view/vCB_AllBulletinDetail.php?stockid=600728&amp;id=12074772</t>
        </is>
      </c>
    </row>
    <row r="31" ht="92" customHeight="1">
      <c r="B31" s="4" t="inlineStr">
        <is>
          <t>600736</t>
        </is>
      </c>
      <c r="C31" s="4" t="inlineStr">
        <is>
          <t>苏州高新</t>
        </is>
      </c>
      <c r="D31" s="5" t="inlineStr">
        <is>
          <t>网络安全：AI监管-内容审核</t>
        </is>
      </c>
      <c r="E31" s="4" t="inlineStr">
        <is>
          <t>摘除</t>
        </is>
      </c>
      <c r="F31" s="4" t="inlineStr">
        <is>
          <t>—</t>
        </is>
      </c>
      <c r="G31" s="5" t="inlineStr">
        <is>
          <t>—</t>
        </is>
      </c>
      <c r="H31" s="4" t="inlineStr">
        <is>
          <t>摘除</t>
        </is>
      </c>
      <c r="I31" s="5" t="inlineStr">
        <is>
          <t>iFinD主营为房地产开发及基础设施经营，2025年报披露的业务板块是产业园运营、高端装备、产业投资、产城综合开发、环保和融资租赁，未见上市公司自营内容审核、内容安全或其他网络安全产品、项目及收入。园区招商、基金投资和参股科技企业只形成财务投资或产业生态关系，不能把被投企业业务上升为上市公司主营，也没有证据支持旧“AI监管-内容审核”标签，因此予以摘除。</t>
        </is>
      </c>
      <c r="J31" s="4" t="inlineStr">
        <is>
          <t>苏州高新：2025年年度报告</t>
        </is>
      </c>
      <c r="K31" s="4" t="inlineStr">
        <is>
          <t>2026-04-28</t>
        </is>
      </c>
      <c r="L31" s="5" t="inlineStr">
        <is>
          <t>iFinD ifind_get_stock_info (as of 2026-10-27)；苏州高新：2025年年度报告</t>
        </is>
      </c>
      <c r="M31" s="6" t="inlineStr">
        <is>
          <t>https://money.finance.sina.com.cn/corp/view/vCB_AllBulletinDetail.php?stockid=600736&amp;id=12216791</t>
        </is>
      </c>
    </row>
    <row r="32" ht="92" customHeight="1">
      <c r="B32" s="7" t="inlineStr">
        <is>
          <t>601360</t>
        </is>
      </c>
      <c r="C32" s="7" t="inlineStr">
        <is>
          <t>三六零</t>
        </is>
      </c>
      <c r="D32" s="8" t="inlineStr">
        <is>
          <t>网络安全：AI安全</t>
        </is>
      </c>
      <c r="E32" s="7" t="inlineStr">
        <is>
          <t>新增</t>
        </is>
      </c>
      <c r="F32" s="7" t="inlineStr">
        <is>
          <t>网络安全</t>
        </is>
      </c>
      <c r="G32" s="8" t="inlineStr">
        <is>
          <t>AI安全、网络安全综合平台</t>
        </is>
      </c>
      <c r="H32" s="7" t="inlineStr">
        <is>
          <t>核心</t>
        </is>
      </c>
      <c r="I32" s="8" t="inlineStr">
        <is>
          <t>iFinD主营本身包括互联网安全技术研发和安全产品设计推广，2025年报进一步明确互联网、数字安全、智能硬件三大主业。公司拥有360安全卫士、安全云、安全大模型、大模型卫士及安全智能体等真实规模化产品，面向个人终端和政企提供威胁检测、漏洞治理、攻击溯源与安全服务；2025年安全及其他业务收入14.46亿元，同比增长12.33%。虽广告收入更高，但安全已是明确主业和重要收入板块，故补增综合平台并提升为核心。</t>
        </is>
      </c>
      <c r="J32" s="7" t="inlineStr">
        <is>
          <t>三六零：2025年年度报告</t>
        </is>
      </c>
      <c r="K32" s="7" t="inlineStr">
        <is>
          <t>2026-04-30</t>
        </is>
      </c>
      <c r="L32" s="8" t="inlineStr">
        <is>
          <t>iFinD ifind_get_stock_info (as of 2026-10-27)；三六零：2025年年度报告</t>
        </is>
      </c>
      <c r="M32" s="9" t="inlineStr">
        <is>
          <t>https://money.finance.sina.com.cn/corp/view/vCB_AllBulletinDetail.php?stockid=601360&amp;id=12277667</t>
        </is>
      </c>
    </row>
    <row r="33" ht="92" customHeight="1">
      <c r="B33" s="4" t="inlineStr">
        <is>
          <t>603000</t>
        </is>
      </c>
      <c r="C33" s="4" t="inlineStr">
        <is>
          <t>人民网</t>
        </is>
      </c>
      <c r="D33" s="5" t="inlineStr">
        <is>
          <t>网络安全：AI应用</t>
        </is>
      </c>
      <c r="E33" s="4" t="inlineStr">
        <is>
          <t>纠错</t>
        </is>
      </c>
      <c r="F33" s="4" t="inlineStr">
        <is>
          <t>网络安全</t>
        </is>
      </c>
      <c r="G33" s="5" t="inlineStr">
        <is>
          <t>内容安全与舆情治理</t>
        </is>
      </c>
      <c r="H33" s="4" t="inlineStr">
        <is>
          <t>核心</t>
        </is>
      </c>
      <c r="I33" s="5" t="inlineStr">
        <is>
          <t>iFinD显示公司业务含内容科技、数据及信息服务，旧网络安全“AI应用”过于宽泛。2025年报明确内容科技以AI、大数据和云计算为底座，向媒体、平台、政府及企事业单位提供内容风控审核、全模态内容治理和AIGC合规应用，人民在线提供舆情管理，人民信息从事内容风控；内容科技服务收入5.38亿元，占总营收25.94%，已有规模化收入和客户交付，故细化为内容安全与舆情治理并维持核心。</t>
        </is>
      </c>
      <c r="J33" s="4" t="inlineStr">
        <is>
          <t>人民网股份有限公司2025年年度报告</t>
        </is>
      </c>
      <c r="K33" s="4" t="inlineStr">
        <is>
          <t>2026-04-25</t>
        </is>
      </c>
      <c r="L33" s="5" t="inlineStr">
        <is>
          <t>iFinD ifind_get_stock_info (as of 2026-10-27)；人民网股份有限公司2025年年度报告</t>
        </is>
      </c>
      <c r="M33" s="6" t="inlineStr">
        <is>
          <t>https://vip.stock.finance.sina.com.cn/corp/view/vCB_AllBulletinDetail.php?stockid=603000&amp;id=12183015</t>
        </is>
      </c>
    </row>
    <row r="34" ht="92" customHeight="1">
      <c r="B34" s="7" t="inlineStr">
        <is>
          <t>603232</t>
        </is>
      </c>
      <c r="C34" s="7" t="inlineStr">
        <is>
          <t>格尔软件</t>
        </is>
      </c>
      <c r="D34" s="8" t="inlineStr">
        <is>
          <t>网络安全：抗量子密码</t>
        </is>
      </c>
      <c r="E34" s="7" t="inlineStr">
        <is>
          <t>新增</t>
        </is>
      </c>
      <c r="F34" s="7" t="inlineStr">
        <is>
          <t>网络安全</t>
        </is>
      </c>
      <c r="G34" s="8" t="inlineStr">
        <is>
          <t>密码与身份认证、抗量子密码</t>
        </is>
      </c>
      <c r="H34" s="7" t="inlineStr">
        <is>
          <t>核心</t>
        </is>
      </c>
      <c r="I34" s="8" t="inlineStr">
        <is>
          <t>iFinD主营是以PKI为核心的商用密码软件研发生产销售及服务，旧“抗量子密码”真实但不足以概括当前收入底座。公司PKI基础设施、身份认证、数字证书、安全认证网关和密码服务平台已在党政、检察、税务、银行及证券行业规模化交付，2025年PKI基础设施与PKI安全应用收入合计约2.35亿元；抗量子产品又在银河证券、国泰海通及海外PKI项目落地，因此补增密码与身份认证并保留抗量子密码，维持核心。</t>
        </is>
      </c>
      <c r="J34" s="7" t="inlineStr">
        <is>
          <t>格尔软件股份有限公司2025年年度报告</t>
        </is>
      </c>
      <c r="K34" s="7" t="inlineStr">
        <is>
          <t>2026-04-30</t>
        </is>
      </c>
      <c r="L34" s="8" t="inlineStr">
        <is>
          <t>iFinD ifind_get_stock_info (as of 2026-10-27)；格尔软件股份有限公司2025年年度报告</t>
        </is>
      </c>
      <c r="M34" s="9" t="inlineStr">
        <is>
          <t>http://file.finance.sina.com.cn/211.154.219.97:9494/MRGG/CNSESH_STOCK/2026/2026-4/2026-04-30/12274086.PDF</t>
        </is>
      </c>
    </row>
    <row r="35" ht="92" customHeight="1">
      <c r="B35" s="4" t="inlineStr">
        <is>
          <t>603888</t>
        </is>
      </c>
      <c r="C35" s="4" t="inlineStr">
        <is>
          <t>新华网</t>
        </is>
      </c>
      <c r="D35" s="5" t="inlineStr">
        <is>
          <t>网络安全：AI监管-内容审核</t>
        </is>
      </c>
      <c r="E35" s="4" t="inlineStr">
        <is>
          <t>纠错</t>
        </is>
      </c>
      <c r="F35" s="4" t="inlineStr">
        <is>
          <t>网络安全</t>
        </is>
      </c>
      <c r="G35" s="5" t="inlineStr">
        <is>
          <t>内容安全与模型安全</t>
        </is>
      </c>
      <c r="H35" s="4" t="inlineStr">
        <is>
          <t>相关</t>
        </is>
      </c>
      <c r="I35" s="5" t="inlineStr">
        <is>
          <t>公司主营网络广告、信息服务、网站建设及移动互联网，2025年报将AIGC-Safe全域内容安全与模型安全综合服务平台列入数字及智能化产品矩阵，说明内容审核并非仅凭传媒背景贴标签，已有明确平台化产品。不过年报未单列该平台收入或占比，公司主要收入仍来自全媒广告、政企综合等业务，安全平台只是创新业务之一，因此维持相关，把泛化的AI监管-内容审核纠错为更贴合实际产品的内容安全与模型安全。</t>
        </is>
      </c>
      <c r="J35" s="4" t="inlineStr">
        <is>
          <t>新华网股份有限公司2025年年度报告摘要</t>
        </is>
      </c>
      <c r="K35" s="4" t="inlineStr">
        <is>
          <t>2026-04-24</t>
        </is>
      </c>
      <c r="L35" s="5" t="inlineStr">
        <is>
          <t>iFinD ifind_get_stock_info (as of 2026-10-27)；新华网股份有限公司2025年年度报告摘要</t>
        </is>
      </c>
      <c r="M35" s="6" t="inlineStr">
        <is>
          <t>https://static.cninfo.com.cn/finalpage/2026-04-24/1225162636.PDF</t>
        </is>
      </c>
    </row>
    <row r="36" ht="92" customHeight="1">
      <c r="B36" s="7" t="inlineStr">
        <is>
          <t>688023</t>
        </is>
      </c>
      <c r="C36" s="7" t="inlineStr">
        <is>
          <t>安恒信息</t>
        </is>
      </c>
      <c r="D36" s="8" t="inlineStr">
        <is>
          <t>网络安全：SaaS软件与服务</t>
        </is>
      </c>
      <c r="E36" s="7" t="inlineStr">
        <is>
          <t>纠错</t>
        </is>
      </c>
      <c r="F36" s="7" t="inlineStr">
        <is>
          <t>网络安全</t>
        </is>
      </c>
      <c r="G36" s="8" t="inlineStr">
        <is>
          <t>数据安全与云安全、安全运营与托管服务</t>
        </is>
      </c>
      <c r="H36" s="7" t="inlineStr">
        <is>
          <t>核心</t>
        </is>
      </c>
      <c r="I36" s="8" t="inlineStr">
        <is>
          <t>公司明确主营网络信息安全产品研发、生产、销售及服务，产品分为基础产品、平台和服务。2025年报进一步列出天池云安全管理平台、AiMask脱敏、AiGate数据安全网关、AiDLP防泄漏及MSS、SaaS和专家服务，并披露云上项目在运营商、政府等行业中标，商业交付成熟。网络安全就是主体业务，不应因旧数据要素复核停留在相关；本轮定为核心，以数据安全与云安全、安全运营与托管服务替代SaaS泛标签。</t>
        </is>
      </c>
      <c r="J36" s="7" t="inlineStr">
        <is>
          <t>杭州安恒信息技术股份有限公司2025年年度报告摘要</t>
        </is>
      </c>
      <c r="K36" s="7" t="inlineStr">
        <is>
          <t>2026-03-26</t>
        </is>
      </c>
      <c r="L36" s="8" t="inlineStr">
        <is>
          <t>iFinD ifind_get_stock_info (as of 2026-10-27)；杭州安恒信息技术股份有限公司2025年年度报告摘要</t>
        </is>
      </c>
      <c r="M36" s="9" t="inlineStr">
        <is>
          <t>http://static.cninfo.com.cn/finalpage/2026-03-26/1225031784.PDF</t>
        </is>
      </c>
    </row>
    <row r="37" ht="92" customHeight="1">
      <c r="B37" s="4" t="inlineStr">
        <is>
          <t>688030</t>
        </is>
      </c>
      <c r="C37" s="4" t="inlineStr">
        <is>
          <t>山石网科</t>
        </is>
      </c>
      <c r="D37" s="5" t="inlineStr">
        <is>
          <t>网络安全：其他</t>
        </is>
      </c>
      <c r="E37" s="4" t="inlineStr">
        <is>
          <t>纠错</t>
        </is>
      </c>
      <c r="F37" s="4" t="inlineStr">
        <is>
          <t>网络安全</t>
        </is>
      </c>
      <c r="G37" s="5" t="inlineStr">
        <is>
          <t>边界安全与防火墙、云安全</t>
        </is>
      </c>
      <c r="H37" s="4" t="inlineStr">
        <is>
          <t>核心</t>
        </is>
      </c>
      <c r="I37" s="5" t="inlineStr">
        <is>
          <t>公司主营网络安全软硬件，2025年报按边界安全、云安全和其他安全披露收入，其中边界安全收入6.74亿元、云安全收入0.79亿元，防火墙、IDPS、山石云·界及微隔离均有正式产品和政企部署，属于规模化主营而非概念延伸。故维持核心，将其他及网安龙头-防火墙等旧标签统一纠错为边界安全与防火墙、云安全两个能够直接对应产品和收入分类的二级标签。</t>
        </is>
      </c>
      <c r="J37" s="4" t="inlineStr">
        <is>
          <t>山石网科通信技术股份有限公司2025年年度报告</t>
        </is>
      </c>
      <c r="K37" s="4" t="inlineStr">
        <is>
          <t>2026-03-28</t>
        </is>
      </c>
      <c r="L37" s="5" t="inlineStr">
        <is>
          <t>iFinD ifind_get_stock_info (as of 2026-10-27)；山石网科通信技术股份有限公司2025年年度报告</t>
        </is>
      </c>
      <c r="M37" s="6" t="inlineStr">
        <is>
          <t>https://static.cninfo.com.cn/finalpage/2026-03-28/1225047617.PDF</t>
        </is>
      </c>
    </row>
    <row r="38" ht="92" customHeight="1">
      <c r="B38" s="7" t="inlineStr">
        <is>
          <t>688152</t>
        </is>
      </c>
      <c r="C38" s="7" t="inlineStr">
        <is>
          <t>麒麟信安</t>
        </is>
      </c>
      <c r="D38" s="8" t="inlineStr">
        <is>
          <t>网络安全：其他</t>
        </is>
      </c>
      <c r="E38" s="7" t="inlineStr">
        <is>
          <t>纠错</t>
        </is>
      </c>
      <c r="F38" s="7" t="inlineStr">
        <is>
          <t>网络安全</t>
        </is>
      </c>
      <c r="G38" s="8" t="inlineStr">
        <is>
          <t>操作系统与云计算安全</t>
        </is>
      </c>
      <c r="H38" s="7" t="inlineStr">
        <is>
          <t>核心</t>
        </is>
      </c>
      <c r="I38" s="8" t="inlineStr">
        <is>
          <t>公司以操作系统为根技术发展信息安全和云计算，2025年报披露高安全操作系统、云桌面V7安全检测、数据安全存储及专用配套安全平台，信息安全收入4230.81万元且终端安全产品增长，电力等场景已经落地。云桌面本身不直接等同网安，但其操作系统安全、存取控制、加密存储及通过检测的安全产品构成真实收入，且为明确业务板块，故保留核心，将其他及信创OS等泛化标签纠错为操作系统与云计算安全。</t>
        </is>
      </c>
      <c r="J38" s="7" t="inlineStr">
        <is>
          <t>麒麟信安：2025年年度报告</t>
        </is>
      </c>
      <c r="K38" s="7" t="inlineStr">
        <is>
          <t>2026-04-30</t>
        </is>
      </c>
      <c r="L38" s="8" t="inlineStr">
        <is>
          <t>iFinD ifind_get_stock_info (as of 2026-10-27)；麒麟信安：2025年年度报告</t>
        </is>
      </c>
      <c r="M38" s="9" t="inlineStr">
        <is>
          <t>https://money.finance.sina.com.cn/corp/view/vCB_AllBulletinDetail.php?stockid=688152&amp;id=12275443</t>
        </is>
      </c>
    </row>
    <row r="39" ht="92" customHeight="1">
      <c r="B39" s="4" t="inlineStr">
        <is>
          <t>688168</t>
        </is>
      </c>
      <c r="C39" s="4" t="inlineStr">
        <is>
          <t>安博通</t>
        </is>
      </c>
      <c r="D39" s="5" t="inlineStr">
        <is>
          <t>网络安全：网安细分-策略可视化</t>
        </is>
      </c>
      <c r="E39" s="4" t="inlineStr">
        <is>
          <t>纠错</t>
        </is>
      </c>
      <c r="F39" s="4" t="inlineStr">
        <is>
          <t>网络安全</t>
        </is>
      </c>
      <c r="G39" s="5" t="inlineStr">
        <is>
          <t>安全策略可视化</t>
        </is>
      </c>
      <c r="H39" s="4" t="inlineStr">
        <is>
          <t>核心</t>
        </is>
      </c>
      <c r="I39" s="5" t="inlineStr">
        <is>
          <t>公司定位为网络安全核心软件及安全服务提供商。2025年报中的晶石平台可跨厂商采集解析安全策略，提供策略清理、合规审计、路径与攻击面可视化，另有SOAR和全流量取证产品；公司向众多部委、央企交付，并中标电力企业安全运营自动化项目，商业化明确。尽管新增算力及存储模组业务，安全策略可视化仍是长期核心安全产品，故定核心，将旧前缀标签规范为安全策略可视化。</t>
        </is>
      </c>
      <c r="J39" s="4" t="inlineStr">
        <is>
          <t>北京安博通科技股份有限公司2025年年度报告</t>
        </is>
      </c>
      <c r="K39" s="4" t="inlineStr">
        <is>
          <t>2026-04-10</t>
        </is>
      </c>
      <c r="L39" s="5" t="inlineStr">
        <is>
          <t>iFinD ifind_get_stock_info (as of 2026-10-27)；北京安博通科技股份有限公司2025年年度报告</t>
        </is>
      </c>
      <c r="M39" s="6" t="inlineStr">
        <is>
          <t>https://static.cninfo.com.cn/finalpage/2026-04-10/1225090466.PDF</t>
        </is>
      </c>
    </row>
    <row r="40" ht="92" customHeight="1">
      <c r="B40" s="7" t="inlineStr">
        <is>
          <t>688225</t>
        </is>
      </c>
      <c r="C40" s="7" t="inlineStr">
        <is>
          <t>亚信安全</t>
        </is>
      </c>
      <c r="D40" s="8" t="inlineStr">
        <is>
          <t>网络安全：国家队</t>
        </is>
      </c>
      <c r="E40" s="7" t="inlineStr">
        <is>
          <t>纠错</t>
        </is>
      </c>
      <c r="F40" s="7" t="inlineStr">
        <is>
          <t>网络安全</t>
        </is>
      </c>
      <c r="G40" s="8" t="inlineStr">
        <is>
          <t>身份与终端安全、数据安全与云安全</t>
        </is>
      </c>
      <c r="H40" s="7" t="inlineStr">
        <is>
          <t>核心</t>
        </is>
      </c>
      <c r="I40" s="8" t="inlineStr">
        <is>
          <t>公司业务包括网络安全产品、网络安全服务与云网虚拟化，2025年报明确数字信任及身份安全、端点安全、云网边安全产品体系，TrustOne整合防病毒、EDR、DLP、准入和零信任，身份认证产品已进入市场并服务运营商、金融、政府等客户，具有持续规模收入。网络安全是明确主营，故维持核心，去掉无业务含义的国家队标签，改为身份与终端安全、数据安全与云安全。</t>
        </is>
      </c>
      <c r="J40" s="7" t="inlineStr">
        <is>
          <t>亚信安全：2025年年度报告</t>
        </is>
      </c>
      <c r="K40" s="7" t="inlineStr">
        <is>
          <t>2026-04-11</t>
        </is>
      </c>
      <c r="L40" s="8" t="inlineStr">
        <is>
          <t>iFinD ifind_get_stock_info (as of 2026-10-27)；亚信安全：2025年年度报告</t>
        </is>
      </c>
      <c r="M40" s="9" t="inlineStr">
        <is>
          <t>https://money.finance.sina.com.cn/corp/view/vCB_AllBulletinDetail.php?stockid=688225&amp;id=12080670</t>
        </is>
      </c>
    </row>
    <row r="41" ht="92" customHeight="1">
      <c r="B41" s="4" t="inlineStr">
        <is>
          <t>688244</t>
        </is>
      </c>
      <c r="C41" s="4" t="inlineStr">
        <is>
          <t>永信至诚</t>
        </is>
      </c>
      <c r="D41" s="5" t="inlineStr">
        <is>
          <t>网络安全：国家队</t>
        </is>
      </c>
      <c r="E41" s="4" t="inlineStr">
        <is>
          <t>纠错</t>
        </is>
      </c>
      <c r="F41" s="4" t="inlineStr">
        <is>
          <t>网络安全</t>
        </is>
      </c>
      <c r="G41" s="5" t="inlineStr">
        <is>
          <t>网络靶场与安全测试</t>
        </is>
      </c>
      <c r="H41" s="4" t="inlineStr">
        <is>
          <t>核心</t>
        </is>
      </c>
      <c r="I41" s="5" t="inlineStr">
        <is>
          <t>公司主营网络安全产品研发销售及服务，2025年报将数字风洞及运营、网络靶场及运营列为核心产品，依托平行仿真、攻防对抗和多循环测试评估，为政企客户提供安全验证、演练、实训及AI大模型测评，并已建设运营香港、北京数字风洞测评中心，属于持续交付的主营业务。故维持核心，将国家队及网安细分-靶场等旧标签统一纠错为能够同时覆盖靶场和数字风洞业务的网络靶场与安全测试。</t>
        </is>
      </c>
      <c r="J41" s="4" t="inlineStr">
        <is>
          <t>永信至诚科技集团股份有限公司2025年年度报告摘要</t>
        </is>
      </c>
      <c r="K41" s="4" t="inlineStr">
        <is>
          <t>2026-04-29</t>
        </is>
      </c>
      <c r="L41" s="5" t="inlineStr">
        <is>
          <t>iFinD ifind_get_stock_info (as of 2026-10-27)；永信至诚科技集团股份有限公司2025年年度报告摘要</t>
        </is>
      </c>
      <c r="M41" s="6" t="inlineStr">
        <is>
          <t>https://static.cninfo.com.cn/finalpage/2026-04-29/1225225334.PDF</t>
        </is>
      </c>
    </row>
    <row r="42" ht="92" customHeight="1">
      <c r="B42" s="7" t="inlineStr">
        <is>
          <t>688292</t>
        </is>
      </c>
      <c r="C42" s="7" t="inlineStr">
        <is>
          <t>浩瀚深度</t>
        </is>
      </c>
      <c r="D42" s="8" t="inlineStr">
        <is>
          <t>网络安全：AI监管-AI鉴伪</t>
        </is>
      </c>
      <c r="E42" s="7" t="inlineStr">
        <is>
          <t>纠错</t>
        </is>
      </c>
      <c r="F42" s="7" t="inlineStr">
        <is>
          <t>网络安全</t>
        </is>
      </c>
      <c r="G42" s="8" t="inlineStr">
        <is>
          <t>DPI与流量智能、内容安全与深度合成鉴伪</t>
        </is>
      </c>
      <c r="H42" s="7" t="inlineStr">
        <is>
          <t>核心</t>
        </is>
      </c>
      <c r="I42" s="8" t="inlineStr">
        <is>
          <t>公司传统主业为电信级流量管理，2025年报则披露安全业务占比已升至58%、信息安全防护解决方案收入2.25亿元，超过网络可视化板块；DPI、全流量采集、异常流量防护、内容审计、AI反诈及深度合成鉴伪均为正式产品，并面向运营商、政府和公共安全客户交付。安全已成为第一大业务，故由相关上调为核心，保留DPI与流量智能，并把AI鉴伪细化为内容安全与深度合成鉴伪。</t>
        </is>
      </c>
      <c r="J42" s="7" t="inlineStr">
        <is>
          <t>北京浩瀚深度信息技术股份有限公司2025年年度报告</t>
        </is>
      </c>
      <c r="K42" s="7" t="inlineStr">
        <is>
          <t>2026-04-29</t>
        </is>
      </c>
      <c r="L42" s="8" t="inlineStr">
        <is>
          <t>iFinD ifind_get_stock_info (as of 2026-10-27)；北京浩瀚深度信息技术股份有限公司2025年年度报告</t>
        </is>
      </c>
      <c r="M42" s="9" t="inlineStr">
        <is>
          <t>https://vip.stock.finance.sina.com.cn/corp/view/vCB_AllBulletinDetail.php?stockid=688292&amp;id=12244828</t>
        </is>
      </c>
    </row>
    <row r="43" ht="92" customHeight="1">
      <c r="B43" s="4" t="inlineStr">
        <is>
          <t>688489</t>
        </is>
      </c>
      <c r="C43" s="4" t="inlineStr">
        <is>
          <t>三未信安</t>
        </is>
      </c>
      <c r="D43" s="5" t="inlineStr">
        <is>
          <t>网络安全：抗量子密码</t>
        </is>
      </c>
      <c r="E43" s="4" t="inlineStr">
        <is>
          <t>纠错</t>
        </is>
      </c>
      <c r="F43" s="4" t="inlineStr">
        <is>
          <t>网络安全</t>
        </is>
      </c>
      <c r="G43" s="5" t="inlineStr">
        <is>
          <t>商用密码、抗量子密码</t>
        </is>
      </c>
      <c r="H43" s="4" t="inlineStr">
        <is>
          <t>核心</t>
        </is>
      </c>
      <c r="I43" s="5" t="inlineStr">
        <is>
          <t>公司明确以密码芯片、密码模块、密码整机和密码系统为产品体系，近二百款产品取得商用密码产品认证，为金融、政务、云厂商等提供加解密、签名、认证和密钥管理。全系列抗量子密码产品已于2024年发布，2025年在金融、通信、能源完成试点迁移，并非仅有研发预期；但规模主业仍是商用密码基础设施，故定核心，标签并列商用密码与抗量子密码，以区分成熟主营和尚处试点拓展阶段的新业务。</t>
        </is>
      </c>
      <c r="J43" s="4" t="inlineStr">
        <is>
          <t>三未信安科技股份有限公司2025年年度报告</t>
        </is>
      </c>
      <c r="K43" s="4" t="inlineStr">
        <is>
          <t>2026-03-31</t>
        </is>
      </c>
      <c r="L43" s="5" t="inlineStr">
        <is>
          <t>iFinD ifind_get_stock_info (as of 2026-10-27)；三未信安科技股份有限公司2025年年度报告</t>
        </is>
      </c>
      <c r="M43" s="6" t="inlineStr">
        <is>
          <t>http://static.cninfo.com.cn/finalpage/2026-03-31/1225055943.PDF</t>
        </is>
      </c>
    </row>
    <row r="44" ht="92" customHeight="1">
      <c r="B44" s="7" t="inlineStr">
        <is>
          <t>688561</t>
        </is>
      </c>
      <c r="C44" s="7" t="inlineStr">
        <is>
          <t>奇安信-U</t>
        </is>
      </c>
      <c r="D44" s="8" t="inlineStr">
        <is>
          <t>网络安全：SaaS软件与服务</t>
        </is>
      </c>
      <c r="E44" s="7" t="inlineStr">
        <is>
          <t>纠错</t>
        </is>
      </c>
      <c r="F44" s="7" t="inlineStr">
        <is>
          <t>网络安全</t>
        </is>
      </c>
      <c r="G44" s="8" t="inlineStr">
        <is>
          <t>终端安全与威胁检测、数据安全与云安全</t>
        </is>
      </c>
      <c r="H44" s="7" t="inlineStr">
        <is>
          <t>核心</t>
        </is>
      </c>
      <c r="I44" s="8" t="inlineStr">
        <is>
          <t>公司主营政企网络安全产品和服务，2025年报将产品分为终端、边界、云与大数据安全及安全运营，天擎、ZTNA、智慧防火墙、CSMP、CNAPP、DSCP、数据库审计和脱敏等均有正式上市版本及政企应用，新AI安全产品亦已在客户侧使用。网络安全是主体而非SaaS单一交付形态，故由相关纠错为核心，以终端安全与威胁检测、数据安全与云安全替代旧SaaS标签，不重复其他分类。</t>
        </is>
      </c>
      <c r="J44" s="7" t="inlineStr">
        <is>
          <t>奇安信科技集团股份有限公司2025年年度报告</t>
        </is>
      </c>
      <c r="K44" s="7" t="inlineStr">
        <is>
          <t>2026-04-30</t>
        </is>
      </c>
      <c r="L44" s="8" t="inlineStr">
        <is>
          <t>iFinD ifind_get_stock_info (as of 2026-10-27)；奇安信科技集团股份有限公司2025年年度报告</t>
        </is>
      </c>
      <c r="M44" s="9" t="inlineStr">
        <is>
          <t>http://file.finance.sina.com.cn/211.154.219.97:9494/MRGG/CNSESH_STOCK/2026/2026-4/2026-04-30/12285369.PDF</t>
        </is>
      </c>
    </row>
    <row r="45" ht="92" customHeight="1">
      <c r="B45" s="4" t="inlineStr">
        <is>
          <t>688651</t>
        </is>
      </c>
      <c r="C45" s="4" t="inlineStr">
        <is>
          <t>盛邦安全</t>
        </is>
      </c>
      <c r="D45" s="5" t="inlineStr">
        <is>
          <t>网络安全：国家队</t>
        </is>
      </c>
      <c r="E45" s="4" t="inlineStr">
        <is>
          <t>纠错</t>
        </is>
      </c>
      <c r="F45" s="4" t="inlineStr">
        <is>
          <t>网络安全</t>
        </is>
      </c>
      <c r="G45" s="5" t="inlineStr">
        <is>
          <t>漏洞与攻击面管理、Web应用安全</t>
        </is>
      </c>
      <c r="H45" s="4" t="inlineStr">
        <is>
          <t>核心</t>
        </is>
      </c>
      <c r="I45" s="5" t="inlineStr">
        <is>
          <t>公司拥有安全检测、应用防护、网络资产及安全服务等完整产品线，2025年报披露RayScan漏洞扫描、RayWAF与RayAPI应用防护、网络空间地图和暴露面及攻击面SaaS监测，WAF已服务12306、中石化、人民银行等关键客户，产品持续迭代并形成收入。卫星互联网安全是新增方向，不影响既有网安主营核心判断；本轮去除国家队泛标签，改为漏洞与攻击面管理、Web应用安全。</t>
        </is>
      </c>
      <c r="J45" s="4" t="inlineStr">
        <is>
          <t>远江盛邦安全科技集团股份有限公司2025年年度报告</t>
        </is>
      </c>
      <c r="K45" s="4" t="inlineStr">
        <is>
          <t>2026-04-29</t>
        </is>
      </c>
      <c r="L45" s="5" t="inlineStr">
        <is>
          <t>iFinD ifind_get_stock_info (as of 2026-10-27)；远江盛邦安全科技集团股份有限公司2025年年度报告</t>
        </is>
      </c>
      <c r="M45" s="6" t="inlineStr">
        <is>
          <t>http://file.finance.sina.com.cn/211.154.219.97:9494/MRGG/CNSESH_STOCK/2026/2026-4/2026-04-29/12254489.PDF</t>
        </is>
      </c>
    </row>
    <row r="46" ht="92" customHeight="1">
      <c r="B46" s="7" t="inlineStr">
        <is>
          <t>300352</t>
        </is>
      </c>
      <c r="C46" s="7" t="inlineStr">
        <is>
          <t>北信源</t>
        </is>
      </c>
      <c r="D46" s="8" t="inlineStr">
        <is>
          <t>网络安全：国家队</t>
        </is>
      </c>
      <c r="E46" s="7" t="inlineStr">
        <is>
          <t>纠错</t>
        </is>
      </c>
      <c r="F46" s="7" t="inlineStr">
        <is>
          <t>网络安全</t>
        </is>
      </c>
      <c r="G46" s="8" t="inlineStr">
        <is>
          <t>身份与终端安全、安全通信与移动办公</t>
        </is>
      </c>
      <c r="H46" s="7" t="inlineStr">
        <is>
          <t>核心</t>
        </is>
      </c>
      <c r="I46" s="8" t="inlineStr">
        <is>
          <t>公司主营信息安全软件研发、生产销售及服务，2025年报形成信息安全及信创、高安全通信及移动办公等产品格局，泛终端安全套件、网络准入、DLP和信源密信均有实际产品，信源密信已在党政军等客户规模应用，数据安全产品也部署于金融、运营商和能源客户。尽管营收下滑并被ST，主营业务与网络安全仍直接一致，故维持核心，将国家队改为身份与终端安全、安全通信与移动办公。</t>
        </is>
      </c>
      <c r="J46" s="7" t="inlineStr">
        <is>
          <t>北信源：2025年年度报告</t>
        </is>
      </c>
      <c r="K46" s="7" t="inlineStr">
        <is>
          <t>2026-04-30</t>
        </is>
      </c>
      <c r="L46" s="8" t="inlineStr">
        <is>
          <t>iFinD ifind_get_stock_info (as of 2026-10-27)；北信源：2025年年度报告</t>
        </is>
      </c>
      <c r="M46" s="9" t="inlineStr">
        <is>
          <t>https://money.finance.sina.com.cn/corp/view/vCB_AllBulletinDetail.php?stockid=300352&amp;id=12289650</t>
        </is>
      </c>
    </row>
    <row r="47" ht="92" customHeight="1">
      <c r="B47" s="4" t="inlineStr">
        <is>
          <t>301117</t>
        </is>
      </c>
      <c r="C47" s="4" t="inlineStr">
        <is>
          <t>佳缘科技</t>
        </is>
      </c>
      <c r="D47" s="5" t="inlineStr">
        <is>
          <t>网络安全：其他</t>
        </is>
      </c>
      <c r="E47" s="4" t="inlineStr">
        <is>
          <t>纠错</t>
        </is>
      </c>
      <c r="F47" s="4" t="inlineStr">
        <is>
          <t>网络安全</t>
        </is>
      </c>
      <c r="G47" s="5" t="inlineStr">
        <is>
          <t>专用安全终端与测控安全、商用密码与安全传输</t>
        </is>
      </c>
      <c r="H47" s="4" t="inlineStr">
        <is>
          <t>核心</t>
        </is>
      </c>
      <c r="I47" s="5" t="inlineStr">
        <is>
          <t>公司信息化服务与网络信息安全综合解决方案并行，2025年报披露专用芯片、板卡、整机以及检测台安全防护、中低速测控安全和高速数据安全传输系统，采用编码、解码、身份鉴别、防篡改和加扰保障航空航天数据传输；网络信息安全产品收入9230.28万元、占28.86%，是重要收入板块而非概念。故维持核心，将其他细化为专用安全终端与测控安全、商用密码与安全传输。</t>
        </is>
      </c>
      <c r="J47" s="4" t="inlineStr">
        <is>
          <t>佳缘科技：2025年年度报告</t>
        </is>
      </c>
      <c r="K47" s="4" t="inlineStr">
        <is>
          <t>2026-04-24</t>
        </is>
      </c>
      <c r="L47" s="5" t="inlineStr">
        <is>
          <t>iFinD ifind_get_stock_info (as of 2026-10-27)；佳缘科技：2025年年度报告</t>
        </is>
      </c>
      <c r="M47" s="6" t="inlineStr">
        <is>
          <t>https://money.finance.sina.com.cn/corp/view/vCB_AllBulletinDetail.php?stockid=301117&amp;id=12168663</t>
        </is>
      </c>
    </row>
    <row r="48" ht="92" customHeight="1">
      <c r="B48" s="7" t="inlineStr">
        <is>
          <t>300081</t>
        </is>
      </c>
      <c r="C48" s="7" t="inlineStr">
        <is>
          <t>恒信东方</t>
        </is>
      </c>
      <c r="D48" s="8" t="inlineStr">
        <is>
          <t>网络安全：AI监管-数字水印</t>
        </is>
      </c>
      <c r="E48" s="7" t="inlineStr">
        <is>
          <t>摘除</t>
        </is>
      </c>
      <c r="F48" s="7" t="inlineStr">
        <is>
          <t>—</t>
        </is>
      </c>
      <c r="G48" s="8" t="inlineStr">
        <is>
          <t>—</t>
        </is>
      </c>
      <c r="H48" s="7" t="inlineStr">
        <is>
          <t>摘除</t>
        </is>
      </c>
      <c r="I48" s="8" t="inlineStr">
        <is>
          <t>公司2025年报显示业务为数字创意、互联网视频应用及算力系统集成，具体包括LBE文旅场馆、VR/CG内容、AI合家欢、VR游戏和影视视效制作；报告期内项目亦集中于博物馆、景区、动画与AI短片。未找到可核验的数字水印安全产品、客户、项目或收入，经营范围中的网络与信息安全软件开发不能替代落地证据，因此旧AI监管-数字水印属于把普通传媒及VR业务贴上安全标签，本轮直接摘除网络安全分类。</t>
        </is>
      </c>
      <c r="J48" s="7" t="inlineStr">
        <is>
          <t>恒信东方文化股份有限公司2025年年度报告摘要</t>
        </is>
      </c>
      <c r="K48" s="7" t="inlineStr">
        <is>
          <t>2026-04-28</t>
        </is>
      </c>
      <c r="L48" s="8" t="inlineStr">
        <is>
          <t>iFinD ifind_get_stock_info (as of 2026-10-27)；恒信东方文化股份有限公司2025年年度报告摘要</t>
        </is>
      </c>
      <c r="M48" s="9" t="inlineStr">
        <is>
          <t>http://static.cninfo.com.cn/finalpage/2026-04-28/1225220515.PDF</t>
        </is>
      </c>
    </row>
    <row r="49" ht="92" customHeight="1">
      <c r="B49" s="4" t="inlineStr">
        <is>
          <t>000004</t>
        </is>
      </c>
      <c r="C49" s="4" t="inlineStr">
        <is>
          <t>国华网安</t>
        </is>
      </c>
      <c r="D49" s="5" t="inlineStr">
        <is>
          <t>网络安全：其他</t>
        </is>
      </c>
      <c r="E49" s="4" t="inlineStr">
        <is>
          <t>纠错</t>
        </is>
      </c>
      <c r="F49" s="4" t="inlineStr">
        <is>
          <t>网络安全</t>
        </is>
      </c>
      <c r="G49" s="5" t="inlineStr">
        <is>
          <t>移动应用安全</t>
        </is>
      </c>
      <c r="H49" s="4" t="inlineStr">
        <is>
          <t>核心</t>
        </is>
      </c>
      <c r="I49" s="5" t="inlineStr">
        <is>
          <t>公司拥有移动应用安全工具和平台产品，2025年报显示爱加密覆盖APP漏洞与隐私合规检测、安全加固、渠道监测和移动威胁感知，服务监管、测评及企业客户；移动应用安全业务收入1.005亿元、占56.82%，加固与检测平台均达到预定用途，属于规模化主营而非普通移动信息化。即使公司新增医药等业务并处于退市状态，本轮仍按业务实质定为核心，将其他纠错为移动应用安全。</t>
        </is>
      </c>
      <c r="J49" s="4" t="inlineStr">
        <is>
          <t>*ST国华：2025年年度报告</t>
        </is>
      </c>
      <c r="K49" s="4" t="inlineStr">
        <is>
          <t>2026-04-28</t>
        </is>
      </c>
      <c r="L49" s="5" t="inlineStr">
        <is>
          <t>iFinD ifind_get_stock_info (as of 2026-10-27)；*ST国华：2025年年度报告</t>
        </is>
      </c>
      <c r="M49" s="6" t="inlineStr">
        <is>
          <t>https://vip.stock.finance.sina.com.cn/corp/view/vCB_AllBulletinDetail.php?stockid=000004&amp;id=12235717</t>
        </is>
      </c>
    </row>
  </sheetData>
  <autoFilter ref="B4:M49"/>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8" customWidth="1" min="4" max="4"/>
    <col width="10" customWidth="1" min="5" max="5"/>
    <col width="16" customWidth="1" min="6" max="6"/>
    <col width="48"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网络安全 · 清洗后38只股池</t>
        </is>
      </c>
    </row>
    <row r="3">
      <c r="B3" s="2" t="inlineStr">
        <is>
          <t>核心30只、相关8只；按实际产品与交付细化为47个二级概念。</t>
        </is>
      </c>
    </row>
    <row r="4">
      <c r="B4" s="3" t="inlineStr">
        <is>
          <t>代码</t>
        </is>
      </c>
      <c r="C4" s="3" t="inlineStr">
        <is>
          <t>名称</t>
        </is>
      </c>
      <c r="D4" s="3" t="inlineStr">
        <is>
          <t>旧网络安全概念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000156</t>
        </is>
      </c>
      <c r="C5" s="4" t="inlineStr">
        <is>
          <t>华数传媒</t>
        </is>
      </c>
      <c r="D5" s="5" t="inlineStr">
        <is>
          <t>网络安全：AI监管-内容审核</t>
        </is>
      </c>
      <c r="E5" s="4" t="inlineStr">
        <is>
          <t>纠错</t>
        </is>
      </c>
      <c r="F5" s="4" t="inlineStr">
        <is>
          <t>网络安全</t>
        </is>
      </c>
      <c r="G5" s="5" t="inlineStr">
        <is>
          <t>内容安全与智能审核</t>
        </is>
      </c>
      <c r="H5" s="4" t="inlineStr">
        <is>
          <t>相关</t>
        </is>
      </c>
      <c r="I5" s="5" t="inlineStr">
        <is>
          <t>公司主营仍是有线电视、新媒体、宽带和智慧城市，并非通用网络安全厂商；但2025年报披露文盾大模型已完成文化市场综合执法国家级试点阶段研发并取得一定规模合同营收，同时升级智能审核与播控治理体系，说明内容安全监管已有真实客户项目和商业化，而非仅内部制度或战略设想。因未披露该业务独立收入且相对九十余亿元营收仍属新业务，新增内容安全标签并定相关。</t>
        </is>
      </c>
      <c r="J5" s="4" t="inlineStr">
        <is>
          <t>华数传媒：2025年年度报告</t>
        </is>
      </c>
      <c r="K5" s="4" t="inlineStr">
        <is>
          <t>2026-03-21</t>
        </is>
      </c>
      <c r="L5" s="5" t="inlineStr">
        <is>
          <t>iFinD ifind_get_stock_info (as of 2026-10-27)；华数传媒：2025年年度报告</t>
        </is>
      </c>
      <c r="M5" s="6" t="inlineStr">
        <is>
          <t>https://money.finance.sina.com.cn/corp/view/vCB_AllBulletinDetail.php?stockid=000156&amp;id=12009319</t>
        </is>
      </c>
    </row>
    <row r="6" ht="92" customHeight="1">
      <c r="B6" s="7" t="inlineStr">
        <is>
          <t>000839</t>
        </is>
      </c>
      <c r="C6" s="7" t="inlineStr">
        <is>
          <t>国安股份</t>
        </is>
      </c>
      <c r="D6" s="8" t="inlineStr">
        <is>
          <t>网络安全：AI监管-内容审核</t>
        </is>
      </c>
      <c r="E6" s="7" t="inlineStr">
        <is>
          <t>纠错</t>
        </is>
      </c>
      <c r="F6" s="7" t="inlineStr">
        <is>
          <t>网络安全</t>
        </is>
      </c>
      <c r="G6" s="8" t="inlineStr">
        <is>
          <t>内容安全与审核服务</t>
        </is>
      </c>
      <c r="H6" s="7" t="inlineStr">
        <is>
          <t>相关</t>
        </is>
      </c>
      <c r="I6" s="8" t="inlineStr">
        <is>
          <t>公司通过子公司鸿联九五开展企业数智综合服务，2025年半年报明确列示内容审核业务，面向互联网平台、社交应用和电商提供文本、图片、视频、音频及直播内容安全审核，属于已实际经营的外包审核服务，与内容安全直接相关，并非传统电信业务贴安全标签。不过公司收入还包含有线电视、房地产及其他企业综合服务，未单独披露审核收入占比，因此保留为相关，并将泛化的AI监管表述纠正为内容安全与审核服务。</t>
        </is>
      </c>
      <c r="J6" s="7" t="inlineStr">
        <is>
          <t>国安股份：2025年半年度报告</t>
        </is>
      </c>
      <c r="K6" s="7" t="inlineStr">
        <is>
          <t>2025-08-23</t>
        </is>
      </c>
      <c r="L6" s="8" t="inlineStr">
        <is>
          <t>iFinD ifind_get_stock_info (as of 2026-10-27)；国安股份：2025年半年度报告</t>
        </is>
      </c>
      <c r="M6" s="9" t="inlineStr">
        <is>
          <t>http://money.finance.sina.com.cn/corp/view/vCB_AllBulletinDetail.php?stockid=000839&amp;id=11339850</t>
        </is>
      </c>
    </row>
    <row r="7" ht="92" customHeight="1">
      <c r="B7" s="4" t="inlineStr">
        <is>
          <t>002212</t>
        </is>
      </c>
      <c r="C7" s="4" t="inlineStr">
        <is>
          <t>天融信</t>
        </is>
      </c>
      <c r="D7" s="5" t="inlineStr">
        <is>
          <t>网络安全：其他</t>
        </is>
      </c>
      <c r="E7" s="4" t="inlineStr">
        <is>
          <t>纠错</t>
        </is>
      </c>
      <c r="F7" s="4" t="inlineStr">
        <is>
          <t>网络安全</t>
        </is>
      </c>
      <c r="G7" s="5" t="inlineStr">
        <is>
          <t>防火墙与零信任、数据安全、安全运营与托管服务</t>
        </is>
      </c>
      <c r="H7" s="4" t="inlineStr">
        <is>
          <t>核心</t>
        </is>
      </c>
      <c r="I7" s="5" t="inlineStr">
        <is>
          <t>公司长期提供防火墙、VPN、WAF、零信任、数据安全及安全运营等产品和服务，网络安全是明确主营而非概念延伸。2025年网络安全行业收入25.56亿元，占营业收入99.37%，其中网络安全产品收入21.52亿元，智算云为另一产品线；安全服务亦按运营、维护、咨询等合同确认收入，商业化规模充分。原“其他”完全不能体现实际业务，故按优势产品及交付形态细化为防火墙与零信任、数据安全和安全运营与托管服务，维持核心。</t>
        </is>
      </c>
      <c r="J7" s="4" t="inlineStr">
        <is>
          <t>天融信：2025年年度报告</t>
        </is>
      </c>
      <c r="K7" s="4" t="inlineStr">
        <is>
          <t>2026-04-24</t>
        </is>
      </c>
      <c r="L7" s="5" t="inlineStr">
        <is>
          <t>iFinD ifind_get_stock_info (as of 2026-10-27)；天融信：2025年年度报告</t>
        </is>
      </c>
      <c r="M7" s="6" t="inlineStr">
        <is>
          <t>http://money.finance.sina.com.cn/corp/view/vCB_AllBulletinDetail.php?stockid=002212&amp;id=12168962</t>
        </is>
      </c>
    </row>
    <row r="8" ht="92" customHeight="1">
      <c r="B8" s="7" t="inlineStr">
        <is>
          <t>002268</t>
        </is>
      </c>
      <c r="C8" s="7" t="inlineStr">
        <is>
          <t>电科网安</t>
        </is>
      </c>
      <c r="D8" s="8" t="inlineStr">
        <is>
          <t>网络安全：国家队</t>
        </is>
      </c>
      <c r="E8" s="7" t="inlineStr">
        <is>
          <t>纠错</t>
        </is>
      </c>
      <c r="F8" s="7" t="inlineStr">
        <is>
          <t>网络安全</t>
        </is>
      </c>
      <c r="G8" s="8" t="inlineStr">
        <is>
          <t>密码与身份认证、数据安全、网络安全运营</t>
        </is>
      </c>
      <c r="H8" s="7" t="inlineStr">
        <is>
          <t>核心</t>
        </is>
      </c>
      <c r="I8" s="8" t="inlineStr">
        <is>
          <t>公司以密码为核心提供网络安全和数据安全产品、服务及解决方案，实际产品覆盖密码基础算力、纵向加密、网络防护、数据安全合规平台和安全运营中心。2025年数据安全与网络安全行业收入占营收100%，其中密码收入10.36亿元、网络安全收入11.76亿元、数据安全收入0.56亿元，主营和规模化收入证据充分。保留核心不是因为央企背景，而是基于完整产品体系和收入结构；将“国家队”改为密码与身份认证、数据安全及网络安全运营。</t>
        </is>
      </c>
      <c r="J8" s="7" t="inlineStr">
        <is>
          <t>电科网安：2025年年度报告</t>
        </is>
      </c>
      <c r="K8" s="7" t="inlineStr">
        <is>
          <t>2026-04-18</t>
        </is>
      </c>
      <c r="L8" s="8" t="inlineStr">
        <is>
          <t>iFinD ifind_get_stock_info (as of 2026-10-27)；电科网安：2025年年度报告</t>
        </is>
      </c>
      <c r="M8" s="9" t="inlineStr">
        <is>
          <t>http://money.finance.sina.com.cn/corp/view/vCB_AllBulletinDetail.php?stockid=002268&amp;id=12113837</t>
        </is>
      </c>
    </row>
    <row r="9" ht="92" customHeight="1">
      <c r="B9" s="4" t="inlineStr">
        <is>
          <t>002439</t>
        </is>
      </c>
      <c r="C9" s="4" t="inlineStr">
        <is>
          <t>启明星辰</t>
        </is>
      </c>
      <c r="D9" s="5" t="inlineStr">
        <is>
          <t>网络安全：国家队</t>
        </is>
      </c>
      <c r="E9" s="4" t="inlineStr">
        <is>
          <t>纠错</t>
        </is>
      </c>
      <c r="F9" s="4" t="inlineStr">
        <is>
          <t>网络安全</t>
        </is>
      </c>
      <c r="G9" s="5" t="inlineStr">
        <is>
          <t>安全运营与托管服务、防火墙与零信任、数据安全</t>
        </is>
      </c>
      <c r="H9" s="4" t="inlineStr">
        <is>
          <t>核心</t>
        </is>
      </c>
      <c r="I9" s="5" t="inlineStr">
        <is>
          <t>公司安全产品和安全运营与托管服务两条主线覆盖安全网关、IDS/IPS、日志审计、零信任、数据安全和托管安全。2025年信息网络安全收入23.17亿元，占营收99.10%，其中安全产品12.67亿元、安全运营与服务10.50亿元；专线卫士已服务超过7.2万家政企客户，数据安全和密评密改亦有项目落地。核心判断依据是主营收入及规模化客户，而非中国移动控股背景，故将“国家队”纠正为具体产品与运营标签。</t>
        </is>
      </c>
      <c r="J9" s="4" t="inlineStr">
        <is>
          <t>启明星辰：2025年年度报告</t>
        </is>
      </c>
      <c r="K9" s="4" t="inlineStr">
        <is>
          <t>2026-04-13</t>
        </is>
      </c>
      <c r="L9" s="5" t="inlineStr">
        <is>
          <t>iFinD ifind_get_stock_info (as of 2026-10-27)；启明星辰：2025年年度报告</t>
        </is>
      </c>
      <c r="M9" s="6" t="inlineStr">
        <is>
          <t>https://money.finance.sina.com.cn/corp/view/vCB_AllBulletinDetail.php?stockid=002439&amp;id=12082100</t>
        </is>
      </c>
    </row>
    <row r="10" ht="92" customHeight="1">
      <c r="B10" s="7" t="inlineStr">
        <is>
          <t>002912</t>
        </is>
      </c>
      <c r="C10" s="7" t="inlineStr">
        <is>
          <t>中新赛克</t>
        </is>
      </c>
      <c r="D10" s="8" t="inlineStr">
        <is>
          <t>网络安全：网安细分-网络可视化</t>
        </is>
      </c>
      <c r="E10" s="7" t="inlineStr">
        <is>
          <t>纠错</t>
        </is>
      </c>
      <c r="F10" s="7" t="inlineStr">
        <is>
          <t>网络安全</t>
        </is>
      </c>
      <c r="G10" s="8" t="inlineStr">
        <is>
          <t>网络可视化、网络内容安全、数据安全</t>
        </is>
      </c>
      <c r="H10" s="7" t="inlineStr">
        <is>
          <t>核心</t>
        </is>
      </c>
      <c r="I10" s="8" t="inlineStr">
        <is>
          <t>公司宽带网和移动网产品直接提取、解析网络流量，构成网络可视化基础架构；网络内容安全和数据与网络安全产品则面向政府、运营商及海外客户交付。2025年网络内容安全收入1.95亿元，占25.94%，数据与网络安全收入0.16亿元，网络可视化基础架构仍是主要收入来源，相关产品合计已构成明确主营和重要收入，不应再仅定相关。故升级为核心，并保留网络可视化、补充网络内容安全及数据安全三个具体方向。</t>
        </is>
      </c>
      <c r="J10" s="7" t="inlineStr">
        <is>
          <t>中新赛克：2025年年度报告</t>
        </is>
      </c>
      <c r="K10" s="7" t="inlineStr">
        <is>
          <t>2026-03-18</t>
        </is>
      </c>
      <c r="L10" s="8" t="inlineStr">
        <is>
          <t>iFinD ifind_get_stock_info (as of 2026-10-27)；中新赛克：2025年年度报告</t>
        </is>
      </c>
      <c r="M10" s="9" t="inlineStr">
        <is>
          <t>https://money.finance.sina.com.cn/corp/view/vCB_AllBulletinDetail.php?stockid=002912&amp;id=12001026</t>
        </is>
      </c>
    </row>
    <row r="11" ht="92" customHeight="1">
      <c r="B11" s="4" t="inlineStr">
        <is>
          <t>003029</t>
        </is>
      </c>
      <c r="C11" s="4" t="inlineStr">
        <is>
          <t>吉大正元</t>
        </is>
      </c>
      <c r="D11" s="5" t="inlineStr">
        <is>
          <t>网络安全：抗量子密码</t>
        </is>
      </c>
      <c r="E11" s="4" t="inlineStr">
        <is>
          <t>纠错</t>
        </is>
      </c>
      <c r="F11" s="4" t="inlineStr">
        <is>
          <t>网络安全</t>
        </is>
      </c>
      <c r="G11" s="5" t="inlineStr">
        <is>
          <t>密码与身份认证、抗量子密码</t>
        </is>
      </c>
      <c r="H11" s="4" t="inlineStr">
        <is>
          <t>核心</t>
        </is>
      </c>
      <c r="I11" s="5" t="inlineStr">
        <is>
          <t>公司以密码技术为核心，主营PKI、数字证书、签名、身份认证、安全网关及网络安全服务，并通过子公司实际开展电子认证服务。2025年上半年全部收入均归入信息安全行业，网络安全产品、生态和服务分别占53.97%、9.83%和36.19%，商业化主营属性明确；同时将传统密码、量子密码与抗量子密码能力整合，抗量子属于真实技术布局但不能替代其PKI主业标签。因此维持核心，将单一抗量子标签纠正为密码与身份认证并保留抗量子密码。</t>
        </is>
      </c>
      <c r="J11" s="4" t="inlineStr">
        <is>
          <t>吉大正元：2025年半年度报告</t>
        </is>
      </c>
      <c r="K11" s="4" t="inlineStr">
        <is>
          <t>2025-08-28</t>
        </is>
      </c>
      <c r="L11" s="5" t="inlineStr">
        <is>
          <t>iFinD ifind_get_stock_info (as of 2026-10-27)；吉大正元：2025年半年度报告</t>
        </is>
      </c>
      <c r="M11" s="6" t="inlineStr">
        <is>
          <t>http://vip.stock.finance.sina.com.cn/corp/view/vCB_AllBulletinDetail.php?stockid=003029&amp;id=11384651</t>
        </is>
      </c>
    </row>
    <row r="12" ht="92" customHeight="1">
      <c r="B12" s="7" t="inlineStr">
        <is>
          <t>300017</t>
        </is>
      </c>
      <c r="C12" s="7" t="inlineStr">
        <is>
          <t>网宿科技</t>
        </is>
      </c>
      <c r="D12" s="8" t="inlineStr">
        <is>
          <t>网络安全：网安细分-云安全CDN</t>
        </is>
      </c>
      <c r="E12" s="7" t="inlineStr">
        <is>
          <t>纠错</t>
        </is>
      </c>
      <c r="F12" s="7" t="inlineStr">
        <is>
          <t>网络安全</t>
        </is>
      </c>
      <c r="G12" s="8" t="inlineStr">
        <is>
          <t>云安全与CDN、零信任与SASE</t>
        </is>
      </c>
      <c r="H12" s="7" t="inlineStr">
        <is>
          <t>核心</t>
        </is>
      </c>
      <c r="I12" s="8" t="inlineStr">
        <is>
          <t>公司以CDN及边缘计算为基本盘，同时实际提供WAAP、DDoS防护、Web及API安全、零信任、SASE和SD-WAN等产品，依托全球节点以直销和订阅方式收费，不是给普通CDN简单贴安全标签。2025年安全及增值服务收入13.80亿元，同比增长18.65%，占营收29.61%，公司亦将安全列为核心业务之一，已达到重要收入和规模化产品标准。故由相关升级为核心，将旧称规范为云安全与CDN、零信任与SASE。</t>
        </is>
      </c>
      <c r="J12" s="7" t="inlineStr">
        <is>
          <t>网宿科技股份有限公司2025年年度报告全文</t>
        </is>
      </c>
      <c r="K12" s="7" t="inlineStr">
        <is>
          <t>2026-04-15</t>
        </is>
      </c>
      <c r="L12" s="8" t="inlineStr">
        <is>
          <t>iFinD ifind_get_stock_info (as of 2026-10-27)；网宿科技股份有限公司2025年年度报告全文</t>
        </is>
      </c>
      <c r="M12" s="9" t="inlineStr">
        <is>
          <t>https://static.cninfo.com.cn/finalpage/2026-04-15/1225101555.PDF</t>
        </is>
      </c>
    </row>
    <row r="13" ht="92" customHeight="1">
      <c r="B13" s="4" t="inlineStr">
        <is>
          <t>300079</t>
        </is>
      </c>
      <c r="C13" s="4" t="inlineStr">
        <is>
          <t>数码视讯</t>
        </is>
      </c>
      <c r="D13" s="5" t="inlineStr">
        <is>
          <t>网络安全：AI监管-AI鉴伪</t>
        </is>
      </c>
      <c r="E13" s="4" t="inlineStr">
        <is>
          <t>纠错</t>
        </is>
      </c>
      <c r="F13" s="4" t="inlineStr">
        <is>
          <t>网络安全</t>
        </is>
      </c>
      <c r="G13" s="5" t="inlineStr">
        <is>
          <t>内容安全与AI鉴伪、数字版权保护与数字水印</t>
        </is>
      </c>
      <c r="H13" s="4" t="inlineStr">
        <is>
          <t>相关</t>
        </is>
      </c>
      <c r="I13" s="5" t="inlineStr">
        <is>
          <t>公司主体仍是视频技术、广电设备、应急广播和通信服务，但公共安全产品已形成内容版权标识、DRM加密、数字水印、版权监测、电子证据采集及音视频AI鉴伪标识系统，能够直接服务内容安全和传播溯源。2025年报披露DRM及条件接收系统已在数十个电信、广电运营商落地，证明并非仅有研发预期；AI鉴伪为新增产品且未单列收入，整体安全业务占比也未充分披露，因此维持相关，并细分AI鉴伪与数字版权水印标签。</t>
        </is>
      </c>
      <c r="J13" s="4" t="inlineStr">
        <is>
          <t>数码视讯：2025年年度报告</t>
        </is>
      </c>
      <c r="K13" s="4" t="inlineStr">
        <is>
          <t>2026-04-17</t>
        </is>
      </c>
      <c r="L13" s="5" t="inlineStr">
        <is>
          <t>iFinD ifind_get_stock_info (as of 2026-10-27)；数码视讯：2025年年度报告</t>
        </is>
      </c>
      <c r="M13" s="6" t="inlineStr">
        <is>
          <t>http://money.finance.sina.com.cn/corp/view/vCB_AllBulletinDetail.php?stockid=300079&amp;id=12100785</t>
        </is>
      </c>
    </row>
    <row r="14" ht="92" customHeight="1">
      <c r="B14" s="7" t="inlineStr">
        <is>
          <t>300188</t>
        </is>
      </c>
      <c r="C14" s="7" t="inlineStr">
        <is>
          <t>国投智能</t>
        </is>
      </c>
      <c r="D14" s="8" t="inlineStr">
        <is>
          <t>网络安全：国家队</t>
        </is>
      </c>
      <c r="E14" s="7" t="inlineStr">
        <is>
          <t>纠错</t>
        </is>
      </c>
      <c r="F14" s="7" t="inlineStr">
        <is>
          <t>网络安全</t>
        </is>
      </c>
      <c r="G14" s="8" t="inlineStr">
        <is>
          <t>电子数据取证、网络空间安全</t>
        </is>
      </c>
      <c r="H14" s="7" t="inlineStr">
        <is>
          <t>核心</t>
        </is>
      </c>
      <c r="I14" s="8" t="inlineStr">
        <is>
          <t>公司电子数据取证和网络信息安全产品是明确主营，手机取证大师、计算机取证大师、取证云及新网络空间安全产品均有销售、交付和订单转化，不是依靠国投背景归类。2025年电子数据取证收入5.48亿元，占38.80%；新网络空间安全收入1.18亿元，占8.37%，另有公共安全大数据业务支撑司法与执法场景，核心产品及收入证据充分。因此维持核心，将泛化“国家队”纠正为电子数据取证和网络空间安全两个真实业务标签。</t>
        </is>
      </c>
      <c r="J14" s="7" t="inlineStr">
        <is>
          <t>国投智能：2025年年度报告</t>
        </is>
      </c>
      <c r="K14" s="7" t="inlineStr">
        <is>
          <t>2026-04-18</t>
        </is>
      </c>
      <c r="L14" s="8" t="inlineStr">
        <is>
          <t>iFinD ifind_get_stock_info (as of 2026-10-27)；国投智能：2025年年度报告</t>
        </is>
      </c>
      <c r="M14" s="9" t="inlineStr">
        <is>
          <t>https://money.finance.sina.com.cn/corp/view/vCB_AllBulletinDetail.php?stockid=300188&amp;id=12112119</t>
        </is>
      </c>
    </row>
    <row r="15" ht="92" customHeight="1">
      <c r="B15" s="4" t="inlineStr">
        <is>
          <t>300229</t>
        </is>
      </c>
      <c r="C15" s="4" t="inlineStr">
        <is>
          <t>拓尔思</t>
        </is>
      </c>
      <c r="D15" s="5" t="inlineStr">
        <is>
          <t>网络安全：AI监管-内容审核</t>
        </is>
      </c>
      <c r="E15" s="4" t="inlineStr">
        <is>
          <t>纠错</t>
        </is>
      </c>
      <c r="F15" s="4" t="inlineStr">
        <is>
          <t>网络安全</t>
        </is>
      </c>
      <c r="G15" s="5" t="inlineStr">
        <is>
          <t>数据安全、安全隔离与数据交换</t>
        </is>
      </c>
      <c r="H15" s="4" t="inlineStr">
        <is>
          <t>核心</t>
        </is>
      </c>
      <c r="I15" s="5" t="inlineStr">
        <is>
          <t>公司虽以人工智能和大数据软件为更大业务板块，但全资子公司天行网安实际销售安全隔离网闸、单向光闸、安全数据与视频交换、边界监管及隐私计算产品，直接对应数据安全和跨域边界防护。2025年安全产品收入0.94亿元，占营收18.32%，同比增长26.97%；天行网安营业收入1.15亿元，已形成重要收入而非概念性布局，按统一标准应定核心。原内容审核表述过窄，改标数据安全、安全隔离与数据交换。</t>
        </is>
      </c>
      <c r="J15" s="4" t="inlineStr">
        <is>
          <t>拓尔思：2025年年度报告</t>
        </is>
      </c>
      <c r="K15" s="4" t="inlineStr">
        <is>
          <t>2026-04-15</t>
        </is>
      </c>
      <c r="L15" s="5" t="inlineStr">
        <is>
          <t>iFinD ifind_get_stock_info (as of 2026-10-27)；拓尔思：2025年年度报告</t>
        </is>
      </c>
      <c r="M15" s="6" t="inlineStr">
        <is>
          <t>https://vip.stock.finance.sina.com.cn/corp/view/vCB_AllBulletinDetail.php?stockid=300229&amp;id=12089699</t>
        </is>
      </c>
    </row>
    <row r="16" ht="92" customHeight="1">
      <c r="B16" s="7" t="inlineStr">
        <is>
          <t>300311</t>
        </is>
      </c>
      <c r="C16" s="7" t="inlineStr">
        <is>
          <t>任子行</t>
        </is>
      </c>
      <c r="D16" s="8" t="inlineStr">
        <is>
          <t>网络安全：网安细分-网络审计</t>
        </is>
      </c>
      <c r="E16" s="7" t="inlineStr">
        <is>
          <t>纠错</t>
        </is>
      </c>
      <c r="F16" s="7" t="inlineStr">
        <is>
          <t>网络安全</t>
        </is>
      </c>
      <c r="G16" s="8" t="inlineStr">
        <is>
          <t>网络内容与行为审计、数据安全</t>
        </is>
      </c>
      <c r="H16" s="7" t="inlineStr">
        <is>
          <t>核心</t>
        </is>
      </c>
      <c r="I16" s="8" t="inlineStr">
        <is>
          <t>公司主营网络内容与行为审计、监管产品以及安全集成和安全审计服务，产品包括互联网管理综合应用、网络合规审计、威胁情报、反诈和数据分析平台，与网络安全及内容监管直接对应。2025年网络安全收入2.37亿元，占48.40%；网资管理收入2.48亿元，占50.75%，两项合计约99.15%，主营商业化程度充分，原相关评级偏低。故升级为核心，将“网络审计”细化为网络内容与行为审计，并保留已有实际产品和检测认证支撑的数据安全标签。</t>
        </is>
      </c>
      <c r="J16" s="7" t="inlineStr">
        <is>
          <t>任子行网络技术股份有限公司2025年年度报告全文</t>
        </is>
      </c>
      <c r="K16" s="7" t="inlineStr">
        <is>
          <t>2026-04-28</t>
        </is>
      </c>
      <c r="L16" s="8" t="inlineStr">
        <is>
          <t>iFinD ifind_get_stock_info (as of 2026-10-27)；任子行网络技术股份有限公司2025年年度报告全文</t>
        </is>
      </c>
      <c r="M16" s="9" t="inlineStr">
        <is>
          <t>http://file.finance.sina.com.cn/211.154.219.97:9494/MRGG/CNSESZ_STOCK/2026/2026-4/2026-04-28/12232475.PDF</t>
        </is>
      </c>
    </row>
    <row r="17" ht="92" customHeight="1">
      <c r="B17" s="4" t="inlineStr">
        <is>
          <t>300369</t>
        </is>
      </c>
      <c r="C17" s="4" t="inlineStr">
        <is>
          <t>绿盟科技</t>
        </is>
      </c>
      <c r="D17" s="5" t="inlineStr">
        <is>
          <t>网络安全：国家队</t>
        </is>
      </c>
      <c r="E17" s="4" t="inlineStr">
        <is>
          <t>纠错</t>
        </is>
      </c>
      <c r="F17" s="4" t="inlineStr">
        <is>
          <t>网络安全</t>
        </is>
      </c>
      <c r="G17" s="5" t="inlineStr">
        <is>
          <t>网络安全综合平台、AI安全</t>
        </is>
      </c>
      <c r="H17" s="4" t="inlineStr">
        <is>
          <t>核心</t>
        </is>
      </c>
      <c r="I17" s="5" t="inlineStr">
        <is>
          <t>iFinD主营明确为信息安全产品研发、生产、销售及专业安全服务，旧“国家队”只是股东印象，不能反映产品。2025年报显示公司具有入侵防御、抗DDoS、WAF、漏洞评估、安全运营等全线产品，并推出清风卫、大模型安全评估及应用防护系统；安全产品和安全服务收入分别约11.56亿元、9.97亿元，已是规模化主业，故改为综合平台与AI安全并维持核心。</t>
        </is>
      </c>
      <c r="J17" s="4" t="inlineStr">
        <is>
          <t>绿盟科技：2025年年度报告</t>
        </is>
      </c>
      <c r="K17" s="4" t="inlineStr">
        <is>
          <t>2026-04-23</t>
        </is>
      </c>
      <c r="L17" s="5" t="inlineStr">
        <is>
          <t>iFinD ifind_get_stock_info (as of 2026-10-27)；绿盟科技：2025年年度报告</t>
        </is>
      </c>
      <c r="M17" s="6" t="inlineStr">
        <is>
          <t>http://money.finance.sina.com.cn/corp/view/vCB_AllBulletinDetail.php?stockid=300369&amp;id=12154056</t>
        </is>
      </c>
    </row>
    <row r="18" ht="92" customHeight="1">
      <c r="B18" s="7" t="inlineStr">
        <is>
          <t>300449</t>
        </is>
      </c>
      <c r="C18" s="7" t="inlineStr">
        <is>
          <t>汉邦高科</t>
        </is>
      </c>
      <c r="D18" s="8" t="inlineStr">
        <is>
          <t>网络安全：AI监管-数字水印</t>
        </is>
      </c>
      <c r="E18" s="7" t="inlineStr">
        <is>
          <t>纠错</t>
        </is>
      </c>
      <c r="F18" s="7" t="inlineStr">
        <is>
          <t>网络安全</t>
        </is>
      </c>
      <c r="G18" s="8" t="inlineStr">
        <is>
          <t>数字水印与内容溯源</t>
        </is>
      </c>
      <c r="H18" s="7" t="inlineStr">
        <is>
          <t>相关</t>
        </is>
      </c>
      <c r="I18" s="8" t="inlineStr">
        <is>
          <t>iFinD及年报均表明公司主体仍是智算、传统安防和音视频业务，普通视频监控不能据此认定为网络安全；但公司确有自主数字水印技术体系及已完成的视音频溯源系统V1.0，用于版权保护、泄密溯源、内容认证和可信标识，并在广电、军工等场景有应用基础。2025年数字水印收入为零、上年也仅约7.08万元，商业化很弱，因此仅保留为相关并细化标签。</t>
        </is>
      </c>
      <c r="J18" s="7" t="inlineStr">
        <is>
          <t>北京汉邦高科数字技术股份有限公司2025年年度报告</t>
        </is>
      </c>
      <c r="K18" s="7" t="inlineStr">
        <is>
          <t>2026-04-28</t>
        </is>
      </c>
      <c r="L18" s="8" t="inlineStr">
        <is>
          <t>iFinD ifind_get_stock_info (as of 2026-10-27)；北京汉邦高科数字技术股份有限公司2025年年度报告</t>
        </is>
      </c>
      <c r="M18" s="9" t="inlineStr">
        <is>
          <t>http://static.cninfo.com.cn/finalpage/2026-04-28/1225207822.PDF</t>
        </is>
      </c>
    </row>
    <row r="19" ht="92" customHeight="1">
      <c r="B19" s="4" t="inlineStr">
        <is>
          <t>300454</t>
        </is>
      </c>
      <c r="C19" s="4" t="inlineStr">
        <is>
          <t>深信服</t>
        </is>
      </c>
      <c r="D19" s="5" t="inlineStr">
        <is>
          <t>网络安全：国家队</t>
        </is>
      </c>
      <c r="E19" s="4" t="inlineStr">
        <is>
          <t>纠错</t>
        </is>
      </c>
      <c r="F19" s="4" t="inlineStr">
        <is>
          <t>网络安全</t>
        </is>
      </c>
      <c r="G19" s="5" t="inlineStr">
        <is>
          <t>网络安全综合平台、云安全与SASE</t>
        </is>
      </c>
      <c r="H19" s="4" t="inlineStr">
        <is>
          <t>核心</t>
        </is>
      </c>
      <c r="I19" s="5" t="inlineStr">
        <is>
          <t>iFinD主营和年报均显示公司直接提供下一代防火墙、VPN、零信任、XDR、NDR、MSS、数据安全及SASE等产品服务，旧“国家队”与公司实际控制权和产品定位均不符。2025年网络安全业务收入35.40亿元，占营业收入44.01%，同时安全GPT、大模型护栏及一体化办公安全已经正式发布并面向政企客户交付，属于重要收入与规模化核心产品，故按实际业务纠错并保留核心。</t>
        </is>
      </c>
      <c r="J19" s="4" t="inlineStr">
        <is>
          <t>深信服：2025年年度报告</t>
        </is>
      </c>
      <c r="K19" s="4" t="inlineStr">
        <is>
          <t>2026-04-01</t>
        </is>
      </c>
      <c r="L19" s="5" t="inlineStr">
        <is>
          <t>iFinD ifind_get_stock_info (as of 2026-10-27)；深信服：2025年年度报告</t>
        </is>
      </c>
      <c r="M19" s="6" t="inlineStr">
        <is>
          <t>https://money.finance.sina.com.cn/corp/view/vCB_AllBulletinDetail.php?stockid=300454&amp;id=12052056</t>
        </is>
      </c>
    </row>
    <row r="20" ht="92" customHeight="1">
      <c r="B20" s="7" t="inlineStr">
        <is>
          <t>300579</t>
        </is>
      </c>
      <c r="C20" s="7" t="inlineStr">
        <is>
          <t>数字认证</t>
        </is>
      </c>
      <c r="D20" s="8" t="inlineStr">
        <is>
          <t>网络安全：国家队</t>
        </is>
      </c>
      <c r="E20" s="7" t="inlineStr">
        <is>
          <t>纠错</t>
        </is>
      </c>
      <c r="F20" s="7" t="inlineStr">
        <is>
          <t>网络安全</t>
        </is>
      </c>
      <c r="G20" s="8" t="inlineStr">
        <is>
          <t>身份认证与电子签名</t>
        </is>
      </c>
      <c r="H20" s="7" t="inlineStr">
        <is>
          <t>核心</t>
        </is>
      </c>
      <c r="I20" s="8" t="inlineStr">
        <is>
          <t>iFinD将主营列为电子认证服务、网络安全产品、集成和服务，旧“国家队”仅反映国资背景，应改为实际产品标签。公司以密码技术提供数字证书、可靠电子签名、电子合同、证据保全以及身份认证、加密和数据安全产品，2025年电子认证、网络安全产品、集成和服务收入分别约2.05亿元、2.51亿元、1.08亿元和2.75亿元，四类业务均直接构成网络安全主业，商业化充分，维持核心。</t>
        </is>
      </c>
      <c r="J20" s="7" t="inlineStr">
        <is>
          <t>数字认证：2025年年度报告摘要</t>
        </is>
      </c>
      <c r="K20" s="7" t="inlineStr">
        <is>
          <t>2026-03-31</t>
        </is>
      </c>
      <c r="L20" s="8" t="inlineStr">
        <is>
          <t>iFinD ifind_get_stock_info (as of 2026-10-27)；数字认证：2025年年度报告摘要</t>
        </is>
      </c>
      <c r="M20" s="9" t="inlineStr">
        <is>
          <t>http://money.finance.sina.com.cn/corp/view/vCB_AllBulletinDetail.php?stockid=300579&amp;id=12039448</t>
        </is>
      </c>
    </row>
    <row r="21" ht="92" customHeight="1">
      <c r="B21" s="4" t="inlineStr">
        <is>
          <t>300659</t>
        </is>
      </c>
      <c r="C21" s="4" t="inlineStr">
        <is>
          <t>中孚信息</t>
        </is>
      </c>
      <c r="D21" s="5" t="inlineStr">
        <is>
          <t>网络安全：其他</t>
        </is>
      </c>
      <c r="E21" s="4" t="inlineStr">
        <is>
          <t>纠错</t>
        </is>
      </c>
      <c r="F21" s="4" t="inlineStr">
        <is>
          <t>网络安全</t>
        </is>
      </c>
      <c r="G21" s="5" t="inlineStr">
        <is>
          <t>保密安全、数据安全</t>
        </is>
      </c>
      <c r="H21" s="4" t="inlineStr">
        <is>
          <t>核心</t>
        </is>
      </c>
      <c r="I21" s="5" t="inlineStr">
        <is>
          <t>iFinD及2025年报均明确公司主营信息安全产品研发生产销售和安全服务，旧“其他”过于泛化。公司围绕保密安全、数据安全形成主机与网络安全、数据安全、安全监管、检查检测、密码应用五条产品线，具体包括终端保密检查、数据安全交换、网络隔离单向导入、敏感内容监测和电磁空间检测等，已面向数万家党政、央国企及特殊行业用户交付并取得多项专用产品认证，属于规模化核心主业。</t>
        </is>
      </c>
      <c r="J21" s="4" t="inlineStr">
        <is>
          <t>中孚信息：2025年年度报告</t>
        </is>
      </c>
      <c r="K21" s="4" t="inlineStr">
        <is>
          <t>2026-03-31</t>
        </is>
      </c>
      <c r="L21" s="5" t="inlineStr">
        <is>
          <t>iFinD ifind_get_stock_info (as of 2026-10-27)；中孚信息：2025年年度报告</t>
        </is>
      </c>
      <c r="M21" s="6" t="inlineStr">
        <is>
          <t>http://money.finance.sina.com.cn/corp/view/vCB_AllBulletinDetail.php?stockid=300659&amp;id=12039312</t>
        </is>
      </c>
    </row>
    <row r="22" ht="92" customHeight="1">
      <c r="B22" s="7" t="inlineStr">
        <is>
          <t>300768</t>
        </is>
      </c>
      <c r="C22" s="7" t="inlineStr">
        <is>
          <t>迪普科技</t>
        </is>
      </c>
      <c r="D22" s="8" t="inlineStr">
        <is>
          <t>网络安全：其他</t>
        </is>
      </c>
      <c r="E22" s="7" t="inlineStr">
        <is>
          <t>纠错</t>
        </is>
      </c>
      <c r="F22" s="7" t="inlineStr">
        <is>
          <t>网络安全</t>
        </is>
      </c>
      <c r="G22" s="8" t="inlineStr">
        <is>
          <t>网络设备与安全</t>
        </is>
      </c>
      <c r="H22" s="7" t="inlineStr">
        <is>
          <t>核心</t>
        </is>
      </c>
      <c r="I22" s="8" t="inlineStr">
        <is>
          <t>iFinD主营为网络安全及应用交付，旧“其他”不能体现防火墙、入侵防御、抗DDoS、WAF和漏洞扫描等真实产品。2025年报显示网络安全产品收入7.01亿元，占营收57.58%，安全服务及其他服务另占9.29%；产品已在三大运营商核心节点规模应用，在电力行业在网设备超过六万台，并进入多家银行采购框架。其应用交付虽含通用网络属性，但安全业务本身已构成重要收入和规模化核心产品，故提升为核心。</t>
        </is>
      </c>
      <c r="J22" s="7" t="inlineStr">
        <is>
          <t>迪普科技：2025年年度报告</t>
        </is>
      </c>
      <c r="K22" s="7" t="inlineStr">
        <is>
          <t>2026-04-14</t>
        </is>
      </c>
      <c r="L22" s="8" t="inlineStr">
        <is>
          <t>iFinD ifind_get_stock_info (as of 2026-10-27)；迪普科技：2025年年度报告</t>
        </is>
      </c>
      <c r="M22" s="9" t="inlineStr">
        <is>
          <t>http://money.finance.sina.com.cn/corp/view/vCB_AllBulletinDetail.php?stockid=300768&amp;id=12084823</t>
        </is>
      </c>
    </row>
    <row r="23" ht="92" customHeight="1">
      <c r="B23" s="4" t="inlineStr">
        <is>
          <t>300895</t>
        </is>
      </c>
      <c r="C23" s="4" t="inlineStr">
        <is>
          <t>铜牛信息</t>
        </is>
      </c>
      <c r="D23" s="5" t="inlineStr">
        <is>
          <t>网络安全：网安细分-IDC安全</t>
        </is>
      </c>
      <c r="E23" s="4" t="inlineStr">
        <is>
          <t>纠错</t>
        </is>
      </c>
      <c r="F23" s="4" t="inlineStr">
        <is>
          <t>网络安全</t>
        </is>
      </c>
      <c r="G23" s="5" t="inlineStr">
        <is>
          <t>安全运营与应急响应</t>
        </is>
      </c>
      <c r="H23" s="4" t="inlineStr">
        <is>
          <t>相关</t>
        </is>
      </c>
      <c r="I23" s="5" t="inlineStr">
        <is>
          <t>iFinD和年报显示上市公司主体仍是IDC、云服务、接入及系统集成，IDC等保备案或托管客户数据不能直接等同“IDC安全”。但公司控股51%的铜牛奇安专门提供企业安全运营托管、驻场、应急响应和安全集成，已向奔驰、捷豹路虎、中国移动设计院、中邮证券等客户提供服务，属于真实并表业务。因母公司收入分类仍以IDC为主且未单列网安收入，改为安全运营标签并定相关。</t>
        </is>
      </c>
      <c r="J23" s="4" t="inlineStr">
        <is>
          <t>铜牛信息：2025年年度报告</t>
        </is>
      </c>
      <c r="K23" s="4" t="inlineStr">
        <is>
          <t>2026-04-23</t>
        </is>
      </c>
      <c r="L23" s="5" t="inlineStr">
        <is>
          <t>iFinD ifind_get_stock_info (as of 2026-10-27)；铜牛信息：2025年年度报告</t>
        </is>
      </c>
      <c r="M23" s="6" t="inlineStr">
        <is>
          <t>https://money.finance.sina.com.cn/corp/view/vCB_AllBulletinDetail.php?stockid=300895&amp;id=12153341</t>
        </is>
      </c>
    </row>
    <row r="24" ht="92" customHeight="1">
      <c r="B24" s="7" t="inlineStr">
        <is>
          <t>300921</t>
        </is>
      </c>
      <c r="C24" s="7" t="inlineStr">
        <is>
          <t>南凌科技</t>
        </is>
      </c>
      <c r="D24" s="8" t="inlineStr">
        <is>
          <t>网络安全：其他</t>
        </is>
      </c>
      <c r="E24" s="7" t="inlineStr">
        <is>
          <t>纠错</t>
        </is>
      </c>
      <c r="F24" s="7" t="inlineStr">
        <is>
          <t>网络安全</t>
        </is>
      </c>
      <c r="G24" s="8" t="inlineStr">
        <is>
          <t>云安全与SASE、安全托管与MDR</t>
        </is>
      </c>
      <c r="H24" s="7" t="inlineStr">
        <is>
          <t>相关</t>
        </is>
      </c>
      <c r="I24" s="8" t="inlineStr">
        <is>
          <t>iFinD主营是增值电信和信息系统集成，旧“其他”需按自研安全能力细化，也不能把普通IP-VPN全部视为网安。公司凌云SASE基于自研SD-WAN融合云原生防火墙、入侵检测、加密和零信任接入，凌云MDR以订阅方式提供监测、研判、溯源和远程处置，并已在金融、新能源、制造等行业服务客户。2025年凌云服务收入1.46亿元、占总营收约26.4%，但还包含云连接和边缘计算，安全收入未单独拆分，因此定相关。</t>
        </is>
      </c>
      <c r="J24" s="7" t="inlineStr">
        <is>
          <t>南凌科技：2025年年度报告</t>
        </is>
      </c>
      <c r="K24" s="7" t="inlineStr">
        <is>
          <t>2026-04-28</t>
        </is>
      </c>
      <c r="L24" s="8" t="inlineStr">
        <is>
          <t>iFinD ifind_get_stock_info (as of 2026-10-27)；南凌科技：2025年年度报告</t>
        </is>
      </c>
      <c r="M24" s="9" t="inlineStr">
        <is>
          <t>https://money.finance.sina.com.cn/corp/view/vCB_AllBulletinDetail.php?stockid=300921&amp;id=12225560</t>
        </is>
      </c>
    </row>
    <row r="25" ht="92" customHeight="1">
      <c r="B25" s="4" t="inlineStr">
        <is>
          <t>600654</t>
        </is>
      </c>
      <c r="C25" s="4" t="inlineStr">
        <is>
          <t>中安科</t>
        </is>
      </c>
      <c r="D25" s="5" t="inlineStr">
        <is>
          <t>网络安全：其他</t>
        </is>
      </c>
      <c r="E25" s="4" t="inlineStr">
        <is>
          <t>纠错</t>
        </is>
      </c>
      <c r="F25" s="4" t="inlineStr">
        <is>
          <t>网络安全</t>
        </is>
      </c>
      <c r="G25" s="5" t="inlineStr">
        <is>
          <t>网络安全集成与运维</t>
        </is>
      </c>
      <c r="H25" s="4" t="inlineStr">
        <is>
          <t>相关</t>
        </is>
      </c>
      <c r="I25" s="5" t="inlineStr">
        <is>
          <t>iFinD显示公司收入主体为安保运营、安保系统集成和智能产品制造，武装押运、门禁、视频监控等普通安防不属于网络安全，旧“其他”也应具体化。不过2025年报单独描述网络信息安全业务，实际包括涉密及信创项目的咨询、实施、信息运维和专业软件开发，说明并非完全没有网安交付。由于该业务混入安保系统集成口径，未披露独立网安收入、产品占比或规模化核心产品，故仅按网络安全集成与运维定为相关。</t>
        </is>
      </c>
      <c r="J25" s="4" t="inlineStr">
        <is>
          <t>中安科股份有限公司2025年年度报告</t>
        </is>
      </c>
      <c r="K25" s="4" t="inlineStr">
        <is>
          <t>2026-04-17</t>
        </is>
      </c>
      <c r="L25" s="5" t="inlineStr">
        <is>
          <t>iFinD ifind_get_stock_info (as of 2026-10-27)；中安科股份有限公司2025年年度报告</t>
        </is>
      </c>
      <c r="M25" s="6" t="inlineStr">
        <is>
          <t>https://static.cninfo.com.cn/finalpage/2026-04-17/1225112414.PDF</t>
        </is>
      </c>
    </row>
    <row r="26" ht="92" customHeight="1">
      <c r="B26" s="7" t="inlineStr">
        <is>
          <t>601360</t>
        </is>
      </c>
      <c r="C26" s="7" t="inlineStr">
        <is>
          <t>三六零</t>
        </is>
      </c>
      <c r="D26" s="8" t="inlineStr">
        <is>
          <t>网络安全：AI安全</t>
        </is>
      </c>
      <c r="E26" s="7" t="inlineStr">
        <is>
          <t>新增</t>
        </is>
      </c>
      <c r="F26" s="7" t="inlineStr">
        <is>
          <t>网络安全</t>
        </is>
      </c>
      <c r="G26" s="8" t="inlineStr">
        <is>
          <t>AI安全、网络安全综合平台</t>
        </is>
      </c>
      <c r="H26" s="7" t="inlineStr">
        <is>
          <t>核心</t>
        </is>
      </c>
      <c r="I26" s="8" t="inlineStr">
        <is>
          <t>iFinD主营本身包括互联网安全技术研发和安全产品设计推广，2025年报进一步明确互联网、数字安全、智能硬件三大主业。公司拥有360安全卫士、安全云、安全大模型、大模型卫士及安全智能体等真实规模化产品，面向个人终端和政企提供威胁检测、漏洞治理、攻击溯源与安全服务；2025年安全及其他业务收入14.46亿元，同比增长12.33%。虽广告收入更高，但安全已是明确主业和重要收入板块，故补增综合平台并提升为核心。</t>
        </is>
      </c>
      <c r="J26" s="7" t="inlineStr">
        <is>
          <t>三六零：2025年年度报告</t>
        </is>
      </c>
      <c r="K26" s="7" t="inlineStr">
        <is>
          <t>2026-04-30</t>
        </is>
      </c>
      <c r="L26" s="8" t="inlineStr">
        <is>
          <t>iFinD ifind_get_stock_info (as of 2026-10-27)；三六零：2025年年度报告</t>
        </is>
      </c>
      <c r="M26" s="9" t="inlineStr">
        <is>
          <t>https://money.finance.sina.com.cn/corp/view/vCB_AllBulletinDetail.php?stockid=601360&amp;id=12277667</t>
        </is>
      </c>
    </row>
    <row r="27" ht="92" customHeight="1">
      <c r="B27" s="4" t="inlineStr">
        <is>
          <t>603000</t>
        </is>
      </c>
      <c r="C27" s="4" t="inlineStr">
        <is>
          <t>人民网</t>
        </is>
      </c>
      <c r="D27" s="5" t="inlineStr">
        <is>
          <t>网络安全：AI应用</t>
        </is>
      </c>
      <c r="E27" s="4" t="inlineStr">
        <is>
          <t>纠错</t>
        </is>
      </c>
      <c r="F27" s="4" t="inlineStr">
        <is>
          <t>网络安全</t>
        </is>
      </c>
      <c r="G27" s="5" t="inlineStr">
        <is>
          <t>内容安全与舆情治理</t>
        </is>
      </c>
      <c r="H27" s="4" t="inlineStr">
        <is>
          <t>核心</t>
        </is>
      </c>
      <c r="I27" s="5" t="inlineStr">
        <is>
          <t>iFinD显示公司业务含内容科技、数据及信息服务，旧网络安全“AI应用”过于宽泛。2025年报明确内容科技以AI、大数据和云计算为底座，向媒体、平台、政府及企事业单位提供内容风控审核、全模态内容治理和AIGC合规应用，人民在线提供舆情管理，人民信息从事内容风控；内容科技服务收入5.38亿元，占总营收25.94%，已有规模化收入和客户交付，故细化为内容安全与舆情治理并维持核心。</t>
        </is>
      </c>
      <c r="J27" s="4" t="inlineStr">
        <is>
          <t>人民网股份有限公司2025年年度报告</t>
        </is>
      </c>
      <c r="K27" s="4" t="inlineStr">
        <is>
          <t>2026-04-25</t>
        </is>
      </c>
      <c r="L27" s="5" t="inlineStr">
        <is>
          <t>iFinD ifind_get_stock_info (as of 2026-10-27)；人民网股份有限公司2025年年度报告</t>
        </is>
      </c>
      <c r="M27" s="6" t="inlineStr">
        <is>
          <t>https://vip.stock.finance.sina.com.cn/corp/view/vCB_AllBulletinDetail.php?stockid=603000&amp;id=12183015</t>
        </is>
      </c>
    </row>
    <row r="28" ht="92" customHeight="1">
      <c r="B28" s="7" t="inlineStr">
        <is>
          <t>603232</t>
        </is>
      </c>
      <c r="C28" s="7" t="inlineStr">
        <is>
          <t>格尔软件</t>
        </is>
      </c>
      <c r="D28" s="8" t="inlineStr">
        <is>
          <t>网络安全：抗量子密码</t>
        </is>
      </c>
      <c r="E28" s="7" t="inlineStr">
        <is>
          <t>新增</t>
        </is>
      </c>
      <c r="F28" s="7" t="inlineStr">
        <is>
          <t>网络安全</t>
        </is>
      </c>
      <c r="G28" s="8" t="inlineStr">
        <is>
          <t>密码与身份认证、抗量子密码</t>
        </is>
      </c>
      <c r="H28" s="7" t="inlineStr">
        <is>
          <t>核心</t>
        </is>
      </c>
      <c r="I28" s="8" t="inlineStr">
        <is>
          <t>iFinD主营是以PKI为核心的商用密码软件研发生产销售及服务，旧“抗量子密码”真实但不足以概括当前收入底座。公司PKI基础设施、身份认证、数字证书、安全认证网关和密码服务平台已在党政、检察、税务、银行及证券行业规模化交付，2025年PKI基础设施与PKI安全应用收入合计约2.35亿元；抗量子产品又在银河证券、国泰海通及海外PKI项目落地，因此补增密码与身份认证并保留抗量子密码，维持核心。</t>
        </is>
      </c>
      <c r="J28" s="7" t="inlineStr">
        <is>
          <t>格尔软件股份有限公司2025年年度报告</t>
        </is>
      </c>
      <c r="K28" s="7" t="inlineStr">
        <is>
          <t>2026-04-30</t>
        </is>
      </c>
      <c r="L28" s="8" t="inlineStr">
        <is>
          <t>iFinD ifind_get_stock_info (as of 2026-10-27)；格尔软件股份有限公司2025年年度报告</t>
        </is>
      </c>
      <c r="M28" s="9" t="inlineStr">
        <is>
          <t>http://file.finance.sina.com.cn/211.154.219.97:9494/MRGG/CNSESH_STOCK/2026/2026-4/2026-04-30/12274086.PDF</t>
        </is>
      </c>
    </row>
    <row r="29" ht="92" customHeight="1">
      <c r="B29" s="4" t="inlineStr">
        <is>
          <t>603888</t>
        </is>
      </c>
      <c r="C29" s="4" t="inlineStr">
        <is>
          <t>新华网</t>
        </is>
      </c>
      <c r="D29" s="5" t="inlineStr">
        <is>
          <t>网络安全：AI监管-内容审核</t>
        </is>
      </c>
      <c r="E29" s="4" t="inlineStr">
        <is>
          <t>纠错</t>
        </is>
      </c>
      <c r="F29" s="4" t="inlineStr">
        <is>
          <t>网络安全</t>
        </is>
      </c>
      <c r="G29" s="5" t="inlineStr">
        <is>
          <t>内容安全与模型安全</t>
        </is>
      </c>
      <c r="H29" s="4" t="inlineStr">
        <is>
          <t>相关</t>
        </is>
      </c>
      <c r="I29" s="5" t="inlineStr">
        <is>
          <t>公司主营网络广告、信息服务、网站建设及移动互联网，2025年报将AIGC-Safe全域内容安全与模型安全综合服务平台列入数字及智能化产品矩阵，说明内容审核并非仅凭传媒背景贴标签，已有明确平台化产品。不过年报未单列该平台收入或占比，公司主要收入仍来自全媒广告、政企综合等业务，安全平台只是创新业务之一，因此维持相关，把泛化的AI监管-内容审核纠错为更贴合实际产品的内容安全与模型安全。</t>
        </is>
      </c>
      <c r="J29" s="4" t="inlineStr">
        <is>
          <t>新华网股份有限公司2025年年度报告摘要</t>
        </is>
      </c>
      <c r="K29" s="4" t="inlineStr">
        <is>
          <t>2026-04-24</t>
        </is>
      </c>
      <c r="L29" s="5" t="inlineStr">
        <is>
          <t>iFinD ifind_get_stock_info (as of 2026-10-27)；新华网股份有限公司2025年年度报告摘要</t>
        </is>
      </c>
      <c r="M29" s="6" t="inlineStr">
        <is>
          <t>https://static.cninfo.com.cn/finalpage/2026-04-24/1225162636.PDF</t>
        </is>
      </c>
    </row>
    <row r="30" ht="92" customHeight="1">
      <c r="B30" s="7" t="inlineStr">
        <is>
          <t>688023</t>
        </is>
      </c>
      <c r="C30" s="7" t="inlineStr">
        <is>
          <t>安恒信息</t>
        </is>
      </c>
      <c r="D30" s="8" t="inlineStr">
        <is>
          <t>网络安全：SaaS软件与服务</t>
        </is>
      </c>
      <c r="E30" s="7" t="inlineStr">
        <is>
          <t>纠错</t>
        </is>
      </c>
      <c r="F30" s="7" t="inlineStr">
        <is>
          <t>网络安全</t>
        </is>
      </c>
      <c r="G30" s="8" t="inlineStr">
        <is>
          <t>数据安全与云安全、安全运营与托管服务</t>
        </is>
      </c>
      <c r="H30" s="7" t="inlineStr">
        <is>
          <t>核心</t>
        </is>
      </c>
      <c r="I30" s="8" t="inlineStr">
        <is>
          <t>公司明确主营网络信息安全产品研发、生产、销售及服务，产品分为基础产品、平台和服务。2025年报进一步列出天池云安全管理平台、AiMask脱敏、AiGate数据安全网关、AiDLP防泄漏及MSS、SaaS和专家服务，并披露云上项目在运营商、政府等行业中标，商业交付成熟。网络安全就是主体业务，不应因旧数据要素复核停留在相关；本轮定为核心，以数据安全与云安全、安全运营与托管服务替代SaaS泛标签。</t>
        </is>
      </c>
      <c r="J30" s="7" t="inlineStr">
        <is>
          <t>杭州安恒信息技术股份有限公司2025年年度报告摘要</t>
        </is>
      </c>
      <c r="K30" s="7" t="inlineStr">
        <is>
          <t>2026-03-26</t>
        </is>
      </c>
      <c r="L30" s="8" t="inlineStr">
        <is>
          <t>iFinD ifind_get_stock_info (as of 2026-10-27)；杭州安恒信息技术股份有限公司2025年年度报告摘要</t>
        </is>
      </c>
      <c r="M30" s="9" t="inlineStr">
        <is>
          <t>http://static.cninfo.com.cn/finalpage/2026-03-26/1225031784.PDF</t>
        </is>
      </c>
    </row>
    <row r="31" ht="92" customHeight="1">
      <c r="B31" s="4" t="inlineStr">
        <is>
          <t>688030</t>
        </is>
      </c>
      <c r="C31" s="4" t="inlineStr">
        <is>
          <t>山石网科</t>
        </is>
      </c>
      <c r="D31" s="5" t="inlineStr">
        <is>
          <t>网络安全：其他</t>
        </is>
      </c>
      <c r="E31" s="4" t="inlineStr">
        <is>
          <t>纠错</t>
        </is>
      </c>
      <c r="F31" s="4" t="inlineStr">
        <is>
          <t>网络安全</t>
        </is>
      </c>
      <c r="G31" s="5" t="inlineStr">
        <is>
          <t>边界安全与防火墙、云安全</t>
        </is>
      </c>
      <c r="H31" s="4" t="inlineStr">
        <is>
          <t>核心</t>
        </is>
      </c>
      <c r="I31" s="5" t="inlineStr">
        <is>
          <t>公司主营网络安全软硬件，2025年报按边界安全、云安全和其他安全披露收入，其中边界安全收入6.74亿元、云安全收入0.79亿元，防火墙、IDPS、山石云·界及微隔离均有正式产品和政企部署，属于规模化主营而非概念延伸。故维持核心，将其他及网安龙头-防火墙等旧标签统一纠错为边界安全与防火墙、云安全两个能够直接对应产品和收入分类的二级标签。</t>
        </is>
      </c>
      <c r="J31" s="4" t="inlineStr">
        <is>
          <t>山石网科通信技术股份有限公司2025年年度报告</t>
        </is>
      </c>
      <c r="K31" s="4" t="inlineStr">
        <is>
          <t>2026-03-28</t>
        </is>
      </c>
      <c r="L31" s="5" t="inlineStr">
        <is>
          <t>iFinD ifind_get_stock_info (as of 2026-10-27)；山石网科通信技术股份有限公司2025年年度报告</t>
        </is>
      </c>
      <c r="M31" s="6" t="inlineStr">
        <is>
          <t>https://static.cninfo.com.cn/finalpage/2026-03-28/1225047617.PDF</t>
        </is>
      </c>
    </row>
    <row r="32" ht="92" customHeight="1">
      <c r="B32" s="7" t="inlineStr">
        <is>
          <t>688152</t>
        </is>
      </c>
      <c r="C32" s="7" t="inlineStr">
        <is>
          <t>麒麟信安</t>
        </is>
      </c>
      <c r="D32" s="8" t="inlineStr">
        <is>
          <t>网络安全：其他</t>
        </is>
      </c>
      <c r="E32" s="7" t="inlineStr">
        <is>
          <t>纠错</t>
        </is>
      </c>
      <c r="F32" s="7" t="inlineStr">
        <is>
          <t>网络安全</t>
        </is>
      </c>
      <c r="G32" s="8" t="inlineStr">
        <is>
          <t>操作系统与云计算安全</t>
        </is>
      </c>
      <c r="H32" s="7" t="inlineStr">
        <is>
          <t>核心</t>
        </is>
      </c>
      <c r="I32" s="8" t="inlineStr">
        <is>
          <t>公司以操作系统为根技术发展信息安全和云计算，2025年报披露高安全操作系统、云桌面V7安全检测、数据安全存储及专用配套安全平台，信息安全收入4230.81万元且终端安全产品增长，电力等场景已经落地。云桌面本身不直接等同网安，但其操作系统安全、存取控制、加密存储及通过检测的安全产品构成真实收入，且为明确业务板块，故保留核心，将其他及信创OS等泛化标签纠错为操作系统与云计算安全。</t>
        </is>
      </c>
      <c r="J32" s="7" t="inlineStr">
        <is>
          <t>麒麟信安：2025年年度报告</t>
        </is>
      </c>
      <c r="K32" s="7" t="inlineStr">
        <is>
          <t>2026-04-30</t>
        </is>
      </c>
      <c r="L32" s="8" t="inlineStr">
        <is>
          <t>iFinD ifind_get_stock_info (as of 2026-10-27)；麒麟信安：2025年年度报告</t>
        </is>
      </c>
      <c r="M32" s="9" t="inlineStr">
        <is>
          <t>https://money.finance.sina.com.cn/corp/view/vCB_AllBulletinDetail.php?stockid=688152&amp;id=12275443</t>
        </is>
      </c>
    </row>
    <row r="33" ht="92" customHeight="1">
      <c r="B33" s="4" t="inlineStr">
        <is>
          <t>688168</t>
        </is>
      </c>
      <c r="C33" s="4" t="inlineStr">
        <is>
          <t>安博通</t>
        </is>
      </c>
      <c r="D33" s="5" t="inlineStr">
        <is>
          <t>网络安全：网安细分-策略可视化</t>
        </is>
      </c>
      <c r="E33" s="4" t="inlineStr">
        <is>
          <t>纠错</t>
        </is>
      </c>
      <c r="F33" s="4" t="inlineStr">
        <is>
          <t>网络安全</t>
        </is>
      </c>
      <c r="G33" s="5" t="inlineStr">
        <is>
          <t>安全策略可视化</t>
        </is>
      </c>
      <c r="H33" s="4" t="inlineStr">
        <is>
          <t>核心</t>
        </is>
      </c>
      <c r="I33" s="5" t="inlineStr">
        <is>
          <t>公司定位为网络安全核心软件及安全服务提供商。2025年报中的晶石平台可跨厂商采集解析安全策略，提供策略清理、合规审计、路径与攻击面可视化，另有SOAR和全流量取证产品；公司向众多部委、央企交付，并中标电力企业安全运营自动化项目，商业化明确。尽管新增算力及存储模组业务，安全策略可视化仍是长期核心安全产品，故定核心，将旧前缀标签规范为安全策略可视化。</t>
        </is>
      </c>
      <c r="J33" s="4" t="inlineStr">
        <is>
          <t>北京安博通科技股份有限公司2025年年度报告</t>
        </is>
      </c>
      <c r="K33" s="4" t="inlineStr">
        <is>
          <t>2026-04-10</t>
        </is>
      </c>
      <c r="L33" s="5" t="inlineStr">
        <is>
          <t>iFinD ifind_get_stock_info (as of 2026-10-27)；北京安博通科技股份有限公司2025年年度报告</t>
        </is>
      </c>
      <c r="M33" s="6" t="inlineStr">
        <is>
          <t>https://static.cninfo.com.cn/finalpage/2026-04-10/1225090466.PDF</t>
        </is>
      </c>
    </row>
    <row r="34" ht="92" customHeight="1">
      <c r="B34" s="7" t="inlineStr">
        <is>
          <t>688225</t>
        </is>
      </c>
      <c r="C34" s="7" t="inlineStr">
        <is>
          <t>亚信安全</t>
        </is>
      </c>
      <c r="D34" s="8" t="inlineStr">
        <is>
          <t>网络安全：国家队</t>
        </is>
      </c>
      <c r="E34" s="7" t="inlineStr">
        <is>
          <t>纠错</t>
        </is>
      </c>
      <c r="F34" s="7" t="inlineStr">
        <is>
          <t>网络安全</t>
        </is>
      </c>
      <c r="G34" s="8" t="inlineStr">
        <is>
          <t>身份与终端安全、数据安全与云安全</t>
        </is>
      </c>
      <c r="H34" s="7" t="inlineStr">
        <is>
          <t>核心</t>
        </is>
      </c>
      <c r="I34" s="8" t="inlineStr">
        <is>
          <t>公司业务包括网络安全产品、网络安全服务与云网虚拟化，2025年报明确数字信任及身份安全、端点安全、云网边安全产品体系，TrustOne整合防病毒、EDR、DLP、准入和零信任，身份认证产品已进入市场并服务运营商、金融、政府等客户，具有持续规模收入。网络安全是明确主营，故维持核心，去掉无业务含义的国家队标签，改为身份与终端安全、数据安全与云安全。</t>
        </is>
      </c>
      <c r="J34" s="7" t="inlineStr">
        <is>
          <t>亚信安全：2025年年度报告</t>
        </is>
      </c>
      <c r="K34" s="7" t="inlineStr">
        <is>
          <t>2026-04-11</t>
        </is>
      </c>
      <c r="L34" s="8" t="inlineStr">
        <is>
          <t>iFinD ifind_get_stock_info (as of 2026-10-27)；亚信安全：2025年年度报告</t>
        </is>
      </c>
      <c r="M34" s="9" t="inlineStr">
        <is>
          <t>https://money.finance.sina.com.cn/corp/view/vCB_AllBulletinDetail.php?stockid=688225&amp;id=12080670</t>
        </is>
      </c>
    </row>
    <row r="35" ht="92" customHeight="1">
      <c r="B35" s="4" t="inlineStr">
        <is>
          <t>688244</t>
        </is>
      </c>
      <c r="C35" s="4" t="inlineStr">
        <is>
          <t>永信至诚</t>
        </is>
      </c>
      <c r="D35" s="5" t="inlineStr">
        <is>
          <t>网络安全：国家队</t>
        </is>
      </c>
      <c r="E35" s="4" t="inlineStr">
        <is>
          <t>纠错</t>
        </is>
      </c>
      <c r="F35" s="4" t="inlineStr">
        <is>
          <t>网络安全</t>
        </is>
      </c>
      <c r="G35" s="5" t="inlineStr">
        <is>
          <t>网络靶场与安全测试</t>
        </is>
      </c>
      <c r="H35" s="4" t="inlineStr">
        <is>
          <t>核心</t>
        </is>
      </c>
      <c r="I35" s="5" t="inlineStr">
        <is>
          <t>公司主营网络安全产品研发销售及服务，2025年报将数字风洞及运营、网络靶场及运营列为核心产品，依托平行仿真、攻防对抗和多循环测试评估，为政企客户提供安全验证、演练、实训及AI大模型测评，并已建设运营香港、北京数字风洞测评中心，属于持续交付的主营业务。故维持核心，将国家队及网安细分-靶场等旧标签统一纠错为能够同时覆盖靶场和数字风洞业务的网络靶场与安全测试。</t>
        </is>
      </c>
      <c r="J35" s="4" t="inlineStr">
        <is>
          <t>永信至诚科技集团股份有限公司2025年年度报告摘要</t>
        </is>
      </c>
      <c r="K35" s="4" t="inlineStr">
        <is>
          <t>2026-04-29</t>
        </is>
      </c>
      <c r="L35" s="5" t="inlineStr">
        <is>
          <t>iFinD ifind_get_stock_info (as of 2026-10-27)；永信至诚科技集团股份有限公司2025年年度报告摘要</t>
        </is>
      </c>
      <c r="M35" s="6" t="inlineStr">
        <is>
          <t>https://static.cninfo.com.cn/finalpage/2026-04-29/1225225334.PDF</t>
        </is>
      </c>
    </row>
    <row r="36" ht="92" customHeight="1">
      <c r="B36" s="7" t="inlineStr">
        <is>
          <t>688292</t>
        </is>
      </c>
      <c r="C36" s="7" t="inlineStr">
        <is>
          <t>浩瀚深度</t>
        </is>
      </c>
      <c r="D36" s="8" t="inlineStr">
        <is>
          <t>网络安全：AI监管-AI鉴伪</t>
        </is>
      </c>
      <c r="E36" s="7" t="inlineStr">
        <is>
          <t>纠错</t>
        </is>
      </c>
      <c r="F36" s="7" t="inlineStr">
        <is>
          <t>网络安全</t>
        </is>
      </c>
      <c r="G36" s="8" t="inlineStr">
        <is>
          <t>DPI与流量智能、内容安全与深度合成鉴伪</t>
        </is>
      </c>
      <c r="H36" s="7" t="inlineStr">
        <is>
          <t>核心</t>
        </is>
      </c>
      <c r="I36" s="8" t="inlineStr">
        <is>
          <t>公司传统主业为电信级流量管理，2025年报则披露安全业务占比已升至58%、信息安全防护解决方案收入2.25亿元，超过网络可视化板块；DPI、全流量采集、异常流量防护、内容审计、AI反诈及深度合成鉴伪均为正式产品，并面向运营商、政府和公共安全客户交付。安全已成为第一大业务，故由相关上调为核心，保留DPI与流量智能，并把AI鉴伪细化为内容安全与深度合成鉴伪。</t>
        </is>
      </c>
      <c r="J36" s="7" t="inlineStr">
        <is>
          <t>北京浩瀚深度信息技术股份有限公司2025年年度报告</t>
        </is>
      </c>
      <c r="K36" s="7" t="inlineStr">
        <is>
          <t>2026-04-29</t>
        </is>
      </c>
      <c r="L36" s="8" t="inlineStr">
        <is>
          <t>iFinD ifind_get_stock_info (as of 2026-10-27)；北京浩瀚深度信息技术股份有限公司2025年年度报告</t>
        </is>
      </c>
      <c r="M36" s="9" t="inlineStr">
        <is>
          <t>https://vip.stock.finance.sina.com.cn/corp/view/vCB_AllBulletinDetail.php?stockid=688292&amp;id=12244828</t>
        </is>
      </c>
    </row>
    <row r="37" ht="92" customHeight="1">
      <c r="B37" s="4" t="inlineStr">
        <is>
          <t>688489</t>
        </is>
      </c>
      <c r="C37" s="4" t="inlineStr">
        <is>
          <t>三未信安</t>
        </is>
      </c>
      <c r="D37" s="5" t="inlineStr">
        <is>
          <t>网络安全：抗量子密码</t>
        </is>
      </c>
      <c r="E37" s="4" t="inlineStr">
        <is>
          <t>纠错</t>
        </is>
      </c>
      <c r="F37" s="4" t="inlineStr">
        <is>
          <t>网络安全</t>
        </is>
      </c>
      <c r="G37" s="5" t="inlineStr">
        <is>
          <t>商用密码、抗量子密码</t>
        </is>
      </c>
      <c r="H37" s="4" t="inlineStr">
        <is>
          <t>核心</t>
        </is>
      </c>
      <c r="I37" s="5" t="inlineStr">
        <is>
          <t>公司明确以密码芯片、密码模块、密码整机和密码系统为产品体系，近二百款产品取得商用密码产品认证，为金融、政务、云厂商等提供加解密、签名、认证和密钥管理。全系列抗量子密码产品已于2024年发布，2025年在金融、通信、能源完成试点迁移，并非仅有研发预期；但规模主业仍是商用密码基础设施，故定核心，标签并列商用密码与抗量子密码，以区分成熟主营和尚处试点拓展阶段的新业务。</t>
        </is>
      </c>
      <c r="J37" s="4" t="inlineStr">
        <is>
          <t>三未信安科技股份有限公司2025年年度报告</t>
        </is>
      </c>
      <c r="K37" s="4" t="inlineStr">
        <is>
          <t>2026-03-31</t>
        </is>
      </c>
      <c r="L37" s="5" t="inlineStr">
        <is>
          <t>iFinD ifind_get_stock_info (as of 2026-10-27)；三未信安科技股份有限公司2025年年度报告</t>
        </is>
      </c>
      <c r="M37" s="6" t="inlineStr">
        <is>
          <t>http://static.cninfo.com.cn/finalpage/2026-03-31/1225055943.PDF</t>
        </is>
      </c>
    </row>
    <row r="38" ht="92" customHeight="1">
      <c r="B38" s="7" t="inlineStr">
        <is>
          <t>688561</t>
        </is>
      </c>
      <c r="C38" s="7" t="inlineStr">
        <is>
          <t>奇安信-U</t>
        </is>
      </c>
      <c r="D38" s="8" t="inlineStr">
        <is>
          <t>网络安全：SaaS软件与服务</t>
        </is>
      </c>
      <c r="E38" s="7" t="inlineStr">
        <is>
          <t>纠错</t>
        </is>
      </c>
      <c r="F38" s="7" t="inlineStr">
        <is>
          <t>网络安全</t>
        </is>
      </c>
      <c r="G38" s="8" t="inlineStr">
        <is>
          <t>终端安全与威胁检测、数据安全与云安全</t>
        </is>
      </c>
      <c r="H38" s="7" t="inlineStr">
        <is>
          <t>核心</t>
        </is>
      </c>
      <c r="I38" s="8" t="inlineStr">
        <is>
          <t>公司主营政企网络安全产品和服务，2025年报将产品分为终端、边界、云与大数据安全及安全运营，天擎、ZTNA、智慧防火墙、CSMP、CNAPP、DSCP、数据库审计和脱敏等均有正式上市版本及政企应用，新AI安全产品亦已在客户侧使用。网络安全是主体而非SaaS单一交付形态，故由相关纠错为核心，以终端安全与威胁检测、数据安全与云安全替代旧SaaS标签，不重复其他分类。</t>
        </is>
      </c>
      <c r="J38" s="7" t="inlineStr">
        <is>
          <t>奇安信科技集团股份有限公司2025年年度报告</t>
        </is>
      </c>
      <c r="K38" s="7" t="inlineStr">
        <is>
          <t>2026-04-30</t>
        </is>
      </c>
      <c r="L38" s="8" t="inlineStr">
        <is>
          <t>iFinD ifind_get_stock_info (as of 2026-10-27)；奇安信科技集团股份有限公司2025年年度报告</t>
        </is>
      </c>
      <c r="M38" s="9" t="inlineStr">
        <is>
          <t>http://file.finance.sina.com.cn/211.154.219.97:9494/MRGG/CNSESH_STOCK/2026/2026-4/2026-04-30/12285369.PDF</t>
        </is>
      </c>
    </row>
    <row r="39" ht="92" customHeight="1">
      <c r="B39" s="4" t="inlineStr">
        <is>
          <t>688651</t>
        </is>
      </c>
      <c r="C39" s="4" t="inlineStr">
        <is>
          <t>盛邦安全</t>
        </is>
      </c>
      <c r="D39" s="5" t="inlineStr">
        <is>
          <t>网络安全：国家队</t>
        </is>
      </c>
      <c r="E39" s="4" t="inlineStr">
        <is>
          <t>纠错</t>
        </is>
      </c>
      <c r="F39" s="4" t="inlineStr">
        <is>
          <t>网络安全</t>
        </is>
      </c>
      <c r="G39" s="5" t="inlineStr">
        <is>
          <t>漏洞与攻击面管理、Web应用安全</t>
        </is>
      </c>
      <c r="H39" s="4" t="inlineStr">
        <is>
          <t>核心</t>
        </is>
      </c>
      <c r="I39" s="5" t="inlineStr">
        <is>
          <t>公司拥有安全检测、应用防护、网络资产及安全服务等完整产品线，2025年报披露RayScan漏洞扫描、RayWAF与RayAPI应用防护、网络空间地图和暴露面及攻击面SaaS监测，WAF已服务12306、中石化、人民银行等关键客户，产品持续迭代并形成收入。卫星互联网安全是新增方向，不影响既有网安主营核心判断；本轮去除国家队泛标签，改为漏洞与攻击面管理、Web应用安全。</t>
        </is>
      </c>
      <c r="J39" s="4" t="inlineStr">
        <is>
          <t>远江盛邦安全科技集团股份有限公司2025年年度报告</t>
        </is>
      </c>
      <c r="K39" s="4" t="inlineStr">
        <is>
          <t>2026-04-29</t>
        </is>
      </c>
      <c r="L39" s="5" t="inlineStr">
        <is>
          <t>iFinD ifind_get_stock_info (as of 2026-10-27)；远江盛邦安全科技集团股份有限公司2025年年度报告</t>
        </is>
      </c>
      <c r="M39" s="6" t="inlineStr">
        <is>
          <t>http://file.finance.sina.com.cn/211.154.219.97:9494/MRGG/CNSESH_STOCK/2026/2026-4/2026-04-29/12254489.PDF</t>
        </is>
      </c>
    </row>
    <row r="40" ht="92" customHeight="1">
      <c r="B40" s="7" t="inlineStr">
        <is>
          <t>300352</t>
        </is>
      </c>
      <c r="C40" s="7" t="inlineStr">
        <is>
          <t>北信源</t>
        </is>
      </c>
      <c r="D40" s="8" t="inlineStr">
        <is>
          <t>网络安全：国家队</t>
        </is>
      </c>
      <c r="E40" s="7" t="inlineStr">
        <is>
          <t>纠错</t>
        </is>
      </c>
      <c r="F40" s="7" t="inlineStr">
        <is>
          <t>网络安全</t>
        </is>
      </c>
      <c r="G40" s="8" t="inlineStr">
        <is>
          <t>身份与终端安全、安全通信与移动办公</t>
        </is>
      </c>
      <c r="H40" s="7" t="inlineStr">
        <is>
          <t>核心</t>
        </is>
      </c>
      <c r="I40" s="8" t="inlineStr">
        <is>
          <t>公司主营信息安全软件研发、生产销售及服务，2025年报形成信息安全及信创、高安全通信及移动办公等产品格局，泛终端安全套件、网络准入、DLP和信源密信均有实际产品，信源密信已在党政军等客户规模应用，数据安全产品也部署于金融、运营商和能源客户。尽管营收下滑并被ST，主营业务与网络安全仍直接一致，故维持核心，将国家队改为身份与终端安全、安全通信与移动办公。</t>
        </is>
      </c>
      <c r="J40" s="7" t="inlineStr">
        <is>
          <t>北信源：2025年年度报告</t>
        </is>
      </c>
      <c r="K40" s="7" t="inlineStr">
        <is>
          <t>2026-04-30</t>
        </is>
      </c>
      <c r="L40" s="8" t="inlineStr">
        <is>
          <t>iFinD ifind_get_stock_info (as of 2026-10-27)；北信源：2025年年度报告</t>
        </is>
      </c>
      <c r="M40" s="9" t="inlineStr">
        <is>
          <t>https://money.finance.sina.com.cn/corp/view/vCB_AllBulletinDetail.php?stockid=300352&amp;id=12289650</t>
        </is>
      </c>
    </row>
    <row r="41" ht="92" customHeight="1">
      <c r="B41" s="4" t="inlineStr">
        <is>
          <t>301117</t>
        </is>
      </c>
      <c r="C41" s="4" t="inlineStr">
        <is>
          <t>佳缘科技</t>
        </is>
      </c>
      <c r="D41" s="5" t="inlineStr">
        <is>
          <t>网络安全：其他</t>
        </is>
      </c>
      <c r="E41" s="4" t="inlineStr">
        <is>
          <t>纠错</t>
        </is>
      </c>
      <c r="F41" s="4" t="inlineStr">
        <is>
          <t>网络安全</t>
        </is>
      </c>
      <c r="G41" s="5" t="inlineStr">
        <is>
          <t>专用安全终端与测控安全、商用密码与安全传输</t>
        </is>
      </c>
      <c r="H41" s="4" t="inlineStr">
        <is>
          <t>核心</t>
        </is>
      </c>
      <c r="I41" s="5" t="inlineStr">
        <is>
          <t>公司信息化服务与网络信息安全综合解决方案并行，2025年报披露专用芯片、板卡、整机以及检测台安全防护、中低速测控安全和高速数据安全传输系统，采用编码、解码、身份鉴别、防篡改和加扰保障航空航天数据传输；网络信息安全产品收入9230.28万元、占28.86%，是重要收入板块而非概念。故维持核心，将其他细化为专用安全终端与测控安全、商用密码与安全传输。</t>
        </is>
      </c>
      <c r="J41" s="4" t="inlineStr">
        <is>
          <t>佳缘科技：2025年年度报告</t>
        </is>
      </c>
      <c r="K41" s="4" t="inlineStr">
        <is>
          <t>2026-04-24</t>
        </is>
      </c>
      <c r="L41" s="5" t="inlineStr">
        <is>
          <t>iFinD ifind_get_stock_info (as of 2026-10-27)；佳缘科技：2025年年度报告</t>
        </is>
      </c>
      <c r="M41" s="6" t="inlineStr">
        <is>
          <t>https://money.finance.sina.com.cn/corp/view/vCB_AllBulletinDetail.php?stockid=301117&amp;id=12168663</t>
        </is>
      </c>
    </row>
    <row r="42" ht="92" customHeight="1">
      <c r="B42" s="7" t="inlineStr">
        <is>
          <t>000004</t>
        </is>
      </c>
      <c r="C42" s="7" t="inlineStr">
        <is>
          <t>国华网安</t>
        </is>
      </c>
      <c r="D42" s="8" t="inlineStr">
        <is>
          <t>网络安全：其他</t>
        </is>
      </c>
      <c r="E42" s="7" t="inlineStr">
        <is>
          <t>纠错</t>
        </is>
      </c>
      <c r="F42" s="7" t="inlineStr">
        <is>
          <t>网络安全</t>
        </is>
      </c>
      <c r="G42" s="8" t="inlineStr">
        <is>
          <t>移动应用安全</t>
        </is>
      </c>
      <c r="H42" s="7" t="inlineStr">
        <is>
          <t>核心</t>
        </is>
      </c>
      <c r="I42" s="8" t="inlineStr">
        <is>
          <t>公司拥有移动应用安全工具和平台产品，2025年报显示爱加密覆盖APP漏洞与隐私合规检测、安全加固、渠道监测和移动威胁感知，服务监管、测评及企业客户；移动应用安全业务收入1.005亿元、占56.82%，加固与检测平台均达到预定用途，属于规模化主营而非普通移动信息化。即使公司新增医药等业务并处于退市状态，本轮仍按业务实质定为核心，将其他纠错为移动应用安全。</t>
        </is>
      </c>
      <c r="J42" s="7" t="inlineStr">
        <is>
          <t>*ST国华：2025年年度报告</t>
        </is>
      </c>
      <c r="K42" s="7" t="inlineStr">
        <is>
          <t>2026-04-28</t>
        </is>
      </c>
      <c r="L42" s="8" t="inlineStr">
        <is>
          <t>iFinD ifind_get_stock_info (as of 2026-10-27)；*ST国华：2025年年度报告</t>
        </is>
      </c>
      <c r="M42" s="9" t="inlineStr">
        <is>
          <t>https://vip.stock.finance.sina.com.cn/corp/view/vCB_AllBulletinDetail.php?stockid=000004&amp;id=12235717</t>
        </is>
      </c>
    </row>
  </sheetData>
  <autoFilter ref="B4:M42"/>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8" customWidth="1" min="4" max="4"/>
    <col width="10" customWidth="1" min="5" max="5"/>
    <col width="16" customWidth="1" min="6" max="6"/>
    <col width="48"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摘除清单 · 7只错标与落地不足</t>
        </is>
      </c>
    </row>
    <row r="3">
      <c r="B3" s="2" t="inlineStr">
        <is>
          <t>普通信息化、内部平台治理、纸币鉴伪、传媒VR及参股关系不直接计入网络安全。</t>
        </is>
      </c>
    </row>
    <row r="4">
      <c r="B4" s="3" t="inlineStr">
        <is>
          <t>代码</t>
        </is>
      </c>
      <c r="C4" s="3" t="inlineStr">
        <is>
          <t>名称</t>
        </is>
      </c>
      <c r="D4" s="3" t="inlineStr">
        <is>
          <t>旧网络安全概念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000681</t>
        </is>
      </c>
      <c r="C5" s="4" t="inlineStr">
        <is>
          <t>视觉中国</t>
        </is>
      </c>
      <c r="D5" s="5" t="inlineStr">
        <is>
          <t>网络安全：字节生态</t>
        </is>
      </c>
      <c r="E5" s="4" t="inlineStr">
        <is>
          <t>摘除</t>
        </is>
      </c>
      <c r="F5" s="4" t="inlineStr">
        <is>
          <t>—</t>
        </is>
      </c>
      <c r="G5" s="5" t="inlineStr">
        <is>
          <t>—</t>
        </is>
      </c>
      <c r="H5" s="4" t="inlineStr">
        <is>
          <t>摘除</t>
        </is>
      </c>
      <c r="I5" s="5" t="inlineStr">
        <is>
          <t>公司主营是正版图片、视频等视觉内容授权、创意定制及数据服务。年报中的AI质量审核、版权查重和合规审核主要服务于自有素材平台入库与交易治理，光厂创意的智能审核也用于自身作品管理，未证明向外部客户销售独立内容安全产品或审核服务；可信时间戳等能力还涉及战略投资企业。版权授权、内部平台审核和AI训练素材经营不能直接等同网络安全主营，故删除错误的字节生态标签且不新增网安概念。</t>
        </is>
      </c>
      <c r="J5" s="4" t="inlineStr">
        <is>
          <t>视觉中国：2025年年度报告</t>
        </is>
      </c>
      <c r="K5" s="4" t="inlineStr">
        <is>
          <t>2026-03-31</t>
        </is>
      </c>
      <c r="L5" s="5" t="inlineStr">
        <is>
          <t>iFinD ifind_get_stock_info (as of 2026-10-27)；视觉中国：2025年年度报告</t>
        </is>
      </c>
      <c r="M5" s="6" t="inlineStr">
        <is>
          <t>https://money.finance.sina.com.cn/corp/view/vCB_AllBulletinDetail.php?stockid=000681&amp;id=12047786</t>
        </is>
      </c>
    </row>
    <row r="6" ht="92" customHeight="1">
      <c r="B6" s="7" t="inlineStr">
        <is>
          <t>002279</t>
        </is>
      </c>
      <c r="C6" s="7" t="inlineStr">
        <is>
          <t>久其软件</t>
        </is>
      </c>
      <c r="D6" s="8" t="inlineStr">
        <is>
          <t>网络安全：其他</t>
        </is>
      </c>
      <c r="E6" s="7" t="inlineStr">
        <is>
          <t>摘除</t>
        </is>
      </c>
      <c r="F6" s="7" t="inlineStr">
        <is>
          <t>—</t>
        </is>
      </c>
      <c r="G6" s="8" t="inlineStr">
        <is>
          <t>—</t>
        </is>
      </c>
      <c r="H6" s="7" t="inlineStr">
        <is>
          <t>摘除</t>
        </is>
      </c>
      <c r="I6" s="8" t="inlineStr">
        <is>
          <t>公司主要向政企客户提供数字政府、数智财务、资产管理、数据智能和数字传播产品。2025年报所述安全底座、DevOps加固、灾备、应急响应和项目安全巡检，主要用于保障女娲平台及既有信息化项目交付；新获软件安全开发、安全集成资质也只是交付能力证明，未显示独立网络安全产品、客户项目收入或规模化安全服务。庭审音视频脱敏属于智慧司法应用，不足以支撑通用网安标签，故摘除原“其他”。</t>
        </is>
      </c>
      <c r="J6" s="7" t="inlineStr">
        <is>
          <t>北京久其软件股份有限公司2025年年度报告全文</t>
        </is>
      </c>
      <c r="K6" s="7" t="inlineStr">
        <is>
          <t>2026-04-25</t>
        </is>
      </c>
      <c r="L6" s="8" t="inlineStr">
        <is>
          <t>iFinD ifind_get_stock_info (as of 2026-10-27)；北京久其软件股份有限公司2025年年度报告全文</t>
        </is>
      </c>
      <c r="M6" s="9" t="inlineStr">
        <is>
          <t>https://static.cninfo.com.cn/finalpage/2026-04-25/1225189930.PDF</t>
        </is>
      </c>
    </row>
    <row r="7" ht="92" customHeight="1">
      <c r="B7" s="4" t="inlineStr">
        <is>
          <t>002362</t>
        </is>
      </c>
      <c r="C7" s="4" t="inlineStr">
        <is>
          <t>汉王科技</t>
        </is>
      </c>
      <c r="D7" s="5" t="inlineStr">
        <is>
          <t>网络安全：AI监管-内容标识</t>
        </is>
      </c>
      <c r="E7" s="4" t="inlineStr">
        <is>
          <t>摘除</t>
        </is>
      </c>
      <c r="F7" s="4" t="inlineStr">
        <is>
          <t>—</t>
        </is>
      </c>
      <c r="G7" s="5" t="inlineStr">
        <is>
          <t>—</t>
        </is>
      </c>
      <c r="H7" s="4" t="inlineStr">
        <is>
          <t>摘除</t>
        </is>
      </c>
      <c r="I7" s="5" t="inlineStr">
        <is>
          <t>公司以模式识别和智能交互为基础，2025年收入主要来自笔智能交互、AI终端和多模态大数据，应用包括数字绘画、无纸化签批、智慧司法及数字人文。年报及现有主营资料未证明AI生成内容标识、深度伪造检测或内容安全审核已形成对外销售产品，更无对应客户、项目或收入；电子签名、OCR、档案数字化及商用密码经营范围也不能替代实际网安业务证据。因此原“AI监管-内容标识”属于技术印象延伸，予以摘除。</t>
        </is>
      </c>
      <c r="J7" s="4" t="inlineStr">
        <is>
          <t>汉王科技股份有限公司2025年年度报告全文</t>
        </is>
      </c>
      <c r="K7" s="4" t="inlineStr">
        <is>
          <t>2026-03-28</t>
        </is>
      </c>
      <c r="L7" s="5" t="inlineStr">
        <is>
          <t>iFinD ifind_get_stock_info (as of 2026-10-27)；汉王科技股份有限公司2025年年度报告全文</t>
        </is>
      </c>
      <c r="M7" s="6" t="inlineStr">
        <is>
          <t>http://static.cninfo.com.cn/finalpage/2026-03-28/1225045555.PDF</t>
        </is>
      </c>
    </row>
    <row r="8" ht="92" customHeight="1">
      <c r="B8" s="7" t="inlineStr">
        <is>
          <t>300551</t>
        </is>
      </c>
      <c r="C8" s="7" t="inlineStr">
        <is>
          <t>古鳌科技</t>
        </is>
      </c>
      <c r="D8" s="8" t="inlineStr">
        <is>
          <t>网络安全：AI监管-AI鉴伪</t>
        </is>
      </c>
      <c r="E8" s="7" t="inlineStr">
        <is>
          <t>摘除</t>
        </is>
      </c>
      <c r="F8" s="7" t="inlineStr">
        <is>
          <t>—</t>
        </is>
      </c>
      <c r="G8" s="8" t="inlineStr">
        <is>
          <t>—</t>
        </is>
      </c>
      <c r="H8" s="7" t="inlineStr">
        <is>
          <t>摘除</t>
        </is>
      </c>
      <c r="I8" s="8" t="inlineStr">
        <is>
          <t>iFinD主营为金融设备研发、生产、销售与服务，2025年报进一步列示金融机具设备及服务收入占比90.06%，所谓“鉴伪”主要是点验钞机、清分机利用图像、荧光、磁性、红外等技术识别纸币真伪，并非AIGC内容鉴伪、数据安全或网络防护。印鉴卡授权管理、档案柜防调包也只是金融实物设备功能，未找到可商业化的网络安全产品、客户或项目，因此摘除旧AI鉴伪标签。</t>
        </is>
      </c>
      <c r="J8" s="7" t="inlineStr">
        <is>
          <t>上海古鳌电子科技股份有限公司2025年年度报告</t>
        </is>
      </c>
      <c r="K8" s="7" t="inlineStr">
        <is>
          <t>2026-04-28</t>
        </is>
      </c>
      <c r="L8" s="8" t="inlineStr">
        <is>
          <t>iFinD ifind_get_stock_info (as of 2026-10-27)；上海古鳌电子科技股份有限公司2025年年度报告</t>
        </is>
      </c>
      <c r="M8" s="9" t="inlineStr">
        <is>
          <t>https://static.cninfo.com.cn/finalpage/2026-04-28/1225223150.PDF</t>
        </is>
      </c>
    </row>
    <row r="9" ht="92" customHeight="1">
      <c r="B9" s="4" t="inlineStr">
        <is>
          <t>600728</t>
        </is>
      </c>
      <c r="C9" s="4" t="inlineStr">
        <is>
          <t>佳都科技</t>
        </is>
      </c>
      <c r="D9" s="5" t="inlineStr">
        <is>
          <t>网络安全：AI监管-内容标识</t>
        </is>
      </c>
      <c r="E9" s="4" t="inlineStr">
        <is>
          <t>摘除</t>
        </is>
      </c>
      <c r="F9" s="4" t="inlineStr">
        <is>
          <t>—</t>
        </is>
      </c>
      <c r="G9" s="5" t="inlineStr">
        <is>
          <t>—</t>
        </is>
      </c>
      <c r="H9" s="4" t="inlineStr">
        <is>
          <t>摘除</t>
        </is>
      </c>
      <c r="I9" s="5" t="inlineStr">
        <is>
          <t>iFinD及2025年报显示公司主营企业数智化、智慧轨道交通和城市交通管理，核心产品为交通佳鸿操作系统、知行交通大模型、信号控制及轨交综合监控等，未找到AIGC内容标识、内容溯源或鉴伪产品及对应客户项目。企业数智化业务虽渠道集成网络、安全、安防产品并拓展360数字安全等合作厂商，但属于通用ICT分销集成，不等于自身网络安全主营；内部数据安全治理也不能作为对外产品证据，故摘除旧内容标识标签。</t>
        </is>
      </c>
      <c r="J9" s="4" t="inlineStr">
        <is>
          <t>佳都科技：2025年年度报告</t>
        </is>
      </c>
      <c r="K9" s="4" t="inlineStr">
        <is>
          <t>2026-04-10</t>
        </is>
      </c>
      <c r="L9" s="5" t="inlineStr">
        <is>
          <t>iFinD ifind_get_stock_info (as of 2026-10-27)；佳都科技：2025年年度报告</t>
        </is>
      </c>
      <c r="M9" s="6" t="inlineStr">
        <is>
          <t>https://money.finance.sina.com.cn/corp/view/vCB_AllBulletinDetail.php?stockid=600728&amp;id=12074772</t>
        </is>
      </c>
    </row>
    <row r="10" ht="92" customHeight="1">
      <c r="B10" s="7" t="inlineStr">
        <is>
          <t>600736</t>
        </is>
      </c>
      <c r="C10" s="7" t="inlineStr">
        <is>
          <t>苏州高新</t>
        </is>
      </c>
      <c r="D10" s="8" t="inlineStr">
        <is>
          <t>网络安全：AI监管-内容审核</t>
        </is>
      </c>
      <c r="E10" s="7" t="inlineStr">
        <is>
          <t>摘除</t>
        </is>
      </c>
      <c r="F10" s="7" t="inlineStr">
        <is>
          <t>—</t>
        </is>
      </c>
      <c r="G10" s="8" t="inlineStr">
        <is>
          <t>—</t>
        </is>
      </c>
      <c r="H10" s="7" t="inlineStr">
        <is>
          <t>摘除</t>
        </is>
      </c>
      <c r="I10" s="8" t="inlineStr">
        <is>
          <t>iFinD主营为房地产开发及基础设施经营，2025年报披露的业务板块是产业园运营、高端装备、产业投资、产城综合开发、环保和融资租赁，未见上市公司自营内容审核、内容安全或其他网络安全产品、项目及收入。园区招商、基金投资和参股科技企业只形成财务投资或产业生态关系，不能把被投企业业务上升为上市公司主营，也没有证据支持旧“AI监管-内容审核”标签，因此予以摘除。</t>
        </is>
      </c>
      <c r="J10" s="7" t="inlineStr">
        <is>
          <t>苏州高新：2025年年度报告</t>
        </is>
      </c>
      <c r="K10" s="7" t="inlineStr">
        <is>
          <t>2026-04-28</t>
        </is>
      </c>
      <c r="L10" s="8" t="inlineStr">
        <is>
          <t>iFinD ifind_get_stock_info (as of 2026-10-27)；苏州高新：2025年年度报告</t>
        </is>
      </c>
      <c r="M10" s="9" t="inlineStr">
        <is>
          <t>https://money.finance.sina.com.cn/corp/view/vCB_AllBulletinDetail.php?stockid=600736&amp;id=12216791</t>
        </is>
      </c>
    </row>
    <row r="11" ht="92" customHeight="1">
      <c r="B11" s="4" t="inlineStr">
        <is>
          <t>300081</t>
        </is>
      </c>
      <c r="C11" s="4" t="inlineStr">
        <is>
          <t>恒信东方</t>
        </is>
      </c>
      <c r="D11" s="5" t="inlineStr">
        <is>
          <t>网络安全：AI监管-数字水印</t>
        </is>
      </c>
      <c r="E11" s="4" t="inlineStr">
        <is>
          <t>摘除</t>
        </is>
      </c>
      <c r="F11" s="4" t="inlineStr">
        <is>
          <t>—</t>
        </is>
      </c>
      <c r="G11" s="5" t="inlineStr">
        <is>
          <t>—</t>
        </is>
      </c>
      <c r="H11" s="4" t="inlineStr">
        <is>
          <t>摘除</t>
        </is>
      </c>
      <c r="I11" s="5" t="inlineStr">
        <is>
          <t>公司2025年报显示业务为数字创意、互联网视频应用及算力系统集成，具体包括LBE文旅场馆、VR/CG内容、AI合家欢、VR游戏和影视视效制作；报告期内项目亦集中于博物馆、景区、动画与AI短片。未找到可核验的数字水印安全产品、客户、项目或收入，经营范围中的网络与信息安全软件开发不能替代落地证据，因此旧AI监管-数字水印属于把普通传媒及VR业务贴上安全标签，本轮直接摘除网络安全分类。</t>
        </is>
      </c>
      <c r="J11" s="4" t="inlineStr">
        <is>
          <t>恒信东方文化股份有限公司2025年年度报告摘要</t>
        </is>
      </c>
      <c r="K11" s="4" t="inlineStr">
        <is>
          <t>2026-04-28</t>
        </is>
      </c>
      <c r="L11" s="5" t="inlineStr">
        <is>
          <t>iFinD ifind_get_stock_info (as of 2026-10-27)；恒信东方文化股份有限公司2025年年度报告摘要</t>
        </is>
      </c>
      <c r="M11" s="6" t="inlineStr">
        <is>
          <t>http://static.cninfo.com.cn/finalpage/2026-04-28/1225220515.PDF</t>
        </is>
      </c>
    </row>
  </sheetData>
  <autoFilter ref="B4:M11"/>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网络安全</t>
        </is>
      </c>
      <c r="B2" t="inlineStr">
        <is>
          <t>内容安全与智能审核</t>
        </is>
      </c>
      <c r="C2" t="inlineStr">
        <is>
          <t>相关</t>
        </is>
      </c>
      <c r="D2" t="inlineStr">
        <is>
          <t>000156</t>
        </is>
      </c>
      <c r="E2" t="inlineStr">
        <is>
          <t>华数传媒</t>
        </is>
      </c>
    </row>
    <row r="3">
      <c r="A3" t="inlineStr">
        <is>
          <t>网络安全</t>
        </is>
      </c>
      <c r="B3" t="inlineStr">
        <is>
          <t>内容安全与审核服务</t>
        </is>
      </c>
      <c r="C3" t="inlineStr">
        <is>
          <t>相关</t>
        </is>
      </c>
      <c r="D3" t="inlineStr">
        <is>
          <t>000839</t>
        </is>
      </c>
      <c r="E3" t="inlineStr">
        <is>
          <t>国安股份</t>
        </is>
      </c>
    </row>
    <row r="4">
      <c r="A4" t="inlineStr">
        <is>
          <t>网络安全</t>
        </is>
      </c>
      <c r="B4" t="inlineStr">
        <is>
          <t>防火墙与零信任</t>
        </is>
      </c>
      <c r="C4" t="inlineStr">
        <is>
          <t>核心</t>
        </is>
      </c>
      <c r="D4" t="inlineStr">
        <is>
          <t>002212</t>
        </is>
      </c>
      <c r="E4" t="inlineStr">
        <is>
          <t>天融信</t>
        </is>
      </c>
    </row>
    <row r="5">
      <c r="A5" t="inlineStr">
        <is>
          <t>网络安全</t>
        </is>
      </c>
      <c r="B5" t="inlineStr">
        <is>
          <t>数据安全</t>
        </is>
      </c>
      <c r="C5" t="inlineStr">
        <is>
          <t>核心</t>
        </is>
      </c>
      <c r="D5" t="inlineStr">
        <is>
          <t>002212</t>
        </is>
      </c>
      <c r="E5" t="inlineStr">
        <is>
          <t>天融信</t>
        </is>
      </c>
    </row>
    <row r="6">
      <c r="A6" t="inlineStr">
        <is>
          <t>网络安全</t>
        </is>
      </c>
      <c r="B6" t="inlineStr">
        <is>
          <t>安全运营与托管服务</t>
        </is>
      </c>
      <c r="C6" t="inlineStr">
        <is>
          <t>核心</t>
        </is>
      </c>
      <c r="D6" t="inlineStr">
        <is>
          <t>002212</t>
        </is>
      </c>
      <c r="E6" t="inlineStr">
        <is>
          <t>天融信</t>
        </is>
      </c>
    </row>
    <row r="7">
      <c r="A7" t="inlineStr">
        <is>
          <t>网络安全</t>
        </is>
      </c>
      <c r="B7" t="inlineStr">
        <is>
          <t>密码与身份认证</t>
        </is>
      </c>
      <c r="C7" t="inlineStr">
        <is>
          <t>核心</t>
        </is>
      </c>
      <c r="D7" t="inlineStr">
        <is>
          <t>002268</t>
        </is>
      </c>
      <c r="E7" t="inlineStr">
        <is>
          <t>电科网安</t>
        </is>
      </c>
    </row>
    <row r="8">
      <c r="A8" t="inlineStr">
        <is>
          <t>网络安全</t>
        </is>
      </c>
      <c r="B8" t="inlineStr">
        <is>
          <t>数据安全</t>
        </is>
      </c>
      <c r="C8" t="inlineStr">
        <is>
          <t>核心</t>
        </is>
      </c>
      <c r="D8" t="inlineStr">
        <is>
          <t>002268</t>
        </is>
      </c>
      <c r="E8" t="inlineStr">
        <is>
          <t>电科网安</t>
        </is>
      </c>
    </row>
    <row r="9">
      <c r="A9" t="inlineStr">
        <is>
          <t>网络安全</t>
        </is>
      </c>
      <c r="B9" t="inlineStr">
        <is>
          <t>网络安全运营</t>
        </is>
      </c>
      <c r="C9" t="inlineStr">
        <is>
          <t>核心</t>
        </is>
      </c>
      <c r="D9" t="inlineStr">
        <is>
          <t>002268</t>
        </is>
      </c>
      <c r="E9" t="inlineStr">
        <is>
          <t>电科网安</t>
        </is>
      </c>
    </row>
    <row r="10">
      <c r="A10" t="inlineStr">
        <is>
          <t>网络安全</t>
        </is>
      </c>
      <c r="B10" t="inlineStr">
        <is>
          <t>安全运营与托管服务</t>
        </is>
      </c>
      <c r="C10" t="inlineStr">
        <is>
          <t>核心</t>
        </is>
      </c>
      <c r="D10" t="inlineStr">
        <is>
          <t>002439</t>
        </is>
      </c>
      <c r="E10" t="inlineStr">
        <is>
          <t>启明星辰</t>
        </is>
      </c>
    </row>
    <row r="11">
      <c r="A11" t="inlineStr">
        <is>
          <t>网络安全</t>
        </is>
      </c>
      <c r="B11" t="inlineStr">
        <is>
          <t>防火墙与零信任</t>
        </is>
      </c>
      <c r="C11" t="inlineStr">
        <is>
          <t>核心</t>
        </is>
      </c>
      <c r="D11" t="inlineStr">
        <is>
          <t>002439</t>
        </is>
      </c>
      <c r="E11" t="inlineStr">
        <is>
          <t>启明星辰</t>
        </is>
      </c>
    </row>
    <row r="12">
      <c r="A12" t="inlineStr">
        <is>
          <t>网络安全</t>
        </is>
      </c>
      <c r="B12" t="inlineStr">
        <is>
          <t>数据安全</t>
        </is>
      </c>
      <c r="C12" t="inlineStr">
        <is>
          <t>核心</t>
        </is>
      </c>
      <c r="D12" t="inlineStr">
        <is>
          <t>002439</t>
        </is>
      </c>
      <c r="E12" t="inlineStr">
        <is>
          <t>启明星辰</t>
        </is>
      </c>
    </row>
    <row r="13">
      <c r="A13" t="inlineStr">
        <is>
          <t>网络安全</t>
        </is>
      </c>
      <c r="B13" t="inlineStr">
        <is>
          <t>网络可视化</t>
        </is>
      </c>
      <c r="C13" t="inlineStr">
        <is>
          <t>核心</t>
        </is>
      </c>
      <c r="D13" t="inlineStr">
        <is>
          <t>002912</t>
        </is>
      </c>
      <c r="E13" t="inlineStr">
        <is>
          <t>中新赛克</t>
        </is>
      </c>
    </row>
    <row r="14">
      <c r="A14" t="inlineStr">
        <is>
          <t>网络安全</t>
        </is>
      </c>
      <c r="B14" t="inlineStr">
        <is>
          <t>网络内容安全</t>
        </is>
      </c>
      <c r="C14" t="inlineStr">
        <is>
          <t>核心</t>
        </is>
      </c>
      <c r="D14" t="inlineStr">
        <is>
          <t>002912</t>
        </is>
      </c>
      <c r="E14" t="inlineStr">
        <is>
          <t>中新赛克</t>
        </is>
      </c>
    </row>
    <row r="15">
      <c r="A15" t="inlineStr">
        <is>
          <t>网络安全</t>
        </is>
      </c>
      <c r="B15" t="inlineStr">
        <is>
          <t>数据安全</t>
        </is>
      </c>
      <c r="C15" t="inlineStr">
        <is>
          <t>核心</t>
        </is>
      </c>
      <c r="D15" t="inlineStr">
        <is>
          <t>002912</t>
        </is>
      </c>
      <c r="E15" t="inlineStr">
        <is>
          <t>中新赛克</t>
        </is>
      </c>
    </row>
    <row r="16">
      <c r="A16" t="inlineStr">
        <is>
          <t>网络安全</t>
        </is>
      </c>
      <c r="B16" t="inlineStr">
        <is>
          <t>密码与身份认证</t>
        </is>
      </c>
      <c r="C16" t="inlineStr">
        <is>
          <t>核心</t>
        </is>
      </c>
      <c r="D16" t="inlineStr">
        <is>
          <t>003029</t>
        </is>
      </c>
      <c r="E16" t="inlineStr">
        <is>
          <t>吉大正元</t>
        </is>
      </c>
    </row>
    <row r="17">
      <c r="A17" t="inlineStr">
        <is>
          <t>网络安全</t>
        </is>
      </c>
      <c r="B17" t="inlineStr">
        <is>
          <t>抗量子密码</t>
        </is>
      </c>
      <c r="C17" t="inlineStr">
        <is>
          <t>核心</t>
        </is>
      </c>
      <c r="D17" t="inlineStr">
        <is>
          <t>003029</t>
        </is>
      </c>
      <c r="E17" t="inlineStr">
        <is>
          <t>吉大正元</t>
        </is>
      </c>
    </row>
    <row r="18">
      <c r="A18" t="inlineStr">
        <is>
          <t>网络安全</t>
        </is>
      </c>
      <c r="B18" t="inlineStr">
        <is>
          <t>云安全与CDN</t>
        </is>
      </c>
      <c r="C18" t="inlineStr">
        <is>
          <t>核心</t>
        </is>
      </c>
      <c r="D18" t="inlineStr">
        <is>
          <t>300017</t>
        </is>
      </c>
      <c r="E18" t="inlineStr">
        <is>
          <t>网宿科技</t>
        </is>
      </c>
    </row>
    <row r="19">
      <c r="A19" t="inlineStr">
        <is>
          <t>网络安全</t>
        </is>
      </c>
      <c r="B19" t="inlineStr">
        <is>
          <t>零信任与SASE</t>
        </is>
      </c>
      <c r="C19" t="inlineStr">
        <is>
          <t>核心</t>
        </is>
      </c>
      <c r="D19" t="inlineStr">
        <is>
          <t>300017</t>
        </is>
      </c>
      <c r="E19" t="inlineStr">
        <is>
          <t>网宿科技</t>
        </is>
      </c>
    </row>
    <row r="20">
      <c r="A20" t="inlineStr">
        <is>
          <t>网络安全</t>
        </is>
      </c>
      <c r="B20" t="inlineStr">
        <is>
          <t>内容安全与AI鉴伪</t>
        </is>
      </c>
      <c r="C20" t="inlineStr">
        <is>
          <t>相关</t>
        </is>
      </c>
      <c r="D20" t="inlineStr">
        <is>
          <t>300079</t>
        </is>
      </c>
      <c r="E20" t="inlineStr">
        <is>
          <t>数码视讯</t>
        </is>
      </c>
    </row>
    <row r="21">
      <c r="A21" t="inlineStr">
        <is>
          <t>网络安全</t>
        </is>
      </c>
      <c r="B21" t="inlineStr">
        <is>
          <t>数字版权保护与数字水印</t>
        </is>
      </c>
      <c r="C21" t="inlineStr">
        <is>
          <t>相关</t>
        </is>
      </c>
      <c r="D21" t="inlineStr">
        <is>
          <t>300079</t>
        </is>
      </c>
      <c r="E21" t="inlineStr">
        <is>
          <t>数码视讯</t>
        </is>
      </c>
    </row>
    <row r="22">
      <c r="A22" t="inlineStr">
        <is>
          <t>网络安全</t>
        </is>
      </c>
      <c r="B22" t="inlineStr">
        <is>
          <t>电子数据取证</t>
        </is>
      </c>
      <c r="C22" t="inlineStr">
        <is>
          <t>核心</t>
        </is>
      </c>
      <c r="D22" t="inlineStr">
        <is>
          <t>300188</t>
        </is>
      </c>
      <c r="E22" t="inlineStr">
        <is>
          <t>国投智能</t>
        </is>
      </c>
    </row>
    <row r="23">
      <c r="A23" t="inlineStr">
        <is>
          <t>网络安全</t>
        </is>
      </c>
      <c r="B23" t="inlineStr">
        <is>
          <t>网络空间安全</t>
        </is>
      </c>
      <c r="C23" t="inlineStr">
        <is>
          <t>核心</t>
        </is>
      </c>
      <c r="D23" t="inlineStr">
        <is>
          <t>300188</t>
        </is>
      </c>
      <c r="E23" t="inlineStr">
        <is>
          <t>国投智能</t>
        </is>
      </c>
    </row>
    <row r="24">
      <c r="A24" t="inlineStr">
        <is>
          <t>网络安全</t>
        </is>
      </c>
      <c r="B24" t="inlineStr">
        <is>
          <t>数据安全</t>
        </is>
      </c>
      <c r="C24" t="inlineStr">
        <is>
          <t>核心</t>
        </is>
      </c>
      <c r="D24" t="inlineStr">
        <is>
          <t>300229</t>
        </is>
      </c>
      <c r="E24" t="inlineStr">
        <is>
          <t>拓尔思</t>
        </is>
      </c>
    </row>
    <row r="25">
      <c r="A25" t="inlineStr">
        <is>
          <t>网络安全</t>
        </is>
      </c>
      <c r="B25" t="inlineStr">
        <is>
          <t>安全隔离与数据交换</t>
        </is>
      </c>
      <c r="C25" t="inlineStr">
        <is>
          <t>核心</t>
        </is>
      </c>
      <c r="D25" t="inlineStr">
        <is>
          <t>300229</t>
        </is>
      </c>
      <c r="E25" t="inlineStr">
        <is>
          <t>拓尔思</t>
        </is>
      </c>
    </row>
    <row r="26">
      <c r="A26" t="inlineStr">
        <is>
          <t>网络安全</t>
        </is>
      </c>
      <c r="B26" t="inlineStr">
        <is>
          <t>网络内容与行为审计</t>
        </is>
      </c>
      <c r="C26" t="inlineStr">
        <is>
          <t>核心</t>
        </is>
      </c>
      <c r="D26" t="inlineStr">
        <is>
          <t>300311</t>
        </is>
      </c>
      <c r="E26" t="inlineStr">
        <is>
          <t>任子行</t>
        </is>
      </c>
    </row>
    <row r="27">
      <c r="A27" t="inlineStr">
        <is>
          <t>网络安全</t>
        </is>
      </c>
      <c r="B27" t="inlineStr">
        <is>
          <t>数据安全</t>
        </is>
      </c>
      <c r="C27" t="inlineStr">
        <is>
          <t>核心</t>
        </is>
      </c>
      <c r="D27" t="inlineStr">
        <is>
          <t>300311</t>
        </is>
      </c>
      <c r="E27" t="inlineStr">
        <is>
          <t>任子行</t>
        </is>
      </c>
    </row>
    <row r="28">
      <c r="A28" t="inlineStr">
        <is>
          <t>网络安全</t>
        </is>
      </c>
      <c r="B28" t="inlineStr">
        <is>
          <t>网络安全综合平台</t>
        </is>
      </c>
      <c r="C28" t="inlineStr">
        <is>
          <t>核心</t>
        </is>
      </c>
      <c r="D28" t="inlineStr">
        <is>
          <t>300369</t>
        </is>
      </c>
      <c r="E28" t="inlineStr">
        <is>
          <t>绿盟科技</t>
        </is>
      </c>
    </row>
    <row r="29">
      <c r="A29" t="inlineStr">
        <is>
          <t>网络安全</t>
        </is>
      </c>
      <c r="B29" t="inlineStr">
        <is>
          <t>AI安全</t>
        </is>
      </c>
      <c r="C29" t="inlineStr">
        <is>
          <t>核心</t>
        </is>
      </c>
      <c r="D29" t="inlineStr">
        <is>
          <t>300369</t>
        </is>
      </c>
      <c r="E29" t="inlineStr">
        <is>
          <t>绿盟科技</t>
        </is>
      </c>
    </row>
    <row r="30">
      <c r="A30" t="inlineStr">
        <is>
          <t>网络安全</t>
        </is>
      </c>
      <c r="B30" t="inlineStr">
        <is>
          <t>数字水印与内容溯源</t>
        </is>
      </c>
      <c r="C30" t="inlineStr">
        <is>
          <t>相关</t>
        </is>
      </c>
      <c r="D30" t="inlineStr">
        <is>
          <t>300449</t>
        </is>
      </c>
      <c r="E30" t="inlineStr">
        <is>
          <t>汉邦高科</t>
        </is>
      </c>
    </row>
    <row r="31">
      <c r="A31" t="inlineStr">
        <is>
          <t>网络安全</t>
        </is>
      </c>
      <c r="B31" t="inlineStr">
        <is>
          <t>网络安全综合平台</t>
        </is>
      </c>
      <c r="C31" t="inlineStr">
        <is>
          <t>核心</t>
        </is>
      </c>
      <c r="D31" t="inlineStr">
        <is>
          <t>300454</t>
        </is>
      </c>
      <c r="E31" t="inlineStr">
        <is>
          <t>深信服</t>
        </is>
      </c>
    </row>
    <row r="32">
      <c r="A32" t="inlineStr">
        <is>
          <t>网络安全</t>
        </is>
      </c>
      <c r="B32" t="inlineStr">
        <is>
          <t>云安全与SASE</t>
        </is>
      </c>
      <c r="C32" t="inlineStr">
        <is>
          <t>核心</t>
        </is>
      </c>
      <c r="D32" t="inlineStr">
        <is>
          <t>300454</t>
        </is>
      </c>
      <c r="E32" t="inlineStr">
        <is>
          <t>深信服</t>
        </is>
      </c>
    </row>
    <row r="33">
      <c r="A33" t="inlineStr">
        <is>
          <t>网络安全</t>
        </is>
      </c>
      <c r="B33" t="inlineStr">
        <is>
          <t>身份认证与电子签名</t>
        </is>
      </c>
      <c r="C33" t="inlineStr">
        <is>
          <t>核心</t>
        </is>
      </c>
      <c r="D33" t="inlineStr">
        <is>
          <t>300579</t>
        </is>
      </c>
      <c r="E33" t="inlineStr">
        <is>
          <t>数字认证</t>
        </is>
      </c>
    </row>
    <row r="34">
      <c r="A34" t="inlineStr">
        <is>
          <t>网络安全</t>
        </is>
      </c>
      <c r="B34" t="inlineStr">
        <is>
          <t>保密安全</t>
        </is>
      </c>
      <c r="C34" t="inlineStr">
        <is>
          <t>核心</t>
        </is>
      </c>
      <c r="D34" t="inlineStr">
        <is>
          <t>300659</t>
        </is>
      </c>
      <c r="E34" t="inlineStr">
        <is>
          <t>中孚信息</t>
        </is>
      </c>
    </row>
    <row r="35">
      <c r="A35" t="inlineStr">
        <is>
          <t>网络安全</t>
        </is>
      </c>
      <c r="B35" t="inlineStr">
        <is>
          <t>数据安全</t>
        </is>
      </c>
      <c r="C35" t="inlineStr">
        <is>
          <t>核心</t>
        </is>
      </c>
      <c r="D35" t="inlineStr">
        <is>
          <t>300659</t>
        </is>
      </c>
      <c r="E35" t="inlineStr">
        <is>
          <t>中孚信息</t>
        </is>
      </c>
    </row>
    <row r="36">
      <c r="A36" t="inlineStr">
        <is>
          <t>网络安全</t>
        </is>
      </c>
      <c r="B36" t="inlineStr">
        <is>
          <t>网络设备与安全</t>
        </is>
      </c>
      <c r="C36" t="inlineStr">
        <is>
          <t>核心</t>
        </is>
      </c>
      <c r="D36" t="inlineStr">
        <is>
          <t>300768</t>
        </is>
      </c>
      <c r="E36" t="inlineStr">
        <is>
          <t>迪普科技</t>
        </is>
      </c>
    </row>
    <row r="37">
      <c r="A37" t="inlineStr">
        <is>
          <t>网络安全</t>
        </is>
      </c>
      <c r="B37" t="inlineStr">
        <is>
          <t>安全运营与应急响应</t>
        </is>
      </c>
      <c r="C37" t="inlineStr">
        <is>
          <t>相关</t>
        </is>
      </c>
      <c r="D37" t="inlineStr">
        <is>
          <t>300895</t>
        </is>
      </c>
      <c r="E37" t="inlineStr">
        <is>
          <t>铜牛信息</t>
        </is>
      </c>
    </row>
    <row r="38">
      <c r="A38" t="inlineStr">
        <is>
          <t>网络安全</t>
        </is>
      </c>
      <c r="B38" t="inlineStr">
        <is>
          <t>云安全与SASE</t>
        </is>
      </c>
      <c r="C38" t="inlineStr">
        <is>
          <t>相关</t>
        </is>
      </c>
      <c r="D38" t="inlineStr">
        <is>
          <t>300921</t>
        </is>
      </c>
      <c r="E38" t="inlineStr">
        <is>
          <t>南凌科技</t>
        </is>
      </c>
    </row>
    <row r="39">
      <c r="A39" t="inlineStr">
        <is>
          <t>网络安全</t>
        </is>
      </c>
      <c r="B39" t="inlineStr">
        <is>
          <t>安全托管与MDR</t>
        </is>
      </c>
      <c r="C39" t="inlineStr">
        <is>
          <t>相关</t>
        </is>
      </c>
      <c r="D39" t="inlineStr">
        <is>
          <t>300921</t>
        </is>
      </c>
      <c r="E39" t="inlineStr">
        <is>
          <t>南凌科技</t>
        </is>
      </c>
    </row>
    <row r="40">
      <c r="A40" t="inlineStr">
        <is>
          <t>网络安全</t>
        </is>
      </c>
      <c r="B40" t="inlineStr">
        <is>
          <t>网络安全集成与运维</t>
        </is>
      </c>
      <c r="C40" t="inlineStr">
        <is>
          <t>相关</t>
        </is>
      </c>
      <c r="D40" t="inlineStr">
        <is>
          <t>600654</t>
        </is>
      </c>
      <c r="E40" t="inlineStr">
        <is>
          <t>中安科</t>
        </is>
      </c>
    </row>
    <row r="41">
      <c r="A41" t="inlineStr">
        <is>
          <t>网络安全</t>
        </is>
      </c>
      <c r="B41" t="inlineStr">
        <is>
          <t>AI安全</t>
        </is>
      </c>
      <c r="C41" t="inlineStr">
        <is>
          <t>核心</t>
        </is>
      </c>
      <c r="D41" t="inlineStr">
        <is>
          <t>601360</t>
        </is>
      </c>
      <c r="E41" t="inlineStr">
        <is>
          <t>三六零</t>
        </is>
      </c>
    </row>
    <row r="42">
      <c r="A42" t="inlineStr">
        <is>
          <t>网络安全</t>
        </is>
      </c>
      <c r="B42" t="inlineStr">
        <is>
          <t>网络安全综合平台</t>
        </is>
      </c>
      <c r="C42" t="inlineStr">
        <is>
          <t>核心</t>
        </is>
      </c>
      <c r="D42" t="inlineStr">
        <is>
          <t>601360</t>
        </is>
      </c>
      <c r="E42" t="inlineStr">
        <is>
          <t>三六零</t>
        </is>
      </c>
    </row>
    <row r="43">
      <c r="A43" t="inlineStr">
        <is>
          <t>网络安全</t>
        </is>
      </c>
      <c r="B43" t="inlineStr">
        <is>
          <t>内容安全与舆情治理</t>
        </is>
      </c>
      <c r="C43" t="inlineStr">
        <is>
          <t>核心</t>
        </is>
      </c>
      <c r="D43" t="inlineStr">
        <is>
          <t>603000</t>
        </is>
      </c>
      <c r="E43" t="inlineStr">
        <is>
          <t>人民网</t>
        </is>
      </c>
    </row>
    <row r="44">
      <c r="A44" t="inlineStr">
        <is>
          <t>网络安全</t>
        </is>
      </c>
      <c r="B44" t="inlineStr">
        <is>
          <t>密码与身份认证</t>
        </is>
      </c>
      <c r="C44" t="inlineStr">
        <is>
          <t>核心</t>
        </is>
      </c>
      <c r="D44" t="inlineStr">
        <is>
          <t>603232</t>
        </is>
      </c>
      <c r="E44" t="inlineStr">
        <is>
          <t>格尔软件</t>
        </is>
      </c>
    </row>
    <row r="45">
      <c r="A45" t="inlineStr">
        <is>
          <t>网络安全</t>
        </is>
      </c>
      <c r="B45" t="inlineStr">
        <is>
          <t>抗量子密码</t>
        </is>
      </c>
      <c r="C45" t="inlineStr">
        <is>
          <t>核心</t>
        </is>
      </c>
      <c r="D45" t="inlineStr">
        <is>
          <t>603232</t>
        </is>
      </c>
      <c r="E45" t="inlineStr">
        <is>
          <t>格尔软件</t>
        </is>
      </c>
    </row>
    <row r="46">
      <c r="A46" t="inlineStr">
        <is>
          <t>网络安全</t>
        </is>
      </c>
      <c r="B46" t="inlineStr">
        <is>
          <t>内容安全与模型安全</t>
        </is>
      </c>
      <c r="C46" t="inlineStr">
        <is>
          <t>相关</t>
        </is>
      </c>
      <c r="D46" t="inlineStr">
        <is>
          <t>603888</t>
        </is>
      </c>
      <c r="E46" t="inlineStr">
        <is>
          <t>新华网</t>
        </is>
      </c>
    </row>
    <row r="47">
      <c r="A47" t="inlineStr">
        <is>
          <t>网络安全</t>
        </is>
      </c>
      <c r="B47" t="inlineStr">
        <is>
          <t>数据安全与云安全</t>
        </is>
      </c>
      <c r="C47" t="inlineStr">
        <is>
          <t>核心</t>
        </is>
      </c>
      <c r="D47" t="inlineStr">
        <is>
          <t>688023</t>
        </is>
      </c>
      <c r="E47" t="inlineStr">
        <is>
          <t>安恒信息</t>
        </is>
      </c>
    </row>
    <row r="48">
      <c r="A48" t="inlineStr">
        <is>
          <t>网络安全</t>
        </is>
      </c>
      <c r="B48" t="inlineStr">
        <is>
          <t>安全运营与托管服务</t>
        </is>
      </c>
      <c r="C48" t="inlineStr">
        <is>
          <t>核心</t>
        </is>
      </c>
      <c r="D48" t="inlineStr">
        <is>
          <t>688023</t>
        </is>
      </c>
      <c r="E48" t="inlineStr">
        <is>
          <t>安恒信息</t>
        </is>
      </c>
    </row>
    <row r="49">
      <c r="A49" t="inlineStr">
        <is>
          <t>网络安全</t>
        </is>
      </c>
      <c r="B49" t="inlineStr">
        <is>
          <t>边界安全与防火墙</t>
        </is>
      </c>
      <c r="C49" t="inlineStr">
        <is>
          <t>核心</t>
        </is>
      </c>
      <c r="D49" t="inlineStr">
        <is>
          <t>688030</t>
        </is>
      </c>
      <c r="E49" t="inlineStr">
        <is>
          <t>山石网科</t>
        </is>
      </c>
    </row>
    <row r="50">
      <c r="A50" t="inlineStr">
        <is>
          <t>网络安全</t>
        </is>
      </c>
      <c r="B50" t="inlineStr">
        <is>
          <t>云安全</t>
        </is>
      </c>
      <c r="C50" t="inlineStr">
        <is>
          <t>核心</t>
        </is>
      </c>
      <c r="D50" t="inlineStr">
        <is>
          <t>688030</t>
        </is>
      </c>
      <c r="E50" t="inlineStr">
        <is>
          <t>山石网科</t>
        </is>
      </c>
    </row>
    <row r="51">
      <c r="A51" t="inlineStr">
        <is>
          <t>网络安全</t>
        </is>
      </c>
      <c r="B51" t="inlineStr">
        <is>
          <t>操作系统与云计算安全</t>
        </is>
      </c>
      <c r="C51" t="inlineStr">
        <is>
          <t>核心</t>
        </is>
      </c>
      <c r="D51" t="inlineStr">
        <is>
          <t>688152</t>
        </is>
      </c>
      <c r="E51" t="inlineStr">
        <is>
          <t>麒麟信安</t>
        </is>
      </c>
    </row>
    <row r="52">
      <c r="A52" t="inlineStr">
        <is>
          <t>网络安全</t>
        </is>
      </c>
      <c r="B52" t="inlineStr">
        <is>
          <t>安全策略可视化</t>
        </is>
      </c>
      <c r="C52" t="inlineStr">
        <is>
          <t>核心</t>
        </is>
      </c>
      <c r="D52" t="inlineStr">
        <is>
          <t>688168</t>
        </is>
      </c>
      <c r="E52" t="inlineStr">
        <is>
          <t>安博通</t>
        </is>
      </c>
    </row>
    <row r="53">
      <c r="A53" t="inlineStr">
        <is>
          <t>网络安全</t>
        </is>
      </c>
      <c r="B53" t="inlineStr">
        <is>
          <t>身份与终端安全</t>
        </is>
      </c>
      <c r="C53" t="inlineStr">
        <is>
          <t>核心</t>
        </is>
      </c>
      <c r="D53" t="inlineStr">
        <is>
          <t>688225</t>
        </is>
      </c>
      <c r="E53" t="inlineStr">
        <is>
          <t>亚信安全</t>
        </is>
      </c>
    </row>
    <row r="54">
      <c r="A54" t="inlineStr">
        <is>
          <t>网络安全</t>
        </is>
      </c>
      <c r="B54" t="inlineStr">
        <is>
          <t>数据安全与云安全</t>
        </is>
      </c>
      <c r="C54" t="inlineStr">
        <is>
          <t>核心</t>
        </is>
      </c>
      <c r="D54" t="inlineStr">
        <is>
          <t>688225</t>
        </is>
      </c>
      <c r="E54" t="inlineStr">
        <is>
          <t>亚信安全</t>
        </is>
      </c>
    </row>
    <row r="55">
      <c r="A55" t="inlineStr">
        <is>
          <t>网络安全</t>
        </is>
      </c>
      <c r="B55" t="inlineStr">
        <is>
          <t>网络靶场与安全测试</t>
        </is>
      </c>
      <c r="C55" t="inlineStr">
        <is>
          <t>核心</t>
        </is>
      </c>
      <c r="D55" t="inlineStr">
        <is>
          <t>688244</t>
        </is>
      </c>
      <c r="E55" t="inlineStr">
        <is>
          <t>永信至诚</t>
        </is>
      </c>
    </row>
    <row r="56">
      <c r="A56" t="inlineStr">
        <is>
          <t>网络安全</t>
        </is>
      </c>
      <c r="B56" t="inlineStr">
        <is>
          <t>DPI与流量智能</t>
        </is>
      </c>
      <c r="C56" t="inlineStr">
        <is>
          <t>核心</t>
        </is>
      </c>
      <c r="D56" t="inlineStr">
        <is>
          <t>688292</t>
        </is>
      </c>
      <c r="E56" t="inlineStr">
        <is>
          <t>浩瀚深度</t>
        </is>
      </c>
    </row>
    <row r="57">
      <c r="A57" t="inlineStr">
        <is>
          <t>网络安全</t>
        </is>
      </c>
      <c r="B57" t="inlineStr">
        <is>
          <t>内容安全与深度合成鉴伪</t>
        </is>
      </c>
      <c r="C57" t="inlineStr">
        <is>
          <t>核心</t>
        </is>
      </c>
      <c r="D57" t="inlineStr">
        <is>
          <t>688292</t>
        </is>
      </c>
      <c r="E57" t="inlineStr">
        <is>
          <t>浩瀚深度</t>
        </is>
      </c>
    </row>
    <row r="58">
      <c r="A58" t="inlineStr">
        <is>
          <t>网络安全</t>
        </is>
      </c>
      <c r="B58" t="inlineStr">
        <is>
          <t>商用密码</t>
        </is>
      </c>
      <c r="C58" t="inlineStr">
        <is>
          <t>核心</t>
        </is>
      </c>
      <c r="D58" t="inlineStr">
        <is>
          <t>688489</t>
        </is>
      </c>
      <c r="E58" t="inlineStr">
        <is>
          <t>三未信安</t>
        </is>
      </c>
    </row>
    <row r="59">
      <c r="A59" t="inlineStr">
        <is>
          <t>网络安全</t>
        </is>
      </c>
      <c r="B59" t="inlineStr">
        <is>
          <t>抗量子密码</t>
        </is>
      </c>
      <c r="C59" t="inlineStr">
        <is>
          <t>核心</t>
        </is>
      </c>
      <c r="D59" t="inlineStr">
        <is>
          <t>688489</t>
        </is>
      </c>
      <c r="E59" t="inlineStr">
        <is>
          <t>三未信安</t>
        </is>
      </c>
    </row>
    <row r="60">
      <c r="A60" t="inlineStr">
        <is>
          <t>网络安全</t>
        </is>
      </c>
      <c r="B60" t="inlineStr">
        <is>
          <t>终端安全与威胁检测</t>
        </is>
      </c>
      <c r="C60" t="inlineStr">
        <is>
          <t>核心</t>
        </is>
      </c>
      <c r="D60" t="inlineStr">
        <is>
          <t>688561</t>
        </is>
      </c>
      <c r="E60" t="inlineStr">
        <is>
          <t>奇安信-U</t>
        </is>
      </c>
    </row>
    <row r="61">
      <c r="A61" t="inlineStr">
        <is>
          <t>网络安全</t>
        </is>
      </c>
      <c r="B61" t="inlineStr">
        <is>
          <t>数据安全与云安全</t>
        </is>
      </c>
      <c r="C61" t="inlineStr">
        <is>
          <t>核心</t>
        </is>
      </c>
      <c r="D61" t="inlineStr">
        <is>
          <t>688561</t>
        </is>
      </c>
      <c r="E61" t="inlineStr">
        <is>
          <t>奇安信-U</t>
        </is>
      </c>
    </row>
    <row r="62">
      <c r="A62" t="inlineStr">
        <is>
          <t>网络安全</t>
        </is>
      </c>
      <c r="B62" t="inlineStr">
        <is>
          <t>漏洞与攻击面管理</t>
        </is>
      </c>
      <c r="C62" t="inlineStr">
        <is>
          <t>核心</t>
        </is>
      </c>
      <c r="D62" t="inlineStr">
        <is>
          <t>688651</t>
        </is>
      </c>
      <c r="E62" t="inlineStr">
        <is>
          <t>盛邦安全</t>
        </is>
      </c>
    </row>
    <row r="63">
      <c r="A63" t="inlineStr">
        <is>
          <t>网络安全</t>
        </is>
      </c>
      <c r="B63" t="inlineStr">
        <is>
          <t>Web应用安全</t>
        </is>
      </c>
      <c r="C63" t="inlineStr">
        <is>
          <t>核心</t>
        </is>
      </c>
      <c r="D63" t="inlineStr">
        <is>
          <t>688651</t>
        </is>
      </c>
      <c r="E63" t="inlineStr">
        <is>
          <t>盛邦安全</t>
        </is>
      </c>
    </row>
    <row r="64">
      <c r="A64" t="inlineStr">
        <is>
          <t>网络安全</t>
        </is>
      </c>
      <c r="B64" t="inlineStr">
        <is>
          <t>身份与终端安全</t>
        </is>
      </c>
      <c r="C64" t="inlineStr">
        <is>
          <t>核心</t>
        </is>
      </c>
      <c r="D64" t="inlineStr">
        <is>
          <t>300352</t>
        </is>
      </c>
      <c r="E64" t="inlineStr">
        <is>
          <t>北信源</t>
        </is>
      </c>
    </row>
    <row r="65">
      <c r="A65" t="inlineStr">
        <is>
          <t>网络安全</t>
        </is>
      </c>
      <c r="B65" t="inlineStr">
        <is>
          <t>安全通信与移动办公</t>
        </is>
      </c>
      <c r="C65" t="inlineStr">
        <is>
          <t>核心</t>
        </is>
      </c>
      <c r="D65" t="inlineStr">
        <is>
          <t>300352</t>
        </is>
      </c>
      <c r="E65" t="inlineStr">
        <is>
          <t>北信源</t>
        </is>
      </c>
    </row>
    <row r="66">
      <c r="A66" t="inlineStr">
        <is>
          <t>网络安全</t>
        </is>
      </c>
      <c r="B66" t="inlineStr">
        <is>
          <t>专用安全终端与测控安全</t>
        </is>
      </c>
      <c r="C66" t="inlineStr">
        <is>
          <t>核心</t>
        </is>
      </c>
      <c r="D66" t="inlineStr">
        <is>
          <t>301117</t>
        </is>
      </c>
      <c r="E66" t="inlineStr">
        <is>
          <t>佳缘科技</t>
        </is>
      </c>
    </row>
    <row r="67">
      <c r="A67" t="inlineStr">
        <is>
          <t>网络安全</t>
        </is>
      </c>
      <c r="B67" t="inlineStr">
        <is>
          <t>商用密码与安全传输</t>
        </is>
      </c>
      <c r="C67" t="inlineStr">
        <is>
          <t>核心</t>
        </is>
      </c>
      <c r="D67" t="inlineStr">
        <is>
          <t>301117</t>
        </is>
      </c>
      <c r="E67" t="inlineStr">
        <is>
          <t>佳缘科技</t>
        </is>
      </c>
    </row>
    <row r="68">
      <c r="A68" t="inlineStr">
        <is>
          <t>网络安全</t>
        </is>
      </c>
      <c r="B68" t="inlineStr">
        <is>
          <t>移动应用安全</t>
        </is>
      </c>
      <c r="C68" t="inlineStr">
        <is>
          <t>核心</t>
        </is>
      </c>
      <c r="D68" t="inlineStr">
        <is>
          <t>000004</t>
        </is>
      </c>
      <c r="E68" t="inlineStr">
        <is>
          <t>国华网安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5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34"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网络安全</t>
        </is>
      </c>
      <c r="C5" s="11" t="inlineStr">
        <is>
          <t>AI安全</t>
        </is>
      </c>
      <c r="D5" s="12">
        <f>COUNTIFS('概念展开'!$A$2:$A$68,B5,'概念展开'!$B$2:$B$68,C5,'概念展开'!$C$2:$C$68,"核心")</f>
        <v/>
      </c>
      <c r="E5" s="12">
        <f>COUNTIFS('概念展开'!$A$2:$A$68,B5,'概念展开'!$B$2:$B$68,C5,'概念展开'!$C$2:$C$68,"相关")</f>
        <v/>
      </c>
      <c r="F5">
        <f>SUM(D5:E5)</f>
        <v/>
      </c>
    </row>
    <row r="6">
      <c r="B6" s="13" t="inlineStr">
        <is>
          <t>网络安全</t>
        </is>
      </c>
      <c r="C6" s="14" t="inlineStr">
        <is>
          <t>DPI与流量智能</t>
        </is>
      </c>
      <c r="D6" s="15">
        <f>COUNTIFS('概念展开'!$A$2:$A$68,B6,'概念展开'!$B$2:$B$68,C6,'概念展开'!$C$2:$C$68,"核心")</f>
        <v/>
      </c>
      <c r="E6" s="15">
        <f>COUNTIFS('概念展开'!$A$2:$A$68,B6,'概念展开'!$B$2:$B$68,C6,'概念展开'!$C$2:$C$68,"相关")</f>
        <v/>
      </c>
      <c r="F6" s="13">
        <f>SUM(D6:E6)</f>
        <v/>
      </c>
    </row>
    <row r="7">
      <c r="B7" t="inlineStr">
        <is>
          <t>网络安全</t>
        </is>
      </c>
      <c r="C7" s="11" t="inlineStr">
        <is>
          <t>Web应用安全</t>
        </is>
      </c>
      <c r="D7" s="12">
        <f>COUNTIFS('概念展开'!$A$2:$A$68,B7,'概念展开'!$B$2:$B$68,C7,'概念展开'!$C$2:$C$68,"核心")</f>
        <v/>
      </c>
      <c r="E7" s="12">
        <f>COUNTIFS('概念展开'!$A$2:$A$68,B7,'概念展开'!$B$2:$B$68,C7,'概念展开'!$C$2:$C$68,"相关")</f>
        <v/>
      </c>
      <c r="F7">
        <f>SUM(D7:E7)</f>
        <v/>
      </c>
    </row>
    <row r="8">
      <c r="B8" s="13" t="inlineStr">
        <is>
          <t>网络安全</t>
        </is>
      </c>
      <c r="C8" s="14" t="inlineStr">
        <is>
          <t>专用安全终端与测控安全</t>
        </is>
      </c>
      <c r="D8" s="15">
        <f>COUNTIFS('概念展开'!$A$2:$A$68,B8,'概念展开'!$B$2:$B$68,C8,'概念展开'!$C$2:$C$68,"核心")</f>
        <v/>
      </c>
      <c r="E8" s="15">
        <f>COUNTIFS('概念展开'!$A$2:$A$68,B8,'概念展开'!$B$2:$B$68,C8,'概念展开'!$C$2:$C$68,"相关")</f>
        <v/>
      </c>
      <c r="F8" s="13">
        <f>SUM(D8:E8)</f>
        <v/>
      </c>
    </row>
    <row r="9">
      <c r="B9" t="inlineStr">
        <is>
          <t>网络安全</t>
        </is>
      </c>
      <c r="C9" s="11" t="inlineStr">
        <is>
          <t>云安全</t>
        </is>
      </c>
      <c r="D9" s="12">
        <f>COUNTIFS('概念展开'!$A$2:$A$68,B9,'概念展开'!$B$2:$B$68,C9,'概念展开'!$C$2:$C$68,"核心")</f>
        <v/>
      </c>
      <c r="E9" s="12">
        <f>COUNTIFS('概念展开'!$A$2:$A$68,B9,'概念展开'!$B$2:$B$68,C9,'概念展开'!$C$2:$C$68,"相关")</f>
        <v/>
      </c>
      <c r="F9">
        <f>SUM(D9:E9)</f>
        <v/>
      </c>
    </row>
    <row r="10">
      <c r="B10" s="13" t="inlineStr">
        <is>
          <t>网络安全</t>
        </is>
      </c>
      <c r="C10" s="14" t="inlineStr">
        <is>
          <t>云安全与CDN</t>
        </is>
      </c>
      <c r="D10" s="15">
        <f>COUNTIFS('概念展开'!$A$2:$A$68,B10,'概念展开'!$B$2:$B$68,C10,'概念展开'!$C$2:$C$68,"核心")</f>
        <v/>
      </c>
      <c r="E10" s="15">
        <f>COUNTIFS('概念展开'!$A$2:$A$68,B10,'概念展开'!$B$2:$B$68,C10,'概念展开'!$C$2:$C$68,"相关")</f>
        <v/>
      </c>
      <c r="F10" s="13">
        <f>SUM(D10:E10)</f>
        <v/>
      </c>
    </row>
    <row r="11">
      <c r="B11" t="inlineStr">
        <is>
          <t>网络安全</t>
        </is>
      </c>
      <c r="C11" s="11" t="inlineStr">
        <is>
          <t>云安全与SASE</t>
        </is>
      </c>
      <c r="D11" s="12">
        <f>COUNTIFS('概念展开'!$A$2:$A$68,B11,'概念展开'!$B$2:$B$68,C11,'概念展开'!$C$2:$C$68,"核心")</f>
        <v/>
      </c>
      <c r="E11" s="12">
        <f>COUNTIFS('概念展开'!$A$2:$A$68,B11,'概念展开'!$B$2:$B$68,C11,'概念展开'!$C$2:$C$68,"相关")</f>
        <v/>
      </c>
      <c r="F11">
        <f>SUM(D11:E11)</f>
        <v/>
      </c>
    </row>
    <row r="12">
      <c r="B12" s="13" t="inlineStr">
        <is>
          <t>网络安全</t>
        </is>
      </c>
      <c r="C12" s="14" t="inlineStr">
        <is>
          <t>保密安全</t>
        </is>
      </c>
      <c r="D12" s="15">
        <f>COUNTIFS('概念展开'!$A$2:$A$68,B12,'概念展开'!$B$2:$B$68,C12,'概念展开'!$C$2:$C$68,"核心")</f>
        <v/>
      </c>
      <c r="E12" s="15">
        <f>COUNTIFS('概念展开'!$A$2:$A$68,B12,'概念展开'!$B$2:$B$68,C12,'概念展开'!$C$2:$C$68,"相关")</f>
        <v/>
      </c>
      <c r="F12" s="13">
        <f>SUM(D12:E12)</f>
        <v/>
      </c>
    </row>
    <row r="13">
      <c r="B13" t="inlineStr">
        <is>
          <t>网络安全</t>
        </is>
      </c>
      <c r="C13" s="11" t="inlineStr">
        <is>
          <t>内容安全与AI鉴伪</t>
        </is>
      </c>
      <c r="D13" s="12">
        <f>COUNTIFS('概念展开'!$A$2:$A$68,B13,'概念展开'!$B$2:$B$68,C13,'概念展开'!$C$2:$C$68,"核心")</f>
        <v/>
      </c>
      <c r="E13" s="12">
        <f>COUNTIFS('概念展开'!$A$2:$A$68,B13,'概念展开'!$B$2:$B$68,C13,'概念展开'!$C$2:$C$68,"相关")</f>
        <v/>
      </c>
      <c r="F13">
        <f>SUM(D13:E13)</f>
        <v/>
      </c>
    </row>
    <row r="14">
      <c r="B14" s="13" t="inlineStr">
        <is>
          <t>网络安全</t>
        </is>
      </c>
      <c r="C14" s="14" t="inlineStr">
        <is>
          <t>内容安全与审核服务</t>
        </is>
      </c>
      <c r="D14" s="15">
        <f>COUNTIFS('概念展开'!$A$2:$A$68,B14,'概念展开'!$B$2:$B$68,C14,'概念展开'!$C$2:$C$68,"核心")</f>
        <v/>
      </c>
      <c r="E14" s="15">
        <f>COUNTIFS('概念展开'!$A$2:$A$68,B14,'概念展开'!$B$2:$B$68,C14,'概念展开'!$C$2:$C$68,"相关")</f>
        <v/>
      </c>
      <c r="F14" s="13">
        <f>SUM(D14:E14)</f>
        <v/>
      </c>
    </row>
    <row r="15">
      <c r="B15" t="inlineStr">
        <is>
          <t>网络安全</t>
        </is>
      </c>
      <c r="C15" s="11" t="inlineStr">
        <is>
          <t>内容安全与智能审核</t>
        </is>
      </c>
      <c r="D15" s="12">
        <f>COUNTIFS('概念展开'!$A$2:$A$68,B15,'概念展开'!$B$2:$B$68,C15,'概念展开'!$C$2:$C$68,"核心")</f>
        <v/>
      </c>
      <c r="E15" s="12">
        <f>COUNTIFS('概念展开'!$A$2:$A$68,B15,'概念展开'!$B$2:$B$68,C15,'概念展开'!$C$2:$C$68,"相关")</f>
        <v/>
      </c>
      <c r="F15">
        <f>SUM(D15:E15)</f>
        <v/>
      </c>
    </row>
    <row r="16">
      <c r="B16" s="13" t="inlineStr">
        <is>
          <t>网络安全</t>
        </is>
      </c>
      <c r="C16" s="14" t="inlineStr">
        <is>
          <t>内容安全与模型安全</t>
        </is>
      </c>
      <c r="D16" s="15">
        <f>COUNTIFS('概念展开'!$A$2:$A$68,B16,'概念展开'!$B$2:$B$68,C16,'概念展开'!$C$2:$C$68,"核心")</f>
        <v/>
      </c>
      <c r="E16" s="15">
        <f>COUNTIFS('概念展开'!$A$2:$A$68,B16,'概念展开'!$B$2:$B$68,C16,'概念展开'!$C$2:$C$68,"相关")</f>
        <v/>
      </c>
      <c r="F16" s="13">
        <f>SUM(D16:E16)</f>
        <v/>
      </c>
    </row>
    <row r="17">
      <c r="B17" t="inlineStr">
        <is>
          <t>网络安全</t>
        </is>
      </c>
      <c r="C17" s="11" t="inlineStr">
        <is>
          <t>内容安全与深度合成鉴伪</t>
        </is>
      </c>
      <c r="D17" s="12">
        <f>COUNTIFS('概念展开'!$A$2:$A$68,B17,'概念展开'!$B$2:$B$68,C17,'概念展开'!$C$2:$C$68,"核心")</f>
        <v/>
      </c>
      <c r="E17" s="12">
        <f>COUNTIFS('概念展开'!$A$2:$A$68,B17,'概念展开'!$B$2:$B$68,C17,'概念展开'!$C$2:$C$68,"相关")</f>
        <v/>
      </c>
      <c r="F17">
        <f>SUM(D17:E17)</f>
        <v/>
      </c>
    </row>
    <row r="18">
      <c r="B18" s="13" t="inlineStr">
        <is>
          <t>网络安全</t>
        </is>
      </c>
      <c r="C18" s="14" t="inlineStr">
        <is>
          <t>内容安全与舆情治理</t>
        </is>
      </c>
      <c r="D18" s="15">
        <f>COUNTIFS('概念展开'!$A$2:$A$68,B18,'概念展开'!$B$2:$B$68,C18,'概念展开'!$C$2:$C$68,"核心")</f>
        <v/>
      </c>
      <c r="E18" s="15">
        <f>COUNTIFS('概念展开'!$A$2:$A$68,B18,'概念展开'!$B$2:$B$68,C18,'概念展开'!$C$2:$C$68,"相关")</f>
        <v/>
      </c>
      <c r="F18" s="13">
        <f>SUM(D18:E18)</f>
        <v/>
      </c>
    </row>
    <row r="19">
      <c r="B19" t="inlineStr">
        <is>
          <t>网络安全</t>
        </is>
      </c>
      <c r="C19" s="11" t="inlineStr">
        <is>
          <t>商用密码</t>
        </is>
      </c>
      <c r="D19" s="12">
        <f>COUNTIFS('概念展开'!$A$2:$A$68,B19,'概念展开'!$B$2:$B$68,C19,'概念展开'!$C$2:$C$68,"核心")</f>
        <v/>
      </c>
      <c r="E19" s="12">
        <f>COUNTIFS('概念展开'!$A$2:$A$68,B19,'概念展开'!$B$2:$B$68,C19,'概念展开'!$C$2:$C$68,"相关")</f>
        <v/>
      </c>
      <c r="F19">
        <f>SUM(D19:E19)</f>
        <v/>
      </c>
    </row>
    <row r="20">
      <c r="B20" s="13" t="inlineStr">
        <is>
          <t>网络安全</t>
        </is>
      </c>
      <c r="C20" s="14" t="inlineStr">
        <is>
          <t>商用密码与安全传输</t>
        </is>
      </c>
      <c r="D20" s="15">
        <f>COUNTIFS('概念展开'!$A$2:$A$68,B20,'概念展开'!$B$2:$B$68,C20,'概念展开'!$C$2:$C$68,"核心")</f>
        <v/>
      </c>
      <c r="E20" s="15">
        <f>COUNTIFS('概念展开'!$A$2:$A$68,B20,'概念展开'!$B$2:$B$68,C20,'概念展开'!$C$2:$C$68,"相关")</f>
        <v/>
      </c>
      <c r="F20" s="13">
        <f>SUM(D20:E20)</f>
        <v/>
      </c>
    </row>
    <row r="21">
      <c r="B21" t="inlineStr">
        <is>
          <t>网络安全</t>
        </is>
      </c>
      <c r="C21" s="11" t="inlineStr">
        <is>
          <t>安全托管与MDR</t>
        </is>
      </c>
      <c r="D21" s="12">
        <f>COUNTIFS('概念展开'!$A$2:$A$68,B21,'概念展开'!$B$2:$B$68,C21,'概念展开'!$C$2:$C$68,"核心")</f>
        <v/>
      </c>
      <c r="E21" s="12">
        <f>COUNTIFS('概念展开'!$A$2:$A$68,B21,'概念展开'!$B$2:$B$68,C21,'概念展开'!$C$2:$C$68,"相关")</f>
        <v/>
      </c>
      <c r="F21">
        <f>SUM(D21:E21)</f>
        <v/>
      </c>
    </row>
    <row r="22">
      <c r="B22" s="13" t="inlineStr">
        <is>
          <t>网络安全</t>
        </is>
      </c>
      <c r="C22" s="14" t="inlineStr">
        <is>
          <t>安全策略可视化</t>
        </is>
      </c>
      <c r="D22" s="15">
        <f>COUNTIFS('概念展开'!$A$2:$A$68,B22,'概念展开'!$B$2:$B$68,C22,'概念展开'!$C$2:$C$68,"核心")</f>
        <v/>
      </c>
      <c r="E22" s="15">
        <f>COUNTIFS('概念展开'!$A$2:$A$68,B22,'概念展开'!$B$2:$B$68,C22,'概念展开'!$C$2:$C$68,"相关")</f>
        <v/>
      </c>
      <c r="F22" s="13">
        <f>SUM(D22:E22)</f>
        <v/>
      </c>
    </row>
    <row r="23">
      <c r="B23" t="inlineStr">
        <is>
          <t>网络安全</t>
        </is>
      </c>
      <c r="C23" s="11" t="inlineStr">
        <is>
          <t>安全运营与应急响应</t>
        </is>
      </c>
      <c r="D23" s="12">
        <f>COUNTIFS('概念展开'!$A$2:$A$68,B23,'概念展开'!$B$2:$B$68,C23,'概念展开'!$C$2:$C$68,"核心")</f>
        <v/>
      </c>
      <c r="E23" s="12">
        <f>COUNTIFS('概念展开'!$A$2:$A$68,B23,'概念展开'!$B$2:$B$68,C23,'概念展开'!$C$2:$C$68,"相关")</f>
        <v/>
      </c>
      <c r="F23">
        <f>SUM(D23:E23)</f>
        <v/>
      </c>
    </row>
    <row r="24">
      <c r="B24" s="13" t="inlineStr">
        <is>
          <t>网络安全</t>
        </is>
      </c>
      <c r="C24" s="14" t="inlineStr">
        <is>
          <t>安全运营与托管服务</t>
        </is>
      </c>
      <c r="D24" s="15">
        <f>COUNTIFS('概念展开'!$A$2:$A$68,B24,'概念展开'!$B$2:$B$68,C24,'概念展开'!$C$2:$C$68,"核心")</f>
        <v/>
      </c>
      <c r="E24" s="15">
        <f>COUNTIFS('概念展开'!$A$2:$A$68,B24,'概念展开'!$B$2:$B$68,C24,'概念展开'!$C$2:$C$68,"相关")</f>
        <v/>
      </c>
      <c r="F24" s="13">
        <f>SUM(D24:E24)</f>
        <v/>
      </c>
    </row>
    <row r="25">
      <c r="B25" t="inlineStr">
        <is>
          <t>网络安全</t>
        </is>
      </c>
      <c r="C25" s="11" t="inlineStr">
        <is>
          <t>安全通信与移动办公</t>
        </is>
      </c>
      <c r="D25" s="12">
        <f>COUNTIFS('概念展开'!$A$2:$A$68,B25,'概念展开'!$B$2:$B$68,C25,'概念展开'!$C$2:$C$68,"核心")</f>
        <v/>
      </c>
      <c r="E25" s="12">
        <f>COUNTIFS('概念展开'!$A$2:$A$68,B25,'概念展开'!$B$2:$B$68,C25,'概念展开'!$C$2:$C$68,"相关")</f>
        <v/>
      </c>
      <c r="F25">
        <f>SUM(D25:E25)</f>
        <v/>
      </c>
    </row>
    <row r="26">
      <c r="B26" s="13" t="inlineStr">
        <is>
          <t>网络安全</t>
        </is>
      </c>
      <c r="C26" s="14" t="inlineStr">
        <is>
          <t>安全隔离与数据交换</t>
        </is>
      </c>
      <c r="D26" s="15">
        <f>COUNTIFS('概念展开'!$A$2:$A$68,B26,'概念展开'!$B$2:$B$68,C26,'概念展开'!$C$2:$C$68,"核心")</f>
        <v/>
      </c>
      <c r="E26" s="15">
        <f>COUNTIFS('概念展开'!$A$2:$A$68,B26,'概念展开'!$B$2:$B$68,C26,'概念展开'!$C$2:$C$68,"相关")</f>
        <v/>
      </c>
      <c r="F26" s="13">
        <f>SUM(D26:E26)</f>
        <v/>
      </c>
    </row>
    <row r="27">
      <c r="B27" t="inlineStr">
        <is>
          <t>网络安全</t>
        </is>
      </c>
      <c r="C27" s="11" t="inlineStr">
        <is>
          <t>密码与身份认证</t>
        </is>
      </c>
      <c r="D27" s="12">
        <f>COUNTIFS('概念展开'!$A$2:$A$68,B27,'概念展开'!$B$2:$B$68,C27,'概念展开'!$C$2:$C$68,"核心")</f>
        <v/>
      </c>
      <c r="E27" s="12">
        <f>COUNTIFS('概念展开'!$A$2:$A$68,B27,'概念展开'!$B$2:$B$68,C27,'概念展开'!$C$2:$C$68,"相关")</f>
        <v/>
      </c>
      <c r="F27">
        <f>SUM(D27:E27)</f>
        <v/>
      </c>
    </row>
    <row r="28">
      <c r="B28" s="13" t="inlineStr">
        <is>
          <t>网络安全</t>
        </is>
      </c>
      <c r="C28" s="14" t="inlineStr">
        <is>
          <t>抗量子密码</t>
        </is>
      </c>
      <c r="D28" s="15">
        <f>COUNTIFS('概念展开'!$A$2:$A$68,B28,'概念展开'!$B$2:$B$68,C28,'概念展开'!$C$2:$C$68,"核心")</f>
        <v/>
      </c>
      <c r="E28" s="15">
        <f>COUNTIFS('概念展开'!$A$2:$A$68,B28,'概念展开'!$B$2:$B$68,C28,'概念展开'!$C$2:$C$68,"相关")</f>
        <v/>
      </c>
      <c r="F28" s="13">
        <f>SUM(D28:E28)</f>
        <v/>
      </c>
    </row>
    <row r="29">
      <c r="B29" t="inlineStr">
        <is>
          <t>网络安全</t>
        </is>
      </c>
      <c r="C29" s="11" t="inlineStr">
        <is>
          <t>操作系统与云计算安全</t>
        </is>
      </c>
      <c r="D29" s="12">
        <f>COUNTIFS('概念展开'!$A$2:$A$68,B29,'概念展开'!$B$2:$B$68,C29,'概念展开'!$C$2:$C$68,"核心")</f>
        <v/>
      </c>
      <c r="E29" s="12">
        <f>COUNTIFS('概念展开'!$A$2:$A$68,B29,'概念展开'!$B$2:$B$68,C29,'概念展开'!$C$2:$C$68,"相关")</f>
        <v/>
      </c>
      <c r="F29">
        <f>SUM(D29:E29)</f>
        <v/>
      </c>
    </row>
    <row r="30">
      <c r="B30" s="13" t="inlineStr">
        <is>
          <t>网络安全</t>
        </is>
      </c>
      <c r="C30" s="14" t="inlineStr">
        <is>
          <t>数字水印与内容溯源</t>
        </is>
      </c>
      <c r="D30" s="15">
        <f>COUNTIFS('概念展开'!$A$2:$A$68,B30,'概念展开'!$B$2:$B$68,C30,'概念展开'!$C$2:$C$68,"核心")</f>
        <v/>
      </c>
      <c r="E30" s="15">
        <f>COUNTIFS('概念展开'!$A$2:$A$68,B30,'概念展开'!$B$2:$B$68,C30,'概念展开'!$C$2:$C$68,"相关")</f>
        <v/>
      </c>
      <c r="F30" s="13">
        <f>SUM(D30:E30)</f>
        <v/>
      </c>
    </row>
    <row r="31">
      <c r="B31" t="inlineStr">
        <is>
          <t>网络安全</t>
        </is>
      </c>
      <c r="C31" s="11" t="inlineStr">
        <is>
          <t>数字版权保护与数字水印</t>
        </is>
      </c>
      <c r="D31" s="12">
        <f>COUNTIFS('概念展开'!$A$2:$A$68,B31,'概念展开'!$B$2:$B$68,C31,'概念展开'!$C$2:$C$68,"核心")</f>
        <v/>
      </c>
      <c r="E31" s="12">
        <f>COUNTIFS('概念展开'!$A$2:$A$68,B31,'概念展开'!$B$2:$B$68,C31,'概念展开'!$C$2:$C$68,"相关")</f>
        <v/>
      </c>
      <c r="F31">
        <f>SUM(D31:E31)</f>
        <v/>
      </c>
    </row>
    <row r="32">
      <c r="B32" s="13" t="inlineStr">
        <is>
          <t>网络安全</t>
        </is>
      </c>
      <c r="C32" s="14" t="inlineStr">
        <is>
          <t>数据安全</t>
        </is>
      </c>
      <c r="D32" s="15">
        <f>COUNTIFS('概念展开'!$A$2:$A$68,B32,'概念展开'!$B$2:$B$68,C32,'概念展开'!$C$2:$C$68,"核心")</f>
        <v/>
      </c>
      <c r="E32" s="15">
        <f>COUNTIFS('概念展开'!$A$2:$A$68,B32,'概念展开'!$B$2:$B$68,C32,'概念展开'!$C$2:$C$68,"相关")</f>
        <v/>
      </c>
      <c r="F32" s="13">
        <f>SUM(D32:E32)</f>
        <v/>
      </c>
    </row>
    <row r="33">
      <c r="B33" t="inlineStr">
        <is>
          <t>网络安全</t>
        </is>
      </c>
      <c r="C33" s="11" t="inlineStr">
        <is>
          <t>数据安全与云安全</t>
        </is>
      </c>
      <c r="D33" s="12">
        <f>COUNTIFS('概念展开'!$A$2:$A$68,B33,'概念展开'!$B$2:$B$68,C33,'概念展开'!$C$2:$C$68,"核心")</f>
        <v/>
      </c>
      <c r="E33" s="12">
        <f>COUNTIFS('概念展开'!$A$2:$A$68,B33,'概念展开'!$B$2:$B$68,C33,'概念展开'!$C$2:$C$68,"相关")</f>
        <v/>
      </c>
      <c r="F33">
        <f>SUM(D33:E33)</f>
        <v/>
      </c>
    </row>
    <row r="34">
      <c r="B34" s="13" t="inlineStr">
        <is>
          <t>网络安全</t>
        </is>
      </c>
      <c r="C34" s="14" t="inlineStr">
        <is>
          <t>漏洞与攻击面管理</t>
        </is>
      </c>
      <c r="D34" s="15">
        <f>COUNTIFS('概念展开'!$A$2:$A$68,B34,'概念展开'!$B$2:$B$68,C34,'概念展开'!$C$2:$C$68,"核心")</f>
        <v/>
      </c>
      <c r="E34" s="15">
        <f>COUNTIFS('概念展开'!$A$2:$A$68,B34,'概念展开'!$B$2:$B$68,C34,'概念展开'!$C$2:$C$68,"相关")</f>
        <v/>
      </c>
      <c r="F34" s="13">
        <f>SUM(D34:E34)</f>
        <v/>
      </c>
    </row>
    <row r="35">
      <c r="B35" t="inlineStr">
        <is>
          <t>网络安全</t>
        </is>
      </c>
      <c r="C35" s="11" t="inlineStr">
        <is>
          <t>电子数据取证</t>
        </is>
      </c>
      <c r="D35" s="12">
        <f>COUNTIFS('概念展开'!$A$2:$A$68,B35,'概念展开'!$B$2:$B$68,C35,'概念展开'!$C$2:$C$68,"核心")</f>
        <v/>
      </c>
      <c r="E35" s="12">
        <f>COUNTIFS('概念展开'!$A$2:$A$68,B35,'概念展开'!$B$2:$B$68,C35,'概念展开'!$C$2:$C$68,"相关")</f>
        <v/>
      </c>
      <c r="F35">
        <f>SUM(D35:E35)</f>
        <v/>
      </c>
    </row>
    <row r="36">
      <c r="B36" s="13" t="inlineStr">
        <is>
          <t>网络安全</t>
        </is>
      </c>
      <c r="C36" s="14" t="inlineStr">
        <is>
          <t>移动应用安全</t>
        </is>
      </c>
      <c r="D36" s="15">
        <f>COUNTIFS('概念展开'!$A$2:$A$68,B36,'概念展开'!$B$2:$B$68,C36,'概念展开'!$C$2:$C$68,"核心")</f>
        <v/>
      </c>
      <c r="E36" s="15">
        <f>COUNTIFS('概念展开'!$A$2:$A$68,B36,'概念展开'!$B$2:$B$68,C36,'概念展开'!$C$2:$C$68,"相关")</f>
        <v/>
      </c>
      <c r="F36" s="13">
        <f>SUM(D36:E36)</f>
        <v/>
      </c>
    </row>
    <row r="37">
      <c r="B37" t="inlineStr">
        <is>
          <t>网络安全</t>
        </is>
      </c>
      <c r="C37" s="11" t="inlineStr">
        <is>
          <t>终端安全与威胁检测</t>
        </is>
      </c>
      <c r="D37" s="12">
        <f>COUNTIFS('概念展开'!$A$2:$A$68,B37,'概念展开'!$B$2:$B$68,C37,'概念展开'!$C$2:$C$68,"核心")</f>
        <v/>
      </c>
      <c r="E37" s="12">
        <f>COUNTIFS('概念展开'!$A$2:$A$68,B37,'概念展开'!$B$2:$B$68,C37,'概念展开'!$C$2:$C$68,"相关")</f>
        <v/>
      </c>
      <c r="F37">
        <f>SUM(D37:E37)</f>
        <v/>
      </c>
    </row>
    <row r="38">
      <c r="B38" s="13" t="inlineStr">
        <is>
          <t>网络安全</t>
        </is>
      </c>
      <c r="C38" s="14" t="inlineStr">
        <is>
          <t>网络内容与行为审计</t>
        </is>
      </c>
      <c r="D38" s="15">
        <f>COUNTIFS('概念展开'!$A$2:$A$68,B38,'概念展开'!$B$2:$B$68,C38,'概念展开'!$C$2:$C$68,"核心")</f>
        <v/>
      </c>
      <c r="E38" s="15">
        <f>COUNTIFS('概念展开'!$A$2:$A$68,B38,'概念展开'!$B$2:$B$68,C38,'概念展开'!$C$2:$C$68,"相关")</f>
        <v/>
      </c>
      <c r="F38" s="13">
        <f>SUM(D38:E38)</f>
        <v/>
      </c>
    </row>
    <row r="39">
      <c r="B39" t="inlineStr">
        <is>
          <t>网络安全</t>
        </is>
      </c>
      <c r="C39" s="11" t="inlineStr">
        <is>
          <t>网络内容安全</t>
        </is>
      </c>
      <c r="D39" s="12">
        <f>COUNTIFS('概念展开'!$A$2:$A$68,B39,'概念展开'!$B$2:$B$68,C39,'概念展开'!$C$2:$C$68,"核心")</f>
        <v/>
      </c>
      <c r="E39" s="12">
        <f>COUNTIFS('概念展开'!$A$2:$A$68,B39,'概念展开'!$B$2:$B$68,C39,'概念展开'!$C$2:$C$68,"相关")</f>
        <v/>
      </c>
      <c r="F39">
        <f>SUM(D39:E39)</f>
        <v/>
      </c>
    </row>
    <row r="40">
      <c r="B40" s="13" t="inlineStr">
        <is>
          <t>网络安全</t>
        </is>
      </c>
      <c r="C40" s="14" t="inlineStr">
        <is>
          <t>网络可视化</t>
        </is>
      </c>
      <c r="D40" s="15">
        <f>COUNTIFS('概念展开'!$A$2:$A$68,B40,'概念展开'!$B$2:$B$68,C40,'概念展开'!$C$2:$C$68,"核心")</f>
        <v/>
      </c>
      <c r="E40" s="15">
        <f>COUNTIFS('概念展开'!$A$2:$A$68,B40,'概念展开'!$B$2:$B$68,C40,'概念展开'!$C$2:$C$68,"相关")</f>
        <v/>
      </c>
      <c r="F40" s="13">
        <f>SUM(D40:E40)</f>
        <v/>
      </c>
    </row>
    <row r="41">
      <c r="B41" t="inlineStr">
        <is>
          <t>网络安全</t>
        </is>
      </c>
      <c r="C41" s="11" t="inlineStr">
        <is>
          <t>网络安全综合平台</t>
        </is>
      </c>
      <c r="D41" s="12">
        <f>COUNTIFS('概念展开'!$A$2:$A$68,B41,'概念展开'!$B$2:$B$68,C41,'概念展开'!$C$2:$C$68,"核心")</f>
        <v/>
      </c>
      <c r="E41" s="12">
        <f>COUNTIFS('概念展开'!$A$2:$A$68,B41,'概念展开'!$B$2:$B$68,C41,'概念展开'!$C$2:$C$68,"相关")</f>
        <v/>
      </c>
      <c r="F41">
        <f>SUM(D41:E41)</f>
        <v/>
      </c>
    </row>
    <row r="42">
      <c r="B42" s="13" t="inlineStr">
        <is>
          <t>网络安全</t>
        </is>
      </c>
      <c r="C42" s="14" t="inlineStr">
        <is>
          <t>网络安全运营</t>
        </is>
      </c>
      <c r="D42" s="15">
        <f>COUNTIFS('概念展开'!$A$2:$A$68,B42,'概念展开'!$B$2:$B$68,C42,'概念展开'!$C$2:$C$68,"核心")</f>
        <v/>
      </c>
      <c r="E42" s="15">
        <f>COUNTIFS('概念展开'!$A$2:$A$68,B42,'概念展开'!$B$2:$B$68,C42,'概念展开'!$C$2:$C$68,"相关")</f>
        <v/>
      </c>
      <c r="F42" s="13">
        <f>SUM(D42:E42)</f>
        <v/>
      </c>
    </row>
    <row r="43">
      <c r="B43" t="inlineStr">
        <is>
          <t>网络安全</t>
        </is>
      </c>
      <c r="C43" s="11" t="inlineStr">
        <is>
          <t>网络安全集成与运维</t>
        </is>
      </c>
      <c r="D43" s="12">
        <f>COUNTIFS('概念展开'!$A$2:$A$68,B43,'概念展开'!$B$2:$B$68,C43,'概念展开'!$C$2:$C$68,"核心")</f>
        <v/>
      </c>
      <c r="E43" s="12">
        <f>COUNTIFS('概念展开'!$A$2:$A$68,B43,'概念展开'!$B$2:$B$68,C43,'概念展开'!$C$2:$C$68,"相关")</f>
        <v/>
      </c>
      <c r="F43">
        <f>SUM(D43:E43)</f>
        <v/>
      </c>
    </row>
    <row r="44">
      <c r="B44" s="13" t="inlineStr">
        <is>
          <t>网络安全</t>
        </is>
      </c>
      <c r="C44" s="14" t="inlineStr">
        <is>
          <t>网络空间安全</t>
        </is>
      </c>
      <c r="D44" s="15">
        <f>COUNTIFS('概念展开'!$A$2:$A$68,B44,'概念展开'!$B$2:$B$68,C44,'概念展开'!$C$2:$C$68,"核心")</f>
        <v/>
      </c>
      <c r="E44" s="15">
        <f>COUNTIFS('概念展开'!$A$2:$A$68,B44,'概念展开'!$B$2:$B$68,C44,'概念展开'!$C$2:$C$68,"相关")</f>
        <v/>
      </c>
      <c r="F44" s="13">
        <f>SUM(D44:E44)</f>
        <v/>
      </c>
    </row>
    <row r="45">
      <c r="B45" t="inlineStr">
        <is>
          <t>网络安全</t>
        </is>
      </c>
      <c r="C45" s="11" t="inlineStr">
        <is>
          <t>网络设备与安全</t>
        </is>
      </c>
      <c r="D45" s="12">
        <f>COUNTIFS('概念展开'!$A$2:$A$68,B45,'概念展开'!$B$2:$B$68,C45,'概念展开'!$C$2:$C$68,"核心")</f>
        <v/>
      </c>
      <c r="E45" s="12">
        <f>COUNTIFS('概念展开'!$A$2:$A$68,B45,'概念展开'!$B$2:$B$68,C45,'概念展开'!$C$2:$C$68,"相关")</f>
        <v/>
      </c>
      <c r="F45">
        <f>SUM(D45:E45)</f>
        <v/>
      </c>
    </row>
    <row r="46">
      <c r="B46" s="13" t="inlineStr">
        <is>
          <t>网络安全</t>
        </is>
      </c>
      <c r="C46" s="14" t="inlineStr">
        <is>
          <t>网络靶场与安全测试</t>
        </is>
      </c>
      <c r="D46" s="15">
        <f>COUNTIFS('概念展开'!$A$2:$A$68,B46,'概念展开'!$B$2:$B$68,C46,'概念展开'!$C$2:$C$68,"核心")</f>
        <v/>
      </c>
      <c r="E46" s="15">
        <f>COUNTIFS('概念展开'!$A$2:$A$68,B46,'概念展开'!$B$2:$B$68,C46,'概念展开'!$C$2:$C$68,"相关")</f>
        <v/>
      </c>
      <c r="F46" s="13">
        <f>SUM(D46:E46)</f>
        <v/>
      </c>
    </row>
    <row r="47">
      <c r="B47" t="inlineStr">
        <is>
          <t>网络安全</t>
        </is>
      </c>
      <c r="C47" s="11" t="inlineStr">
        <is>
          <t>身份与终端安全</t>
        </is>
      </c>
      <c r="D47" s="12">
        <f>COUNTIFS('概念展开'!$A$2:$A$68,B47,'概念展开'!$B$2:$B$68,C47,'概念展开'!$C$2:$C$68,"核心")</f>
        <v/>
      </c>
      <c r="E47" s="12">
        <f>COUNTIFS('概念展开'!$A$2:$A$68,B47,'概念展开'!$B$2:$B$68,C47,'概念展开'!$C$2:$C$68,"相关")</f>
        <v/>
      </c>
      <c r="F47">
        <f>SUM(D47:E47)</f>
        <v/>
      </c>
    </row>
    <row r="48">
      <c r="B48" s="13" t="inlineStr">
        <is>
          <t>网络安全</t>
        </is>
      </c>
      <c r="C48" s="14" t="inlineStr">
        <is>
          <t>身份认证与电子签名</t>
        </is>
      </c>
      <c r="D48" s="15">
        <f>COUNTIFS('概念展开'!$A$2:$A$68,B48,'概念展开'!$B$2:$B$68,C48,'概念展开'!$C$2:$C$68,"核心")</f>
        <v/>
      </c>
      <c r="E48" s="15">
        <f>COUNTIFS('概念展开'!$A$2:$A$68,B48,'概念展开'!$B$2:$B$68,C48,'概念展开'!$C$2:$C$68,"相关")</f>
        <v/>
      </c>
      <c r="F48" s="13">
        <f>SUM(D48:E48)</f>
        <v/>
      </c>
    </row>
    <row r="49">
      <c r="B49" t="inlineStr">
        <is>
          <t>网络安全</t>
        </is>
      </c>
      <c r="C49" s="11" t="inlineStr">
        <is>
          <t>边界安全与防火墙</t>
        </is>
      </c>
      <c r="D49" s="12">
        <f>COUNTIFS('概念展开'!$A$2:$A$68,B49,'概念展开'!$B$2:$B$68,C49,'概念展开'!$C$2:$C$68,"核心")</f>
        <v/>
      </c>
      <c r="E49" s="12">
        <f>COUNTIFS('概念展开'!$A$2:$A$68,B49,'概念展开'!$B$2:$B$68,C49,'概念展开'!$C$2:$C$68,"相关")</f>
        <v/>
      </c>
      <c r="F49">
        <f>SUM(D49:E49)</f>
        <v/>
      </c>
    </row>
    <row r="50">
      <c r="B50" s="13" t="inlineStr">
        <is>
          <t>网络安全</t>
        </is>
      </c>
      <c r="C50" s="14" t="inlineStr">
        <is>
          <t>防火墙与零信任</t>
        </is>
      </c>
      <c r="D50" s="15">
        <f>COUNTIFS('概念展开'!$A$2:$A$68,B50,'概念展开'!$B$2:$B$68,C50,'概念展开'!$C$2:$C$68,"核心")</f>
        <v/>
      </c>
      <c r="E50" s="15">
        <f>COUNTIFS('概念展开'!$A$2:$A$68,B50,'概念展开'!$B$2:$B$68,C50,'概念展开'!$C$2:$C$68,"相关")</f>
        <v/>
      </c>
      <c r="F50" s="13">
        <f>SUM(D50:E50)</f>
        <v/>
      </c>
    </row>
    <row r="51">
      <c r="B51" t="inlineStr">
        <is>
          <t>网络安全</t>
        </is>
      </c>
      <c r="C51" s="11" t="inlineStr">
        <is>
          <t>零信任与SASE</t>
        </is>
      </c>
      <c r="D51" s="12">
        <f>COUNTIFS('概念展开'!$A$2:$A$68,B51,'概念展开'!$B$2:$B$68,C51,'概念展开'!$C$2:$C$68,"核心")</f>
        <v/>
      </c>
      <c r="E51" s="12">
        <f>COUNTIFS('概念展开'!$A$2:$A$68,B51,'概念展开'!$B$2:$B$68,C51,'概念展开'!$C$2:$C$68,"相关")</f>
        <v/>
      </c>
      <c r="F51">
        <f>SUM(D51:E51)</f>
        <v/>
      </c>
    </row>
    <row r="52">
      <c r="B52" s="16" t="inlineStr">
        <is>
          <t>合计（概念次数，非股票去重数）</t>
        </is>
      </c>
      <c r="D52" s="16">
        <f>SUM(D5:D51)</f>
        <v/>
      </c>
      <c r="E52" s="16">
        <f>SUM(E5:E51)</f>
        <v/>
      </c>
      <c r="F52" s="16">
        <f>SUM(F5:F51)</f>
        <v/>
      </c>
    </row>
  </sheetData>
  <autoFilter ref="B4:F51"/>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2026-10-27T02:42:31Z</dcterms:created>
  <dcterms:modified xmlns:dcterms="http://purl.org/dc/terms/" xmlns:xsi="http://www.w3.org/2001/XMLSchema-instance" xsi:type="dcterms:W3CDTF">2026-10-27T02:42:32Z</dcterms:modified>
</cp:coreProperties>
</file>