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半导体" sheetId="3" state="visible" r:id="rId3"/>
    <sheet xmlns:r="http://schemas.openxmlformats.org/officeDocument/2006/relationships" name="摘除清单" sheetId="4" state="visible" r:id="rId4"/>
    <sheet xmlns:r="http://schemas.openxmlformats.org/officeDocument/2006/relationships" name="概念展开" sheetId="5" state="hidden" r:id="rId5"/>
    <sheet xmlns:r="http://schemas.openxmlformats.org/officeDocument/2006/relationships" name="概念统计" sheetId="6" state="visible" r:id="rId6"/>
  </sheets>
  <definedNames>
    <definedName name="_xlnm._FilterDatabase" localSheetId="1" hidden="1">'清洗总表'!$B$4:$M$165</definedName>
    <definedName name="_xlnm._FilterDatabase" localSheetId="2" hidden="1">'半导体'!$B$4:$M$157</definedName>
    <definedName name="_xlnm._FilterDatabase" localSheetId="3" hidden="1">'摘除清单'!$B$4:$M$12</definedName>
    <definedName name="_xlnm._FilterDatabase" localSheetId="5" hidden="1">'概念统计'!$B$4:$F$47</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7365D"/>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7365D"/>
      <sz val="13"/>
    </font>
    <font>
      <b val="1"/>
      <color rgb="000066CC"/>
    </font>
    <font>
      <color rgb="00666666"/>
      <sz val="10"/>
    </font>
  </fonts>
  <fills count="4">
    <fill>
      <patternFill/>
    </fill>
    <fill>
      <patternFill patternType="gray125"/>
    </fill>
    <fill>
      <patternFill patternType="solid">
        <fgColor rgb="0017365D"/>
      </patternFill>
    </fill>
    <fill>
      <patternFill patternType="solid">
        <fgColor rgb="00F5F7FA"/>
      </patternFill>
    </fill>
  </fills>
  <borders count="2">
    <border>
      <left/>
      <right/>
      <top/>
      <bottom/>
      <diagonal/>
    </border>
    <border>
      <bottom style="thin">
        <color rgb="00D0D7E2"/>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3" borderId="0" applyAlignment="1" pivotButton="0" quotePrefix="0" xfId="0">
      <alignment horizontal="left" vertical="top"/>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半导体概念深度清洗报告</t>
        </is>
      </c>
    </row>
    <row r="3">
      <c r="B3" s="2" t="inlineStr">
        <is>
          <t>复核日期：2026-10-27｜范围：161只｜重点：业务实质、产品层级、商业订单与二次边界复审</t>
        </is>
      </c>
    </row>
    <row r="6" ht="26" customHeight="1">
      <c r="B6" s="17" t="inlineStr">
        <is>
          <t>复核股票（只）</t>
        </is>
      </c>
      <c r="C6" s="18">
        <f>COUNTA('清洗总表'!$B$5:$B$165)</f>
        <v/>
      </c>
    </row>
    <row r="7" ht="26" customHeight="1">
      <c r="B7" s="17" t="inlineStr">
        <is>
          <t>保留半导体（只）</t>
        </is>
      </c>
      <c r="C7" s="18">
        <f>COUNTA('半导体'!$B$5:$B$157)</f>
        <v/>
      </c>
    </row>
    <row r="8" ht="26" customHeight="1">
      <c r="B8" s="17" t="inlineStr">
        <is>
          <t>核心判词（只）</t>
        </is>
      </c>
      <c r="C8" s="18">
        <f>COUNTIF('半导体'!$H$5:$H$157,"核心")</f>
        <v/>
      </c>
    </row>
    <row r="9" ht="26" customHeight="1">
      <c r="B9" s="17" t="inlineStr">
        <is>
          <t>相关判词（只）</t>
        </is>
      </c>
      <c r="C9" s="18">
        <f>COUNTIF('半导体'!$H$5:$H$157,"相关")</f>
        <v/>
      </c>
    </row>
    <row r="10" ht="26" customHeight="1">
      <c r="B10" s="17" t="inlineStr">
        <is>
          <t>纠错动作（只）</t>
        </is>
      </c>
      <c r="C10" s="18">
        <f>COUNTIF('清洗总表'!$E$5:$E$165,"纠错")</f>
        <v/>
      </c>
    </row>
    <row r="11" ht="26" customHeight="1">
      <c r="B11" s="17" t="inlineStr">
        <is>
          <t>完全摘除（只）</t>
        </is>
      </c>
      <c r="C11" s="18">
        <f>COUNTA('摘除清单'!$B$5:$B$12)</f>
        <v/>
      </c>
    </row>
    <row r="15">
      <c r="B15" s="19" t="inlineStr">
        <is>
          <t>工作表索引</t>
        </is>
      </c>
    </row>
    <row r="16">
      <c r="B16" s="20" t="inlineStr">
        <is>
          <t>清洗总表</t>
        </is>
      </c>
      <c r="C16" s="11" t="inlineStr">
        <is>
          <t>161只旧概念、新概念、动作、判词、详细理由和证据</t>
        </is>
      </c>
    </row>
    <row r="17">
      <c r="B17" s="20" t="inlineStr">
        <is>
          <t>半导体</t>
        </is>
      </c>
      <c r="C17" s="11" t="inlineStr">
        <is>
          <t>153只清洗后半导体公司</t>
        </is>
      </c>
    </row>
    <row r="18">
      <c r="B18" s="20" t="inlineStr">
        <is>
          <t>摘除清单</t>
        </is>
      </c>
      <c r="C18" s="11" t="inlineStr">
        <is>
          <t>8只通用业务或半导体证据不足公司</t>
        </is>
      </c>
    </row>
    <row r="19">
      <c r="B19" s="20" t="inlineStr">
        <is>
          <t>概念统计</t>
        </is>
      </c>
      <c r="C19" s="11" t="inlineStr">
        <is>
          <t>43个实际使用的二级概念</t>
        </is>
      </c>
    </row>
    <row r="23">
      <c r="B23" s="21" t="inlineStr">
        <is>
          <t>核心：半导体是明确主营、重要收入来源，或已有规模化核心产品；相关：有真实半导体产品、订单、客户验证或交付，但早期、低占比、未拆分或其他行业为主。</t>
        </is>
      </c>
    </row>
    <row r="24">
      <c r="B24" s="21" t="inlineStr">
        <is>
          <t>摘除：只有通用产品潜在用途、下游模组外购芯片、锂电或光伏设备联想、未落地投资；模组不写成芯片设计，分销不写成芯片，参股不等于自身经营。</t>
        </is>
      </c>
    </row>
    <row r="25">
      <c r="B25" s="21" t="inlineStr">
        <is>
          <t>二次复审：奥普光电按真实参股恢复相关，致尚科技按半导体抛光设备恢复相关，合盛硅业按量产碳化硅衬底恢复相关；同步修正多家公司概念与数字口径。</t>
        </is>
      </c>
    </row>
    <row r="26">
      <c r="B26" s="21" t="inlineStr">
        <is>
          <t>主营与2025分部：iFinD ifind_get_stock_info、ifind_get_stock_business_segmentation（2026-10-27）；逐股公告与证据见Source列。</t>
        </is>
      </c>
    </row>
  </sheetData>
  <mergeCells count="10">
    <mergeCell ref="B26:H26"/>
    <mergeCell ref="C16:G16"/>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16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半导体 · 161只逐项复核</t>
        </is>
      </c>
    </row>
    <row r="3">
      <c r="B3" s="2" t="inlineStr">
        <is>
          <t>逐股核对真实产品、订单、客户、交付、运营与股权；区分半导体、传统军工航天和潜在联想。</t>
        </is>
      </c>
    </row>
    <row r="4">
      <c r="B4" s="3" t="inlineStr">
        <is>
          <t>代码</t>
        </is>
      </c>
      <c r="C4" s="3" t="inlineStr">
        <is>
          <t>名称</t>
        </is>
      </c>
      <c r="D4" s="3" t="inlineStr">
        <is>
          <t>旧半导体概念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000021</t>
        </is>
      </c>
      <c r="C5" s="4" t="inlineStr">
        <is>
          <t>深科技</t>
        </is>
      </c>
      <c r="D5" s="5" t="inlineStr">
        <is>
          <t>半导体：存储封测</t>
        </is>
      </c>
      <c r="E5" s="4" t="inlineStr">
        <is>
          <t>纠错</t>
        </is>
      </c>
      <c r="F5" s="4" t="inlineStr">
        <is>
          <t>半导体</t>
        </is>
      </c>
      <c r="G5" s="5" t="inlineStr">
        <is>
          <t>封装测试</t>
        </is>
      </c>
      <c r="H5" s="4" t="inlineStr">
        <is>
          <t>核心</t>
        </is>
      </c>
      <c r="I5" s="5" t="inlineStr">
        <is>
          <t>公司真实半导体业务是存储芯片封装测试及高端制造中的相关制造服务，具备存储封测量产与客户交付基础，并非存储晶圆设计或存储颗粒制造。iFinD二〇二五年分部显示，存储半导体收入四十点九一亿元，占营业收入百分之二十五点九八；高端制造收入八十五点三五亿元，占百分之五十四点二零，后者还含其他电子制造，不能全部并入半导体口径。收入规模和独立分部足以支持核心定级，但必须保留混合业务边界。旧标签若把公司泛化为芯片设计、晶圆制造或全部高端制造均属半导体，均应纠正为封装测试，仅以已披露的存储封测主业作为归类依据。</t>
        </is>
      </c>
      <c r="J5" s="4" t="inlineStr">
        <is>
          <t>深科技：2025年年度报告</t>
        </is>
      </c>
      <c r="K5" s="4" t="inlineStr">
        <is>
          <t>2026-04-29</t>
        </is>
      </c>
      <c r="L5" s="5" t="inlineStr">
        <is>
          <t>iFinD ifind_get_stock_info + ifind_get_stock_business_segmentation (as of 2026-10-27)；深科技：2025年年度报告</t>
        </is>
      </c>
      <c r="M5" s="6" t="inlineStr">
        <is>
          <t>https://money.finance.sina.com.cn/corp/view/vCB_AllBulletinDetail.php?stockid=000021&amp;id=12247178</t>
        </is>
      </c>
    </row>
    <row r="6" ht="104" customHeight="1">
      <c r="B6" s="7" t="inlineStr">
        <is>
          <t>000032</t>
        </is>
      </c>
      <c r="C6" s="7" t="inlineStr">
        <is>
          <t>深桑达A</t>
        </is>
      </c>
      <c r="D6" s="8" t="inlineStr">
        <is>
          <t>半导体：半导体洁净室</t>
        </is>
      </c>
      <c r="E6" s="7" t="inlineStr">
        <is>
          <t>纠错</t>
        </is>
      </c>
      <c r="F6" s="7" t="inlineStr">
        <is>
          <t>半导体</t>
        </is>
      </c>
      <c r="G6" s="8" t="inlineStr">
        <is>
          <t>洁净室与厂务工程</t>
        </is>
      </c>
      <c r="H6" s="7" t="inlineStr">
        <is>
          <t>核心</t>
        </is>
      </c>
      <c r="I6" s="8" t="inlineStr">
        <is>
          <t>公司通过高科技产业工程业务提供洁净室、机电安装和厂务系统建设，年报披露的真实项目覆盖半导体等高科技厂房，因此对应的是工程服务而非半导体设备或芯片制造。iFinD二〇二五年洁净室相关整体收入三百九十八点四五亿元，占营业收入百分之八十一点零四，专业化产品收入四十七点零八亿元，占百分之九点五七；但洁净室下游还包括生物医药、算力、新能源及其他电子行业，不能把上述收入全算作半导体。考虑业务体量、独立分部及真实半导体项目经验，定为核心具有依据，同时须明确这是混合下游口径。旧标签若写成半导体工艺设备、洁净设备制造或纯半导体收入，应统一纠正为洁净室与厂务工程。</t>
        </is>
      </c>
      <c r="J6" s="7" t="inlineStr">
        <is>
          <t>深桑达A：2025年年度报告</t>
        </is>
      </c>
      <c r="K6" s="7" t="inlineStr">
        <is>
          <t>2026-04-28</t>
        </is>
      </c>
      <c r="L6" s="8" t="inlineStr">
        <is>
          <t>iFinD ifind_get_stock_info + ifind_get_stock_business_segmentation (as of 2026-10-27)；深桑达A：2025年年度报告</t>
        </is>
      </c>
      <c r="M6" s="9" t="inlineStr">
        <is>
          <t>http://money.finance.sina.com.cn/corp/view/vCB_AllBulletinDetail.php?stockid=000032&amp;id=12226663</t>
        </is>
      </c>
    </row>
    <row r="7" ht="104" customHeight="1">
      <c r="B7" s="4" t="inlineStr">
        <is>
          <t>000062</t>
        </is>
      </c>
      <c r="C7" s="4" t="inlineStr">
        <is>
          <t>深圳华强</t>
        </is>
      </c>
      <c r="D7" s="5" t="inlineStr">
        <is>
          <t>半导体：存储分销</t>
        </is>
      </c>
      <c r="E7" s="4" t="inlineStr">
        <is>
          <t>纠错</t>
        </is>
      </c>
      <c r="F7" s="4" t="inlineStr">
        <is>
          <t>半导体</t>
        </is>
      </c>
      <c r="G7" s="5" t="inlineStr">
        <is>
          <t>半导体分销与供应链</t>
        </is>
      </c>
      <c r="H7" s="4" t="inlineStr">
        <is>
          <t>核心</t>
        </is>
      </c>
      <c r="I7" s="5" t="inlineStr">
        <is>
          <t>公司的真实定位是电子元器件授权分销、交易及供应链服务，向客户销售存储、处理器等器件并提供技术与物流支持，不从事这些芯片的设计或晶圆制造。iFinD二〇二五年电子元器件交易收入二百四十点八零亿元，占营业收入百分之九十六点六七，交易服务收入五点五六亿元，占百分之二点二三，存储产品未单独披露收入，故不能把全部交易额机械归入某一芯片品类。鉴于分销是收入绝对主体且规模突出，可列半导体核心分销标的，但核心是主营重要性和规模判断，不代表自研芯片。旧标签若出现芯片设计、存储芯片制造或把分销收入等同于半导体产品收入，均应纠正为半导体分销与供应链。</t>
        </is>
      </c>
      <c r="J7" s="4" t="inlineStr">
        <is>
          <t>深圳华强：2025年年度报告摘要</t>
        </is>
      </c>
      <c r="K7" s="4" t="inlineStr">
        <is>
          <t>2026-03-27</t>
        </is>
      </c>
      <c r="L7" s="5" t="inlineStr">
        <is>
          <t>iFinD ifind_get_stock_info + ifind_get_stock_business_segmentation (as of 2026-10-27)；深圳华强：2025年年度报告摘要</t>
        </is>
      </c>
      <c r="M7" s="6" t="inlineStr">
        <is>
          <t>http://static.cninfo.com.cn/finalpage/2026-03-27/1225034926.PDF</t>
        </is>
      </c>
    </row>
    <row r="8" ht="104" customHeight="1">
      <c r="B8" s="7" t="inlineStr">
        <is>
          <t>000063</t>
        </is>
      </c>
      <c r="C8" s="7" t="inlineStr">
        <is>
          <t>中兴通讯</t>
        </is>
      </c>
      <c r="D8" s="8" t="inlineStr">
        <is>
          <t>半导体：算力芯片</t>
        </is>
      </c>
      <c r="E8" s="7" t="inlineStr">
        <is>
          <t>纠错</t>
        </is>
      </c>
      <c r="F8" s="7" t="inlineStr">
        <is>
          <t>半导体</t>
        </is>
      </c>
      <c r="G8" s="8" t="inlineStr">
        <is>
          <t>芯片设计-CPU/GPU/AI计算</t>
        </is>
      </c>
      <c r="H8" s="7" t="inlineStr">
        <is>
          <t>相关</t>
        </is>
      </c>
      <c r="I8" s="8" t="inlineStr">
        <is>
          <t>公司具备自研芯片能力，真实产品边界包括服务器及数据中心相关的中央处理器、人工智能计算等芯片研发，并服务于自身通信和算力产品体系；这与单纯采购芯片组装服务器不同，但也不能把整机或方案收入当作芯片收入。iFinD二〇二五年运营商网络收入六百二十八点五七亿元，占百分之四十六点九四，政企业务三百七十二点二二亿元，占百分之二十七点八零，消费者业务三百三十八点一六亿元，占百分之二十五点二六，芯片没有独立收入分部。半导体能力真实存在，但从上市公司收入结构看仍依附于通信设备与算力系统主业，因此定为相关而非核心。旧标签若把整个公司归为AI芯片核心股、晶圆制造或虚构独立芯片收入，均需纠正。</t>
        </is>
      </c>
      <c r="J8" s="7" t="inlineStr">
        <is>
          <t>中兴通讯：2025年年度报告</t>
        </is>
      </c>
      <c r="K8" s="7" t="inlineStr">
        <is>
          <t>2026-03-07</t>
        </is>
      </c>
      <c r="L8" s="8" t="inlineStr">
        <is>
          <t>iFinD ifind_get_stock_info + ifind_get_stock_business_segmentation (as of 2026-10-27)；中兴通讯：2025年年度报告</t>
        </is>
      </c>
      <c r="M8" s="9" t="inlineStr">
        <is>
          <t>https://www.zte.com.cn/content/dam/zte-site/investorrelations/cn_annual_report/2025%E5%B9%B4%E5%B9%B4%E5%BA%A6%E6%8A%A5%E5%91%8A.pdf</t>
        </is>
      </c>
    </row>
    <row r="9" ht="104" customHeight="1">
      <c r="B9" s="4" t="inlineStr">
        <is>
          <t>000066</t>
        </is>
      </c>
      <c r="C9" s="4" t="inlineStr">
        <is>
          <t>中国长城</t>
        </is>
      </c>
      <c r="D9" s="5" t="inlineStr">
        <is>
          <t>半导体：算力芯片</t>
        </is>
      </c>
      <c r="E9" s="4" t="inlineStr">
        <is>
          <t>纠错</t>
        </is>
      </c>
      <c r="F9" s="4" t="inlineStr">
        <is>
          <t>半导体</t>
        </is>
      </c>
      <c r="G9" s="5" t="inlineStr">
        <is>
          <t>半导体股权与产业投资</t>
        </is>
      </c>
      <c r="H9" s="4" t="inlineStr">
        <is>
          <t>相关</t>
        </is>
      </c>
      <c r="I9" s="5" t="inlineStr">
        <is>
          <t>公司与半导体的真实联系主要是持有飞腾等产业链企业股权，整机产品采购或搭载飞腾处理器并不等同于中国长城自身设计中央处理器。iFinD二〇二五年网络安全与信息化收入一百一十九点零五亿元，占营业收入百分之七十五点三一，高新电子收入三十点八七亿元，占百分之十九点五三，芯片未形成独立经营分部；飞腾收入二十五点三四亿元属于参股公司，不能并入上市公司半导体收入。基于股权联系而非自身芯片产品收入，定为相关更恰当。旧标签若写芯片设计、国产CPU制造或把飞腾全部业绩并表，均应纠正为半导体股权与产业投资，并保留整机业务与参股芯片企业的边界。</t>
        </is>
      </c>
      <c r="J9" s="4" t="inlineStr">
        <is>
          <t>中国长城：2025年年度报告</t>
        </is>
      </c>
      <c r="K9" s="4" t="inlineStr">
        <is>
          <t>2026-04-29</t>
        </is>
      </c>
      <c r="L9" s="5" t="inlineStr">
        <is>
          <t>iFinD ifind_get_stock_info + ifind_get_stock_business_segmentation (as of 2026-10-27)；中国长城：2025年年度报告</t>
        </is>
      </c>
      <c r="M9" s="6" t="inlineStr">
        <is>
          <t>https://money.finance.sina.com.cn/corp/view/vCB_AllBulletinDetail.php?stockid=000066&amp;id=12262295</t>
        </is>
      </c>
    </row>
    <row r="10" ht="104" customHeight="1">
      <c r="B10" s="7" t="inlineStr">
        <is>
          <t>000551</t>
        </is>
      </c>
      <c r="C10" s="7" t="inlineStr">
        <is>
          <t>创元科技</t>
        </is>
      </c>
      <c r="D10" s="8" t="inlineStr">
        <is>
          <t>半导体：半导体洁净室</t>
        </is>
      </c>
      <c r="E10" s="7" t="inlineStr">
        <is>
          <t>纠错</t>
        </is>
      </c>
      <c r="F10" s="7" t="inlineStr">
        <is>
          <t>半导体</t>
        </is>
      </c>
      <c r="G10" s="8" t="inlineStr">
        <is>
          <t>洁净室与厂务工程</t>
        </is>
      </c>
      <c r="H10" s="7" t="inlineStr">
        <is>
          <t>相关</t>
        </is>
      </c>
      <c r="I10" s="8" t="inlineStr">
        <is>
          <t>公司洁净环保板块提供洁净室工程、空气净化及相关系统服务，具备高科技洁净环境建设能力，可按已有半导体项目经验归入厂务工程，而不是半导体工艺设备或芯片制造。iFinD二〇二五年洁净设备及工程收入二十点七四亿元，占营业收入百分之四十九点一二，是重要业务板块，但半导体下游收入未单独拆分，不能把该分部全部认定为半导体收入，其他洁净应用仍须排除。考虑业务具有真实关联、收入体量重要但终端口径混合且缺乏半导体独立规模证据，定为相关而非核心。旧标签若概括为半导体设备核心企业、洁净设备全部用于晶圆厂或虚构芯片收入，应纠正为洁净室与厂务工程。</t>
        </is>
      </c>
      <c r="J10" s="7" t="inlineStr">
        <is>
          <t>创元科技：2025年年度报告摘要</t>
        </is>
      </c>
      <c r="K10" s="7" t="inlineStr">
        <is>
          <t>2026-04-08</t>
        </is>
      </c>
      <c r="L10" s="8" t="inlineStr">
        <is>
          <t>iFinD ifind_get_stock_info + ifind_get_stock_business_segmentation (as of 2026-10-27)；创元科技：2025年年度报告摘要</t>
        </is>
      </c>
      <c r="M10" s="9" t="inlineStr">
        <is>
          <t>https://www.000551.cn/uploads/admin/202604/69d5ad4e77b58.pdf</t>
        </is>
      </c>
    </row>
    <row r="11" ht="104" customHeight="1">
      <c r="B11" s="4" t="inlineStr">
        <is>
          <t>001287</t>
        </is>
      </c>
      <c r="C11" s="4" t="inlineStr">
        <is>
          <t>中电港</t>
        </is>
      </c>
      <c r="D11" s="5" t="inlineStr">
        <is>
          <t>半导体：存储分销</t>
        </is>
      </c>
      <c r="E11" s="4" t="inlineStr">
        <is>
          <t>纠错</t>
        </is>
      </c>
      <c r="F11" s="4" t="inlineStr">
        <is>
          <t>半导体</t>
        </is>
      </c>
      <c r="G11" s="5" t="inlineStr">
        <is>
          <t>半导体分销与供应链</t>
        </is>
      </c>
      <c r="H11" s="4" t="inlineStr">
        <is>
          <t>核心</t>
        </is>
      </c>
      <c r="I11" s="5" t="inlineStr">
        <is>
          <t>公司主营电子元器件分销和供应链协同服务，真实业务包括存储器、处理器等产品的销售、技术支持与交付，不拥有相应芯片设计或晶圆制造收入。iFinD二〇二五年分销业务约占营业收入百分之九十九点九零，其中存储器收入二百五十一点五零亿元，占百分之三十八点三八，处理器收入一百八十八点六五亿元，占百分之二十八点七九，半导体分销的主营地位和规模均有直接数据支撑，因此列为核心。这里的核心仅指分销产业环节，不可延伸为自研存储或处理器。旧标签若写芯片设计、存储晶圆制造、CPU制造，或遗漏分销属性而按产品名称归入设计端，均应纠正为半导体分销与供应链。</t>
        </is>
      </c>
      <c r="J11" s="4" t="inlineStr">
        <is>
          <t>中电港：2025年年度报告</t>
        </is>
      </c>
      <c r="K11" s="4" t="inlineStr">
        <is>
          <t>2026-04-28</t>
        </is>
      </c>
      <c r="L11" s="5" t="inlineStr">
        <is>
          <t>iFinD ifind_get_stock_info + ifind_get_stock_business_segmentation (as of 2026-10-27)；中电港：2025年年度报告</t>
        </is>
      </c>
      <c r="M11" s="6" t="inlineStr">
        <is>
          <t>http://file.finance.sina.com.cn/211.154.219.97:9494/MRGG/CNSESZ_STOCK/2026/2026-4/2026-04-28/12211650.PDF</t>
        </is>
      </c>
    </row>
    <row r="12" ht="104" customHeight="1">
      <c r="B12" s="7" t="inlineStr">
        <is>
          <t>001309</t>
        </is>
      </c>
      <c r="C12" s="7" t="inlineStr">
        <is>
          <t>德明利</t>
        </is>
      </c>
      <c r="D12" s="8" t="inlineStr">
        <is>
          <t>半导体：存储模组</t>
        </is>
      </c>
      <c r="E12" s="7" t="inlineStr">
        <is>
          <t>纠错</t>
        </is>
      </c>
      <c r="F12" s="7" t="inlineStr">
        <is>
          <t>半导体</t>
        </is>
      </c>
      <c r="G12" s="8" t="inlineStr">
        <is>
          <t>存储模组与系统、芯片设计-存储主控与接口</t>
        </is>
      </c>
      <c r="H12" s="7" t="inlineStr">
        <is>
          <t>核心</t>
        </is>
      </c>
      <c r="I12" s="8" t="inlineStr">
        <is>
          <t>公司真实产品包括固态硬盘、嵌入式存储、移动存储和内存条，并已有自研存储主控芯片量产应用；因此兼具存储模组与主控设计属性，但不等于开展NAND或DRAM存储晶圆设计制造。iFinD二〇二五年固态硬盘收入四十五点八二亿元，占百分之四十二点四六，嵌入式存储三十六点六三亿元，占百分之三十三点九五，移动存储十四点七四亿元，占百分之十三点六六，内存条十点五一亿元，占百分之九点七四，自研主控收入未单列。模组收入占绝对主体，核心定级明确，但主控标签仅对应真实设计能力。旧标签若写成存储芯片、存储晶圆或把模组全部视作芯片设计收入，必须按上述边界纠正。</t>
        </is>
      </c>
      <c r="J12" s="7" t="inlineStr">
        <is>
          <t>德明利：2025年年度报告</t>
        </is>
      </c>
      <c r="K12" s="7" t="inlineStr">
        <is>
          <t>2026-02-28</t>
        </is>
      </c>
      <c r="L12" s="8" t="inlineStr">
        <is>
          <t>iFinD ifind_get_stock_info + ifind_get_stock_business_segmentation (as of 2026-10-27)；德明利：2025年年度报告</t>
        </is>
      </c>
      <c r="M12" s="9" t="inlineStr">
        <is>
          <t>https://money.finance.sina.com.cn/corp/view/vCB_AllBulletinDetail.php?stockid=001309&amp;id=11976038</t>
        </is>
      </c>
    </row>
    <row r="13" ht="104" customHeight="1">
      <c r="B13" s="4" t="inlineStr">
        <is>
          <t>002119</t>
        </is>
      </c>
      <c r="C13" s="4" t="inlineStr">
        <is>
          <t>康强电子</t>
        </is>
      </c>
      <c r="D13" s="5" t="inlineStr">
        <is>
          <t>半导体：半导体材料</t>
        </is>
      </c>
      <c r="E13" s="4" t="inlineStr">
        <is>
          <t>纠错</t>
        </is>
      </c>
      <c r="F13" s="4" t="inlineStr">
        <is>
          <t>半导体</t>
        </is>
      </c>
      <c r="G13" s="5" t="inlineStr">
        <is>
          <t>半导体材料-封装材料</t>
        </is>
      </c>
      <c r="H13" s="4" t="inlineStr">
        <is>
          <t>核心</t>
        </is>
      </c>
      <c r="I13" s="5" t="inlineStr">
        <is>
          <t>公司真实产品为半导体封装用引线框架和键合丝，分别承担芯片封装中的承载互连与电气连接功能，属于封装关键材料，不是封装设备、芯片设计或晶圆制造。iFinD二〇二五年引线框架收入十三点二二亿元，占营业收入百分之六十点一二，键合丝收入五点四四亿元，占百分之二十四点七四，两项合计占绝大部分收入，产品用途和收入结构均直接支持半导体核心定级。引线框架、键合丝内部还可能有不同规格与应用，但不改变其封装材料属性，亦不应虚构为前道材料。旧标签若把公司归入封装测试服务、半导体设备或泛化为全部金属材料，应纠正为半导体封装材料，并以两项实际产品收入为边界。</t>
        </is>
      </c>
      <c r="J13" s="4" t="inlineStr">
        <is>
          <t>康强电子：2025年年度报告</t>
        </is>
      </c>
      <c r="K13" s="4" t="inlineStr">
        <is>
          <t>2026-03-31</t>
        </is>
      </c>
      <c r="L13" s="5" t="inlineStr">
        <is>
          <t>iFinD ifind_get_stock_info + ifind_get_stock_business_segmentation (as of 2026-10-27)；康强电子：2025年年度报告</t>
        </is>
      </c>
      <c r="M13" s="6" t="inlineStr">
        <is>
          <t>https://money.finance.sina.com.cn/corp/view/vCB_AllBulletinDetail.php?stockid=002119&amp;id=12039120</t>
        </is>
      </c>
    </row>
    <row r="14" ht="104" customHeight="1">
      <c r="B14" s="7" t="inlineStr">
        <is>
          <t>002129</t>
        </is>
      </c>
      <c r="C14" s="7" t="inlineStr">
        <is>
          <t>TCL中环</t>
        </is>
      </c>
      <c r="D14" s="8" t="inlineStr">
        <is>
          <t>半导体：半导体材料</t>
        </is>
      </c>
      <c r="E14" s="7" t="inlineStr">
        <is>
          <t>纠错</t>
        </is>
      </c>
      <c r="F14" s="7" t="inlineStr">
        <is>
          <t>半导体</t>
        </is>
      </c>
      <c r="G14" s="8" t="inlineStr">
        <is>
          <t>半导体材料-硅片与硅部件</t>
        </is>
      </c>
      <c r="H14" s="7" t="inlineStr">
        <is>
          <t>核心</t>
        </is>
      </c>
      <c r="I14" s="8" t="inlineStr">
        <is>
          <t>公司半导体业务的真实产品是半导体硅片等硅材料，服务集成电路及功率器件等制造环节；光伏硅片虽然也属硅材料，却不能与半导体硅片混为同一终端口径。iFinD二〇二五年半导体材料收入五十七点零七亿元，占营业收入百分之十九点六四，光伏硅片收入一百二十二点三八亿元，占百分之四十二点一三，组件收入九十三点二四亿元，占百分之三十二点一零，显示公司仍是混合业务结构。半导体材料已达到重要收入规模，故可由一般相关提升为核心，但核心不代表全部营收来自半导体。旧标签若只列光伏、把全部硅片收入归入半导体，或误写为芯片制造，应纠正为半导体硅片与硅部件并明确光伏边界。</t>
        </is>
      </c>
      <c r="J14" s="7" t="inlineStr">
        <is>
          <t>TCL中环：2025年年度报告</t>
        </is>
      </c>
      <c r="K14" s="7" t="inlineStr">
        <is>
          <t>2026-03-24</t>
        </is>
      </c>
      <c r="L14" s="8" t="inlineStr">
        <is>
          <t>iFinD ifind_get_stock_info + ifind_get_stock_business_segmentation (as of 2026-10-27)；TCL中环：2025年年度报告</t>
        </is>
      </c>
      <c r="M14" s="9" t="inlineStr">
        <is>
          <t>https://money.finance.sina.com.cn/corp/view/vCB_AllBulletinDetail.php?stockid=002129&amp;id=12015974</t>
        </is>
      </c>
    </row>
    <row r="15" ht="104" customHeight="1">
      <c r="B15" s="4" t="inlineStr">
        <is>
          <t>002156</t>
        </is>
      </c>
      <c r="C15" s="4" t="inlineStr">
        <is>
          <t>通富微电</t>
        </is>
      </c>
      <c r="D15" s="5" t="inlineStr">
        <is>
          <t>半导体：封测</t>
        </is>
      </c>
      <c r="E15" s="4" t="inlineStr">
        <is>
          <t>纠错</t>
        </is>
      </c>
      <c r="F15" s="4" t="inlineStr">
        <is>
          <t>半导体</t>
        </is>
      </c>
      <c r="G15" s="5" t="inlineStr">
        <is>
          <t>封装测试</t>
        </is>
      </c>
      <c r="H15" s="4" t="inlineStr">
        <is>
          <t>核心</t>
        </is>
      </c>
      <c r="I15" s="5" t="inlineStr">
        <is>
          <t>公司真实业务是为集成电路企业提供封装与测试代工服务，覆盖多种封装形式和先进封装制造环节，不承担客户芯片产品设计，也不等同于上游晶圆制造。iFinD二〇二五年集成电路封装测试收入二百七十二点四八亿元，占营业收入百分之九十七点五九，主营集中度和收入规模均十分明确，半导体核心定级不存在依赖概念推演的问题。少量其他业务不能扩大解释为芯片设计，客户产品涉及中央处理器或人工智能芯片时，也应只确认公司提供封测服务。旧标签若出现芯片设计、晶圆代工、半导体设备，或把客户芯片收入归为公司产品收入，均应纠正为封装测试，并以独立封测分部收入作为归类依据。</t>
        </is>
      </c>
      <c r="J15" s="4" t="inlineStr">
        <is>
          <t>通富微电：2025年年度报告</t>
        </is>
      </c>
      <c r="K15" s="4" t="inlineStr">
        <is>
          <t>2026-04-17</t>
        </is>
      </c>
      <c r="L15" s="5" t="inlineStr">
        <is>
          <t>iFinD ifind_get_stock_info + ifind_get_stock_business_segmentation (as of 2026-10-27)；通富微电：2025年年度报告</t>
        </is>
      </c>
      <c r="M15" s="6" t="inlineStr">
        <is>
          <t>https://static.cninfo.com.cn/finalpage/2026-04-17/1225112762.PDF</t>
        </is>
      </c>
    </row>
    <row r="16" ht="104" customHeight="1">
      <c r="B16" s="7" t="inlineStr">
        <is>
          <t>002185</t>
        </is>
      </c>
      <c r="C16" s="7" t="inlineStr">
        <is>
          <t>华天科技</t>
        </is>
      </c>
      <c r="D16" s="8" t="inlineStr">
        <is>
          <t>半导体：封测</t>
        </is>
      </c>
      <c r="E16" s="7" t="inlineStr">
        <is>
          <t>纠错</t>
        </is>
      </c>
      <c r="F16" s="7" t="inlineStr">
        <is>
          <t>半导体</t>
        </is>
      </c>
      <c r="G16" s="8" t="inlineStr">
        <is>
          <t>封装测试</t>
        </is>
      </c>
      <c r="H16" s="7" t="inlineStr">
        <is>
          <t>核心</t>
        </is>
      </c>
      <c r="I16" s="8" t="inlineStr">
        <is>
          <t>公司真实产品与服务是集成电路封装、测试及相关先进封装加工，处于芯片制造后道，不是芯片设计、晶圆代工或封装材料供应。iFinD二〇二五年集成电路封装收入约一百七十二点一一亿元，占营业收入约百分之九十九点九八；年报审计主营口径另列封装收入一百六十八点二二亿元、占百分之九十七点七二，两者统计范围不同但均证明封测为绝对主业，不能混用造成虚假差异。公司收入结构足以支持核心定级，客户芯片类型不改变公司自身产业位置。旧标签若把其归入芯片设计、半导体设备、材料或把全部先进封装概念延伸为自研芯片，均应统一纠正为封装测试。</t>
        </is>
      </c>
      <c r="J16" s="7" t="inlineStr">
        <is>
          <t>华天科技：2025年年度报告摘要</t>
        </is>
      </c>
      <c r="K16" s="7" t="inlineStr">
        <is>
          <t>2026-03-31</t>
        </is>
      </c>
      <c r="L16" s="8" t="inlineStr">
        <is>
          <t>iFinD ifind_get_stock_info + ifind_get_stock_business_segmentation (as of 2026-10-27)；华天科技：2025年年度报告摘要</t>
        </is>
      </c>
      <c r="M16" s="9" t="inlineStr">
        <is>
          <t>http://static.cninfo.com.cn/finalpage/2026-03-31/1225059982.PDF</t>
        </is>
      </c>
    </row>
    <row r="17" ht="104" customHeight="1">
      <c r="B17" s="4" t="inlineStr">
        <is>
          <t>002213</t>
        </is>
      </c>
      <c r="C17" s="4" t="inlineStr">
        <is>
          <t>大为股份</t>
        </is>
      </c>
      <c r="D17" s="5" t="inlineStr">
        <is>
          <t>半导体：存储模组</t>
        </is>
      </c>
      <c r="E17" s="4" t="inlineStr">
        <is>
          <t>纠错</t>
        </is>
      </c>
      <c r="F17" s="4" t="inlineStr">
        <is>
          <t>半导体</t>
        </is>
      </c>
      <c r="G17" s="5" t="inlineStr">
        <is>
          <t>存储模组与系统</t>
        </is>
      </c>
      <c r="H17" s="4" t="inlineStr">
        <is>
          <t>核心</t>
        </is>
      </c>
      <c r="I17" s="5" t="inlineStr">
        <is>
          <t>公司半导体板块的真实业务为存储模组及相关存储产品销售，包括固态硬盘、嵌入式存储等应用形态，不属于NAND或DRAM晶圆设计制造，也不能因产品含存储芯片便自称芯片设计企业。iFinD二〇二五年半导体存储收入十点九八亿元，占营业收入百分之八十九点八一，已成为收入和经营的绝对主体，故核心定级有主营和规模依据；其余汽车零部件、锂电等业务不应并入半导体收入。模组中采购的存储颗粒、主控等器件仍须与自研产品区分，年报未单列芯片设计收入即不能虚构。旧标签若写存储芯片设计、晶圆制造或泛化为半导体全链条，应纠正为存储模组与系统。</t>
        </is>
      </c>
      <c r="J17" s="4" t="inlineStr">
        <is>
          <t>大为股份：2025年年度报告</t>
        </is>
      </c>
      <c r="K17" s="4" t="inlineStr">
        <is>
          <t>2026-03-06</t>
        </is>
      </c>
      <c r="L17" s="5" t="inlineStr">
        <is>
          <t>iFinD ifind_get_stock_info + ifind_get_stock_business_segmentation (as of 2026-10-27)；大为股份：2025年年度报告</t>
        </is>
      </c>
      <c r="M17" s="6" t="inlineStr">
        <is>
          <t>http://money.finance.sina.com.cn/corp/view/vCB_AllBulletinDetail.php?stockid=002213&amp;id=11983412</t>
        </is>
      </c>
    </row>
    <row r="18" ht="104" customHeight="1">
      <c r="B18" s="7" t="inlineStr">
        <is>
          <t>002338</t>
        </is>
      </c>
      <c r="C18" s="7" t="inlineStr">
        <is>
          <t>奥普光电</t>
        </is>
      </c>
      <c r="D18" s="8" t="inlineStr">
        <is>
          <t>半导体：半导体设备-前道</t>
        </is>
      </c>
      <c r="E18" s="7" t="inlineStr">
        <is>
          <t>纠错</t>
        </is>
      </c>
      <c r="F18" s="7" t="inlineStr">
        <is>
          <t>半导体</t>
        </is>
      </c>
      <c r="G18" s="8" t="inlineStr">
        <is>
          <t>半导体股权与产业投资</t>
        </is>
      </c>
      <c r="H18" s="7" t="inlineStr">
        <is>
          <t>相关</t>
        </is>
      </c>
      <c r="I18" s="8" t="inlineStr">
        <is>
          <t>二次复核认为初审将公司整体摘除过度。公司2025年收入仍来自光电测控仪器、光栅编码器及复合材料，本地分部复算分别为3.0050亿元、1.6888亿元和3.0510亿元，占总收入7.9964亿元的37.58%、21.12%和38.15%；未见公司自身半导体精密部件形成可独立确认的收入，超光滑特种反射元件仍处研制阶段，半导体核心光学、机械部组件及光栅尺属于2026年能力建设、验证和订单目标，因此不能恢复半导体设备前道或设备核心零部件产品标签。另一方面，2025年年报明确披露公司参股长光辰芯，后者主营光电芯片及传感器，2025年实现收入8.5651亿元、净利润2.9314亿元，构成真实的半导体股权与产业投资关系；参股公司收入不得并入奥普光电营业收入，也不据此把奥普光电自身定为核心。综合自身产品边界与参股证据，建议由摘除改为相关，仅保留半导体股权与产业投资标签。</t>
        </is>
      </c>
      <c r="J18" s="7" t="inlineStr">
        <is>
          <t>奥普光电：2025年年度报告</t>
        </is>
      </c>
      <c r="K18" s="7" t="inlineStr">
        <is>
          <t>2026-04-21</t>
        </is>
      </c>
      <c r="L18" s="8" t="inlineStr">
        <is>
          <t>iFinD ifind_get_stock_info + ifind_get_stock_business_segmentation (as of 2026-10-27)；奥普光电：2025年年度报告</t>
        </is>
      </c>
      <c r="M18" s="9" t="inlineStr">
        <is>
          <t>https://money.finance.sina.com.cn/corp/view/vCB_AllBulletinDetail.php?stockid=002338&amp;id=12117384</t>
        </is>
      </c>
    </row>
    <row r="19" ht="104" customHeight="1">
      <c r="B19" s="4" t="inlineStr">
        <is>
          <t>002371</t>
        </is>
      </c>
      <c r="C19" s="4" t="inlineStr">
        <is>
          <t>北方华创</t>
        </is>
      </c>
      <c r="D19" s="5" t="inlineStr">
        <is>
          <t>半导体：半导体设备-前道</t>
        </is>
      </c>
      <c r="E19" s="4" t="inlineStr">
        <is>
          <t>纠错</t>
        </is>
      </c>
      <c r="F19" s="4" t="inlineStr">
        <is>
          <t>半导体</t>
        </is>
      </c>
      <c r="G19" s="5" t="inlineStr">
        <is>
          <t>半导体设备-刻蚀、半导体设备-薄膜沉积、半导体设备-热处理与去胶、半导体设备-清洗、半导体设备-离子注入、半导体设备-涂胶显影、半导体设备-键合与焊接</t>
        </is>
      </c>
      <c r="H19" s="4" t="inlineStr">
        <is>
          <t>核心</t>
        </is>
      </c>
      <c r="I19" s="5" t="inlineStr">
        <is>
          <t>公司真实半导体装备覆盖刻蚀、物理及化学气相沉积等薄膜设备、氧化扩散与快速热处理、清洗、离子注入、涂胶显影以及键合焊接等工艺环节，均有明确产品平台支撑，不是以泛半导体概念拼接待定设备。iFinD二〇二五年电子工艺装备收入三百六十七点三一亿元，占营业收入百分之九十三点三四，核心定级由主营规模直接支持；但该分部还含真空及新能源等装备，不能把三百六十七点三一亿元全部认作半导体收入，各设备收入也未逐项独立披露。旧标签若仅保留单一刻蚀或薄膜环节会遗漏真实产品，若写芯片制造则越过设备边界，应按已证实设备类别纠正并排除未经核实的设备概念。</t>
        </is>
      </c>
      <c r="J19" s="4" t="inlineStr">
        <is>
          <t>北方华创：2025年年度报告</t>
        </is>
      </c>
      <c r="K19" s="4" t="inlineStr">
        <is>
          <t>2026-04-18</t>
        </is>
      </c>
      <c r="L19" s="5" t="inlineStr">
        <is>
          <t>iFinD ifind_get_stock_info + ifind_get_stock_business_segmentation (as of 2026-10-27)；北方华创：2025年年度报告</t>
        </is>
      </c>
      <c r="M19" s="6" t="inlineStr">
        <is>
          <t>http://static.cninfo.com.cn/finalpage/2026-04-18/1225122918.PDF</t>
        </is>
      </c>
    </row>
    <row r="20" ht="104" customHeight="1">
      <c r="B20" s="7" t="inlineStr">
        <is>
          <t>002388</t>
        </is>
      </c>
      <c r="C20" s="7" t="inlineStr">
        <is>
          <t>新亚制程</t>
        </is>
      </c>
      <c r="D20" s="8" t="inlineStr">
        <is>
          <t>半导体：半导体材料</t>
        </is>
      </c>
      <c r="E20" s="7" t="inlineStr">
        <is>
          <t>纠错</t>
        </is>
      </c>
      <c r="F20" s="7" t="inlineStr">
        <is>
          <t>半导体</t>
        </is>
      </c>
      <c r="G20" s="8" t="inlineStr">
        <is>
          <t>半导体材料-封装材料</t>
        </is>
      </c>
      <c r="H20" s="7" t="inlineStr">
        <is>
          <t>相关</t>
        </is>
      </c>
      <c r="I20" s="8" t="inlineStr">
        <is>
          <t>公司真实半导体相关产品包括用于集成电路封装的底部填充胶、聚氨酯反应型热熔胶以及适配IGBT等功率器件的灌封凝胶，属于封装保护和互连辅助材料，不是芯片设计或封装设备。iFinD二〇二五年胶粘剂收入二点八六亿元，占营业收入百分之十四点八四，半导体应用收入没有独立拆分，胶粘剂还服务消费电子及其他工业场景，因此不能把整个胶粘剂分部或公司电子制程业务都算作半导体。考虑已有明确产品用途但收入占比和半导体规模尚不透明，定为相关而非核心。旧标签若泛化为半导体核心材料、电子化学品全部用于芯片，或忽略具体封装用途，应纠正为半导体封装材料。</t>
        </is>
      </c>
      <c r="J20" s="7" t="inlineStr">
        <is>
          <t>新亚制程：2025年年度报告摘要</t>
        </is>
      </c>
      <c r="K20" s="7" t="inlineStr">
        <is>
          <t>2026-04-28</t>
        </is>
      </c>
      <c r="L20" s="8" t="inlineStr">
        <is>
          <t>iFinD ifind_get_stock_info + ifind_get_stock_business_segmentation (as of 2026-10-27)；新亚制程：2025年年度报告摘要</t>
        </is>
      </c>
      <c r="M20" s="9" t="inlineStr">
        <is>
          <t>https://static.cninfo.com.cn/finalpage/2026-04-28/1225219790.PDF</t>
        </is>
      </c>
    </row>
    <row r="21" ht="104" customHeight="1">
      <c r="B21" s="4" t="inlineStr">
        <is>
          <t>002407</t>
        </is>
      </c>
      <c r="C21" s="4" t="inlineStr">
        <is>
          <t>多氟多</t>
        </is>
      </c>
      <c r="D21" s="5" t="inlineStr">
        <is>
          <t>半导体：半导体材料</t>
        </is>
      </c>
      <c r="E21" s="4" t="inlineStr">
        <is>
          <t>纠错</t>
        </is>
      </c>
      <c r="F21" s="4" t="inlineStr">
        <is>
          <t>半导体</t>
        </is>
      </c>
      <c r="G21" s="5" t="inlineStr">
        <is>
          <t>半导体材料-电子特气与湿化学品</t>
        </is>
      </c>
      <c r="H21" s="4" t="inlineStr">
        <is>
          <t>相关</t>
        </is>
      </c>
      <c r="I21" s="5" t="inlineStr">
        <is>
          <t>公司真实半导体材料是电子级氢氟酸等超净高纯湿电子化学品，可用于晶圆清洗和蚀刻环节；传统氟化工、锂电材料及六氟磷酸锂不能因同属氟化学便归入半导体。iFinD二〇二五年电子信息材料收入四点零九亿元，占营业收入百分之四点三三，而半导体级氢氟酸销售额不足公司总营收百分之二，电子信息材料口径也不能全部视作半导体收入。产品及应用真实存在，但收入贡献较小且与新能源材料混合，故定为相关而非核心。旧标签若把公司整体归为半导体核心、把全部电子材料或氟化工收入并入半导体，或误写为芯片制造，应纠正为电子特气与湿化学品中的湿电子化学品。</t>
        </is>
      </c>
      <c r="J21" s="4" t="inlineStr">
        <is>
          <t>多氟多：2025年年度报告</t>
        </is>
      </c>
      <c r="K21" s="4" t="inlineStr">
        <is>
          <t>2026-04-16</t>
        </is>
      </c>
      <c r="L21" s="5" t="inlineStr">
        <is>
          <t>iFinD ifind_get_stock_info + ifind_get_stock_business_segmentation (as of 2026-10-27)；多氟多：2025年年度报告</t>
        </is>
      </c>
      <c r="M21" s="6" t="inlineStr">
        <is>
          <t>https://money.finance.sina.com.cn/corp/view/vCB_AllBulletinDetail.php?stockid=002407&amp;id=12095675</t>
        </is>
      </c>
    </row>
    <row r="22" ht="104" customHeight="1">
      <c r="B22" s="7" t="inlineStr">
        <is>
          <t>002409</t>
        </is>
      </c>
      <c r="C22" s="7" t="inlineStr">
        <is>
          <t>雅克科技</t>
        </is>
      </c>
      <c r="D22" s="8" t="inlineStr">
        <is>
          <t>半导体：半导体材料</t>
        </is>
      </c>
      <c r="E22" s="7" t="inlineStr">
        <is>
          <t>纠错</t>
        </is>
      </c>
      <c r="F22" s="7" t="inlineStr">
        <is>
          <t>半导体</t>
        </is>
      </c>
      <c r="G22" s="8" t="inlineStr">
        <is>
          <t>半导体材料-其他关键材料、半导体材料-光刻胶与配套试剂、半导体材料-电子特气与湿化学品、半导体材料-封装材料</t>
        </is>
      </c>
      <c r="H22" s="7" t="inlineStr">
        <is>
          <t>核心</t>
        </is>
      </c>
      <c r="I22" s="8" t="inlineStr">
        <is>
          <t>公司真实产品包括半导体前驱体、光刻胶及配套材料、电子特种气体、硅微粉和球形氧化铝等封装材料；前驱体归入其他关键材料，不应为凑分类写成光刻胶或特气。iFinD二〇二五年半导体化学材料收入二十一点一一亿元，占百分之二十四点五一，光刻胶十九点六零亿元，占百分之二十二点七六，特气四点一七亿元，占百分之四点八五，硅微粉二点八八亿元、LDS三点零四亿元，电子材料合计约五十点八零亿元、占约百分之五十九，支持核心定级。但光刻胶包含显示用途，相关合计也有非半导体边界，不能全算半导体。旧标签若遗漏前驱体、特气和封装材料或混淆收入口径，应逐项纠正。</t>
        </is>
      </c>
      <c r="J22" s="7" t="inlineStr">
        <is>
          <t>雅克科技：2025年年度报告</t>
        </is>
      </c>
      <c r="K22" s="7" t="inlineStr">
        <is>
          <t>2026-04-28</t>
        </is>
      </c>
      <c r="L22" s="8" t="inlineStr">
        <is>
          <t>iFinD ifind_get_stock_info + ifind_get_stock_business_segmentation (as of 2026-10-27)；雅克科技：2025年年度报告</t>
        </is>
      </c>
      <c r="M22" s="9" t="inlineStr">
        <is>
          <t>https://vip.stock.finance.sina.com.cn/corp/view/vCB_AllBulletinDetail.php?stockid=002409&amp;id=12232855</t>
        </is>
      </c>
    </row>
    <row r="23" ht="104" customHeight="1">
      <c r="B23" s="4" t="inlineStr">
        <is>
          <t>002436</t>
        </is>
      </c>
      <c r="C23" s="4" t="inlineStr">
        <is>
          <t>兴森科技</t>
        </is>
      </c>
      <c r="D23" s="5" t="inlineStr">
        <is>
          <t>半导体：半导体材料</t>
        </is>
      </c>
      <c r="E23" s="4" t="inlineStr">
        <is>
          <t>纠错</t>
        </is>
      </c>
      <c r="F23" s="4" t="inlineStr">
        <is>
          <t>半导体</t>
        </is>
      </c>
      <c r="G23" s="5" t="inlineStr">
        <is>
          <t>IC载板</t>
        </is>
      </c>
      <c r="H23" s="4" t="inlineStr">
        <is>
          <t>核心</t>
        </is>
      </c>
      <c r="I23" s="5" t="inlineStr">
        <is>
          <t>公司真实半导体产品是IC封装基板，包括面向芯片封装的高端有机载板，并经营半导体测试板；普通印制电路板虽同属公司主业，却不能因服务电子客户而自动归入IC载板。iFinD二〇二五年IC封装基板收入十六点七零亿元，占营业收入百分之二十三点二二，半导体测试板收入二点三九亿元，占百分之三点三三，PCB收入四十八点九七亿元，占百分之六十八点零七，反映封装基板已有重要独立规模但仍属混合业务。基于真实载板产品、收入体量与持续产业化地位列为核心，核心不表示全部PCB收入均属半导体。旧标签若只写普通PCB、误写芯片封装测试或把测试板收入并入载板，应纠正为IC载板并保留测试板边界。</t>
        </is>
      </c>
      <c r="J23" s="4" t="inlineStr">
        <is>
          <t>兴森科技：2025年年度报告</t>
        </is>
      </c>
      <c r="K23" s="4" t="inlineStr">
        <is>
          <t>2026-04-25</t>
        </is>
      </c>
      <c r="L23" s="5" t="inlineStr">
        <is>
          <t>iFinD ifind_get_stock_info + ifind_get_stock_business_segmentation (as of 2026-10-27)；兴森科技：2025年年度报告</t>
        </is>
      </c>
      <c r="M23" s="6" t="inlineStr">
        <is>
          <t>https://money.finance.sina.com.cn/corp/view/vCB_AllBulletinDetail.php?stockid=002436&amp;id=12191019</t>
        </is>
      </c>
    </row>
    <row r="24" ht="104" customHeight="1">
      <c r="B24" s="7" t="inlineStr">
        <is>
          <t>002453</t>
        </is>
      </c>
      <c r="C24" s="7" t="inlineStr">
        <is>
          <t>华软科技</t>
        </is>
      </c>
      <c r="D24" s="8" t="inlineStr">
        <is>
          <t>半导体：半导体材料</t>
        </is>
      </c>
      <c r="E24" s="7" t="inlineStr">
        <is>
          <t>纠错</t>
        </is>
      </c>
      <c r="F24" s="7" t="inlineStr">
        <is>
          <t>半导体</t>
        </is>
      </c>
      <c r="G24" s="8" t="inlineStr">
        <is>
          <t>半导体材料-封装材料</t>
        </is>
      </c>
      <c r="H24" s="7" t="inlineStr">
        <is>
          <t>相关</t>
        </is>
      </c>
      <c r="I24" s="8" t="inlineStr">
        <is>
          <t>公司电子化学品中的B28、B29等产品具有芯片封装用途，可归入封装材料；另一产品ML-8面向显示材料，说明电子化学品并非天然全部属于半导体，必须逐产品区分。iFinD二〇二五年电子化学品收入约零点三八一亿元，占营业收入百分之十点二三，其中半导体产品收入未单独披露，不能把该分部全部视作半导体，也不能根据少量封装用途推导为芯片设计或封装服务。考虑真实产品和应用证据存在，但规模较小、半导体收入不可拆分，定为相关而非核心。旧标签若将公司整体列为半导体核心材料、把显示化学品混入半导体或泛化为精细化工全部相关，均应纠正为具体的半导体封装材料。</t>
        </is>
      </c>
      <c r="J24" s="7" t="inlineStr">
        <is>
          <t>华软科技：2026年半年度报告</t>
        </is>
      </c>
      <c r="K24" s="7" t="inlineStr">
        <is>
          <t>2026-08-27</t>
        </is>
      </c>
      <c r="L24" s="8" t="inlineStr">
        <is>
          <t>iFinD ifind_get_stock_info + ifind_get_stock_business_segmentation (as of 2026-10-27)；华软科技：2026年半年度报告</t>
        </is>
      </c>
      <c r="M24" s="9" t="inlineStr">
        <is>
          <t>https://money.finance.sina.com.cn/corp/view/vCB_AllBulletinDetail.php?stockid=002453&amp;id=12549023</t>
        </is>
      </c>
    </row>
    <row r="25" ht="104" customHeight="1">
      <c r="B25" s="4" t="inlineStr">
        <is>
          <t>002549</t>
        </is>
      </c>
      <c r="C25" s="4" t="inlineStr">
        <is>
          <t>凯美特气</t>
        </is>
      </c>
      <c r="D25" s="5" t="inlineStr">
        <is>
          <t>半导体：半导体材料</t>
        </is>
      </c>
      <c r="E25" s="4" t="inlineStr">
        <is>
          <t>纠错</t>
        </is>
      </c>
      <c r="F25" s="4" t="inlineStr">
        <is>
          <t>半导体</t>
        </is>
      </c>
      <c r="G25" s="5" t="inlineStr">
        <is>
          <t>半导体材料-电子特气与湿化学品</t>
        </is>
      </c>
      <c r="H25" s="4" t="inlineStr">
        <is>
          <t>相关</t>
        </is>
      </c>
      <c r="I25" s="5" t="inlineStr">
        <is>
          <t>公司真实半导体关联产品是光刻工艺用电子特种气体，相关光刻气已通过Cymer及GIGAPHOTON等认证，认证说明具备进入供应链的技术条件，但不等于形成大额半导体收入，更不代表公司生产光刻机。iFinD二〇二五年特种气体收入约零点一二九亿元，占营业收入百分之二点零六，传统二氧化碳和氢气业务各占约百分之三十四，主营仍以大宗及食品级等气体为主，不能把全部气体收入归入半导体。基于真实产品认证与供货方向保留电子特气标签，但因当前收入贡献很小定为相关，旧核心定级应下调；若旧标签还包含光刻设备、芯片制造或把特种气体全部视为半导体收入，也一并纠正。</t>
        </is>
      </c>
      <c r="J25" s="4" t="inlineStr">
        <is>
          <t>凯美特气：2025年年度报告</t>
        </is>
      </c>
      <c r="K25" s="4" t="inlineStr">
        <is>
          <t>2026-04-22</t>
        </is>
      </c>
      <c r="L25" s="5" t="inlineStr">
        <is>
          <t>iFinD ifind_get_stock_info + ifind_get_stock_business_segmentation (as of 2026-10-27)；凯美特气：2025年年度报告</t>
        </is>
      </c>
      <c r="M25" s="6" t="inlineStr">
        <is>
          <t>https://money.finance.sina.com.cn/corp/view/vCB_AllBulletinDetail.php?stockid=002549&amp;id=12128544</t>
        </is>
      </c>
    </row>
    <row r="26" ht="104" customHeight="1">
      <c r="B26" s="7" t="inlineStr">
        <is>
          <t>002881</t>
        </is>
      </c>
      <c r="C26" s="7" t="inlineStr">
        <is>
          <t>美格智能</t>
        </is>
      </c>
      <c r="D26" s="8" t="inlineStr">
        <is>
          <t>半导体：端侧ai芯片</t>
        </is>
      </c>
      <c r="E26" s="7" t="inlineStr">
        <is>
          <t>摘除</t>
        </is>
      </c>
      <c r="F26" s="7" t="inlineStr">
        <is>
          <t>—</t>
        </is>
      </c>
      <c r="G26" s="8" t="inlineStr">
        <is>
          <t>—</t>
        </is>
      </c>
      <c r="H26" s="7" t="inlineStr">
        <is>
          <t>摘除</t>
        </is>
      </c>
      <c r="I26" s="8" t="inlineStr">
        <is>
          <t>公司真实产品是无线通信模组、智能模组及物联网解决方案，高算力模组内部采用外部CPU、GPU或NPU平台并提供软硬件集成，不等于公司自行设计端侧AI芯片或SoC。iFinD二〇二五年无线模组及解决方案收入三十六点零九亿元，占营业收入百分之九十六点三一，未披露任何独立芯片设计或半导体产品收入，年报产品口径也无法支持将模组销售额转为芯片收入。模组高算力、端侧AI应用和客户场景只能证明下游使用芯片，不能跨越芯片设计与模组集成的经营边界，因此旧端侧AI芯片或SoC设计标签缺乏真实产品依据，应予摘除。若未来正式披露自研芯片、流片量产和销售收入，再依据具体芯片类型重新建立标签。</t>
        </is>
      </c>
      <c r="J26" s="7" t="inlineStr">
        <is>
          <t>美格智能：2025年年度报告</t>
        </is>
      </c>
      <c r="K26" s="7" t="inlineStr">
        <is>
          <t>2026-03-31</t>
        </is>
      </c>
      <c r="L26" s="8" t="inlineStr">
        <is>
          <t>iFinD ifind_get_stock_info + ifind_get_stock_business_segmentation (as of 2026-10-27)；美格智能：2025年年度报告</t>
        </is>
      </c>
      <c r="M26" s="9" t="inlineStr">
        <is>
          <t>https://money.finance.sina.com.cn/corp/view/vCB_AllBulletinDetail.php?stockid=002881&amp;id=12044935</t>
        </is>
      </c>
    </row>
    <row r="27" ht="104" customHeight="1">
      <c r="B27" s="4" t="inlineStr">
        <is>
          <t>002916</t>
        </is>
      </c>
      <c r="C27" s="4" t="inlineStr">
        <is>
          <t>深南电路</t>
        </is>
      </c>
      <c r="D27" s="5" t="inlineStr">
        <is>
          <t>半导体：半导体材料</t>
        </is>
      </c>
      <c r="E27" s="4" t="inlineStr">
        <is>
          <t>纠错</t>
        </is>
      </c>
      <c r="F27" s="4" t="inlineStr">
        <is>
          <t>半导体</t>
        </is>
      </c>
      <c r="G27" s="5" t="inlineStr">
        <is>
          <t>IC载板</t>
        </is>
      </c>
      <c r="H27" s="4" t="inlineStr">
        <is>
          <t>核心</t>
        </is>
      </c>
      <c r="I27" s="5" t="inlineStr">
        <is>
          <t>公司真实半导体产品为封装基板，承担芯片与印制电路板之间的高密度互连和封装承载功能，属于IC载板制造，不是芯片封装测试服务，也不因生产PCB就全部成为半导体企业。iFinD二〇二五年封装基板收入四十一点四八亿元，占营业收入百分之十七点五四，PCB收入一百四十三点五九亿元，占百分之六十点七二，表明封装基板具有重要独立规模，但上市公司仍以混合产品结构为主。结合真实产品、收入体量及封装基板产业地位可列核心，不能把普通PCB收入并入半导体口径。旧标签若仅写PCB、误写封装测试或芯片设计，或把全部营收视为半导体，均应纠正为IC载板并保留两类产品边界。</t>
        </is>
      </c>
      <c r="J27" s="4" t="inlineStr">
        <is>
          <t>深南电路：2025年年度报告</t>
        </is>
      </c>
      <c r="K27" s="4" t="inlineStr">
        <is>
          <t>2026-03-13</t>
        </is>
      </c>
      <c r="L27" s="5" t="inlineStr">
        <is>
          <t>iFinD ifind_get_stock_info + ifind_get_stock_business_segmentation (as of 2026-10-27)；深南电路：2025年年度报告</t>
        </is>
      </c>
      <c r="M27" s="6" t="inlineStr">
        <is>
          <t>https://money.finance.sina.com.cn/corp/view/vCB_AllBulletinDetail.php?stockid=002916&amp;id=11992852</t>
        </is>
      </c>
    </row>
    <row r="28" ht="104" customHeight="1">
      <c r="B28" s="7" t="inlineStr">
        <is>
          <t>002971</t>
        </is>
      </c>
      <c r="C28" s="7" t="inlineStr">
        <is>
          <t>和远气体</t>
        </is>
      </c>
      <c r="D28" s="8" t="inlineStr">
        <is>
          <t>半导体：半导体材料</t>
        </is>
      </c>
      <c r="E28" s="7" t="inlineStr">
        <is>
          <t>纠错</t>
        </is>
      </c>
      <c r="F28" s="7" t="inlineStr">
        <is>
          <t>半导体</t>
        </is>
      </c>
      <c r="G28" s="8" t="inlineStr">
        <is>
          <t>半导体材料-电子特气与湿化学品</t>
        </is>
      </c>
      <c r="H28" s="7" t="inlineStr">
        <is>
          <t>相关</t>
        </is>
      </c>
      <c r="I28" s="8" t="inlineStr">
        <is>
          <t>公司真实半导体相关产品包括电子特种气体及电子化学品，可服务晶圆制造和电子工业的清洗、刻蚀、沉积等场景；其大宗氧氮氩、氢气等气体则广泛服务多个行业，不能整体映射为半导体材料。iFinD二〇二五年电子特气及电子化学品收入约零点六八九亿元，占营业收入百分之四点一四，大宗气体收入七点九一亿元，占百分之四十七点五三，显示电子类业务已有收入但占比仍低，且分部还可能含非半导体电子应用。基于真实产品与已确认收入保留标签，但定为相关而非核心，待半导体收入和占比显著提升再调整。旧标签若把公司全部气体业务列为半导体核心、混淆电子特气与大宗气体或误写设备制造，应纠正为电子特气与湿化学品。</t>
        </is>
      </c>
      <c r="J28" s="7" t="inlineStr">
        <is>
          <t>和远气体：2025年年度报告</t>
        </is>
      </c>
      <c r="K28" s="7" t="inlineStr">
        <is>
          <t>2026-04-16</t>
        </is>
      </c>
      <c r="L28" s="8" t="inlineStr">
        <is>
          <t>iFinD ifind_get_stock_info + ifind_get_stock_business_segmentation (as of 2026-10-27)；和远气体：2025年年度报告</t>
        </is>
      </c>
      <c r="M28" s="9" t="inlineStr">
        <is>
          <t>https://money.finance.sina.com.cn/corp/view/vCB_AllBulletinDetail.php?stockid=002971&amp;id=12096035</t>
        </is>
      </c>
    </row>
    <row r="29" ht="104" customHeight="1">
      <c r="B29" s="4" t="inlineStr">
        <is>
          <t>003026</t>
        </is>
      </c>
      <c r="C29" s="4" t="inlineStr">
        <is>
          <t>中晶科技</t>
        </is>
      </c>
      <c r="D29" s="5" t="inlineStr">
        <is>
          <t>半导体：半导体材料</t>
        </is>
      </c>
      <c r="E29" s="4" t="inlineStr">
        <is>
          <t>纠错</t>
        </is>
      </c>
      <c r="F29" s="4" t="inlineStr">
        <is>
          <t>半导体</t>
        </is>
      </c>
      <c r="G29" s="5" t="inlineStr">
        <is>
          <t>半导体材料-硅片与硅部件、芯片设计-功率半导体</t>
        </is>
      </c>
      <c r="H29" s="4" t="inlineStr">
        <is>
          <t>核心</t>
        </is>
      </c>
      <c r="I29" s="5" t="inlineStr">
        <is>
          <t>公司真实产品包括半导体硅棒、硅片以及功率芯片和器件，前者属于上游硅材料，后者对应功率半导体设计或器件业务，不能笼统写成存储芯片或晶圆代工。iFinD二〇二五年硅片收入二点二五亿元，占营业收入百分之五十二点四八，硅棒收入零点五五六亿元，占百分之十二点九七，功率芯片及器件收入一点四零六亿元，占百分之三十二点七八，三类业务合计构成主要收入，核心定级有直接数据支持。功率器件与硅材料虽存在产业链协同，仍须分别保留产品和收入边界，不能把全部硅片用途再扩张为其他芯片设计。旧标签若仅保留材料而遗漏功率业务，或误标晶圆制造、存储设计，应按两类真实标签纠正。</t>
        </is>
      </c>
      <c r="J29" s="4" t="inlineStr">
        <is>
          <t>中晶科技：2025年年度报告</t>
        </is>
      </c>
      <c r="K29" s="4" t="inlineStr">
        <is>
          <t>2026-04-29</t>
        </is>
      </c>
      <c r="L29" s="5" t="inlineStr">
        <is>
          <t>iFinD ifind_get_stock_info + ifind_get_stock_business_segmentation (as of 2026-10-27)；中晶科技：2025年年度报告</t>
        </is>
      </c>
      <c r="M29" s="6" t="inlineStr">
        <is>
          <t>https://vip.stock.finance.sina.com.cn/corp/view/vCB_AllBulletinDetail.php?stockid=003026&amp;id=12238908</t>
        </is>
      </c>
    </row>
    <row r="30" ht="104" customHeight="1">
      <c r="B30" s="7" t="inlineStr">
        <is>
          <t>003031</t>
        </is>
      </c>
      <c r="C30" s="7" t="inlineStr">
        <is>
          <t>中瓷电子</t>
        </is>
      </c>
      <c r="D30" s="8" t="inlineStr">
        <is>
          <t>半导体：半导体材料</t>
        </is>
      </c>
      <c r="E30" s="7" t="inlineStr">
        <is>
          <t>纠错</t>
        </is>
      </c>
      <c r="F30" s="7" t="inlineStr">
        <is>
          <t>半导体</t>
        </is>
      </c>
      <c r="G30" s="8" t="inlineStr">
        <is>
          <t>半导体材料-封装材料、芯片设计-射频与通信芯片、芯片设计-功率半导体、半导体材料-石英与陶瓷部件、晶圆制造与IDM</t>
        </is>
      </c>
      <c r="H30" s="7" t="inlineStr">
        <is>
          <t>核心</t>
        </is>
      </c>
      <c r="I30" s="8" t="inlineStr">
        <is>
          <t>公司电子陶瓷外壳、氮化镓通信基站射频芯片和碳化硅功率器件均有真实业务基础，核心定级不变。本地2025年分部复算显示，电子陶瓷收入20.1113亿元、第三代半导体收入13.0360亿元、内部抵销-4.3666亿元，合并营业收入28.7807亿元。初审所述60.67%和39.33%是年报以抵销前两类收入合计33.1473亿元为分母的披露占比，不是占合并营业收入的比例；若机械除以合并收入会得到69.88%和45.29%，但因存在内部抵销，也不应将其表述为外部收入占比。年报同时明确陶瓷加热盘已批量用于国产半导体设备、静电卡盘已通过头部设备公司上机验证，故补充半导体材料-石英与陶瓷部件；氮化镓芯片覆盖生产制造、碳化硅8英寸工艺线已通线，支持补充晶圆制造与IDM，但不代表全部电子陶瓷收入均属半导体，混合下游边界仍须保留。</t>
        </is>
      </c>
      <c r="J30" s="7" t="inlineStr">
        <is>
          <t>中瓷电子：2025年年度报告</t>
        </is>
      </c>
      <c r="K30" s="7" t="inlineStr">
        <is>
          <t>2026-04-29</t>
        </is>
      </c>
      <c r="L30" s="8" t="inlineStr">
        <is>
          <t>iFinD ifind_get_stock_info + ifind_get_stock_business_segmentation (as of 2026-10-27)；中瓷电子：2025年年度报告</t>
        </is>
      </c>
      <c r="M30" s="9" t="inlineStr">
        <is>
          <t>https://money.finance.sina.com.cn/corp/view/vCB_AllBulletinDetail.php?stockid=003031&amp;id=12242150</t>
        </is>
      </c>
    </row>
    <row r="31" ht="104" customHeight="1">
      <c r="B31" s="4" t="inlineStr">
        <is>
          <t>300037</t>
        </is>
      </c>
      <c r="C31" s="4" t="inlineStr">
        <is>
          <t>新宙邦</t>
        </is>
      </c>
      <c r="D31" s="5" t="inlineStr">
        <is>
          <t>半导体：半导体材料</t>
        </is>
      </c>
      <c r="E31" s="4" t="inlineStr">
        <is>
          <t>纠错</t>
        </is>
      </c>
      <c r="F31" s="4" t="inlineStr">
        <is>
          <t>半导体</t>
        </is>
      </c>
      <c r="G31" s="5" t="inlineStr">
        <is>
          <t>半导体材料-电子特气与湿化学品</t>
        </is>
      </c>
      <c r="H31" s="4" t="inlineStr">
        <is>
          <t>相关</t>
        </is>
      </c>
      <c r="I31" s="5" t="inlineStr">
        <is>
          <t>公司真实半导体关联产品为电子信息化学品中的高纯湿电子化学品及相关电子材料，可用于集成电路制造的清洗等工艺；电池化学品、电容化学品及有机氟化学品不能因为同属精细化工便全部归入半导体。iFinD二〇二五年电子信息化学品收入十四点六五亿元，占营业收入百分之十五点一九，其中还包含电容化学品等非半导体产品，电池化学品收入六十六点七九亿元，占百分之六十九点二九，是公司主要收入来源。半导体应用真实存在，但对应收入没有独立拆分且公司主营仍以电池材料为主，因此定为相关而非核心。旧标签若把全部电子化学品或氟化工收入视作半导体、误写芯片制造，应纠正为电子特气与湿化学品并明确不可拆分边界。</t>
        </is>
      </c>
      <c r="J31" s="4" t="inlineStr">
        <is>
          <t>新宙邦：2025年年度报告</t>
        </is>
      </c>
      <c r="K31" s="4" t="inlineStr">
        <is>
          <t>2026-03-24</t>
        </is>
      </c>
      <c r="L31" s="5" t="inlineStr">
        <is>
          <t>iFinD ifind_get_stock_info + ifind_get_stock_business_segmentation (as of 2026-10-27)；新宙邦：2025年年度报告</t>
        </is>
      </c>
      <c r="M31" s="6" t="inlineStr">
        <is>
          <t>https://money.finance.sina.com.cn/corp/view/vCB_AllBulletinDetail.php?stockid=300037&amp;id=12012843</t>
        </is>
      </c>
    </row>
    <row r="32" ht="104" customHeight="1">
      <c r="B32" s="7" t="inlineStr">
        <is>
          <t>300042</t>
        </is>
      </c>
      <c r="C32" s="7" t="inlineStr">
        <is>
          <t>朗科科技</t>
        </is>
      </c>
      <c r="D32" s="8" t="inlineStr">
        <is>
          <t>半导体：存储模组</t>
        </is>
      </c>
      <c r="E32" s="7" t="inlineStr">
        <is>
          <t>纠错</t>
        </is>
      </c>
      <c r="F32" s="7" t="inlineStr">
        <is>
          <t>半导体</t>
        </is>
      </c>
      <c r="G32" s="8" t="inlineStr">
        <is>
          <t>存储模组与系统</t>
        </is>
      </c>
      <c r="H32" s="7" t="inlineStr">
        <is>
          <t>核心</t>
        </is>
      </c>
      <c r="I32" s="8" t="inlineStr">
        <is>
          <t>公司真实产品是固态硬盘、DRAM内存条、嵌入式存储及移动存储，属于存储模组和系统产品的研发生产，并非NAND或DRAM存储晶圆设计。2025年闪存应用产品收入8.7884亿元，约占总收入12.3979亿元的70.89%，移动存储收入0.0697亿元、约占0.56%，闪存控制芯片及其他收入3.3757亿元、约占27.23%，主营规模足以维持核心定级。边界上，“闪存控制芯片及其他”是控制芯片与其他业务的合并口径，不可拆分为全部自研芯片收入，更不能据此加贴存储芯片设计标签；模组收入也不能上溯为晶圆收入。此次纠错将旧“存储模组”规范为白名单“存储模组与系统”，保留核心而纠正产业环节表述。</t>
        </is>
      </c>
      <c r="J32" s="7" t="inlineStr">
        <is>
          <t>朗科科技：2025年年度报告</t>
        </is>
      </c>
      <c r="K32" s="7" t="inlineStr">
        <is>
          <t>2026-04-10</t>
        </is>
      </c>
      <c r="L32" s="8" t="inlineStr">
        <is>
          <t>iFinD ifind_get_stock_info + ifind_get_stock_business_segmentation (as of 2026-10-27)；朗科科技：2025年年度报告</t>
        </is>
      </c>
      <c r="M32" s="9" t="inlineStr">
        <is>
          <t>http://money.finance.sina.com.cn/corp/view/vCB_AllBulletinDetail.php?stockid=300042&amp;id=12071203</t>
        </is>
      </c>
    </row>
    <row r="33" ht="104" customHeight="1">
      <c r="B33" s="4" t="inlineStr">
        <is>
          <t>300054</t>
        </is>
      </c>
      <c r="C33" s="4" t="inlineStr">
        <is>
          <t>鼎龙股份</t>
        </is>
      </c>
      <c r="D33" s="5" t="inlineStr">
        <is>
          <t>半导体：半导体材料</t>
        </is>
      </c>
      <c r="E33" s="4" t="inlineStr">
        <is>
          <t>纠错</t>
        </is>
      </c>
      <c r="F33" s="4" t="inlineStr">
        <is>
          <t>半导体</t>
        </is>
      </c>
      <c r="G33" s="5" t="inlineStr">
        <is>
          <t>半导体材料-CMP材料、半导体材料-光刻胶与配套试剂、半导体材料-封装材料</t>
        </is>
      </c>
      <c r="H33" s="4" t="inlineStr">
        <is>
          <t>核心</t>
        </is>
      </c>
      <c r="I33" s="5" t="inlineStr">
        <is>
          <t>公司已形成CMP抛光垫、抛光液、清洗液，先进封装PI、临时键合胶以及ArF、KrF光刻胶等真实产品体系，均直接对应晶圆制造或先进封装材料环节。2025年半导体材料及芯片收入20.8607亿元，占总收入57.00%，传统打印复印通用耗材收入15.5895亿元，半导体板块已成为第一大收入来源，核心定级有规模和经营实质支撑。边界上，20.8607亿元同时包含半导体材料、芯片及部分显示材料，属于不可拆混合口径，不能全部归为CMP，也不能把打印耗材并入半导体。此次纠错把笼统旧“半导体材料”细分为CMP材料、光刻胶与配套试剂、封装材料三个白名单概念，不额外扩张到未单列验证的设备或芯片设计类别。</t>
        </is>
      </c>
      <c r="J33" s="4" t="inlineStr">
        <is>
          <t>鼎龙股份：2025年年度报告</t>
        </is>
      </c>
      <c r="K33" s="4" t="inlineStr">
        <is>
          <t>2026-03-27</t>
        </is>
      </c>
      <c r="L33" s="5" t="inlineStr">
        <is>
          <t>iFinD ifind_get_stock_info + ifind_get_stock_business_segmentation (as of 2026-10-27)；鼎龙股份：2025年年度报告</t>
        </is>
      </c>
      <c r="M33" s="6" t="inlineStr">
        <is>
          <t>https://money.finance.sina.com.cn/corp/view/vCB_AllBulletinDetail.php?stockid=300054&amp;id=12023258</t>
        </is>
      </c>
    </row>
    <row r="34" ht="104" customHeight="1">
      <c r="B34" s="7" t="inlineStr">
        <is>
          <t>300223</t>
        </is>
      </c>
      <c r="C34" s="7" t="inlineStr">
        <is>
          <t>北京君正</t>
        </is>
      </c>
      <c r="D34" s="8" t="inlineStr">
        <is>
          <t>半导体：存储芯片-车规存储</t>
        </is>
      </c>
      <c r="E34" s="7" t="inlineStr">
        <is>
          <t>纠错</t>
        </is>
      </c>
      <c r="F34" s="7" t="inlineStr">
        <is>
          <t>半导体</t>
        </is>
      </c>
      <c r="G34" s="8" t="inlineStr">
        <is>
          <t>芯片设计-存储芯片、芯片设计-SoC与端侧AI、芯片设计-模拟与电源管理</t>
        </is>
      </c>
      <c r="H34" s="7" t="inlineStr">
        <is>
          <t>核心</t>
        </is>
      </c>
      <c r="I34" s="8" t="inlineStr">
        <is>
          <t>公司从事存储、计算、模拟与互联芯片设计，真实产品覆盖车规及工业存储器、智能视频与嵌入式处理器以及模拟互联器件，不是仅靠汽车电子概念形成的间接标的。2025年集成电路设计收入47.3238亿元，占总收入99.8181%；其中存储芯片29.1125亿元、计算芯片12.9341亿元、模拟与互联芯片5.0564亿元，各产品线均有明确规模，核心定级充分。边界上，存储、计算和模拟分部可以分别映射，但不能把全部收入都写成车规存储，也不能将处理器的终端应用等同于下游整机收入。此次纠错将过窄的旧“存储芯片-车规存储”改为“芯片设计-存储芯片”，并补充SoC与端侧AI、模拟与电源管理，使标签与已披露收入结构一致。</t>
        </is>
      </c>
      <c r="J34" s="7" t="inlineStr">
        <is>
          <t>北京君正：2025年年度报告</t>
        </is>
      </c>
      <c r="K34" s="7" t="inlineStr">
        <is>
          <t>2026-03-28</t>
        </is>
      </c>
      <c r="L34" s="8" t="inlineStr">
        <is>
          <t>iFinD ifind_get_stock_info + ifind_get_stock_business_segmentation (as of 2026-10-27)；北京君正：2025年年度报告</t>
        </is>
      </c>
      <c r="M34" s="9" t="inlineStr">
        <is>
          <t>https://money.finance.sina.com.cn/corp/view/vCB_AllBulletinDetail.php?stockid=300223&amp;id=12032491</t>
        </is>
      </c>
    </row>
    <row r="35" ht="104" customHeight="1">
      <c r="B35" s="4" t="inlineStr">
        <is>
          <t>300236</t>
        </is>
      </c>
      <c r="C35" s="4" t="inlineStr">
        <is>
          <t>上海新阳</t>
        </is>
      </c>
      <c r="D35" s="5" t="inlineStr">
        <is>
          <t>半导体：半导体材料</t>
        </is>
      </c>
      <c r="E35" s="4" t="inlineStr">
        <is>
          <t>纠错</t>
        </is>
      </c>
      <c r="F35" s="4" t="inlineStr">
        <is>
          <t>半导体</t>
        </is>
      </c>
      <c r="G35" s="5" t="inlineStr">
        <is>
          <t>半导体材料-电子特气与湿化学品、半导体材料-光刻胶与配套试剂、半导体材料-CMP材料</t>
        </is>
      </c>
      <c r="H35" s="4" t="inlineStr">
        <is>
          <t>核心</t>
        </is>
      </c>
      <c r="I35" s="5" t="inlineStr">
        <is>
          <t>公司真实半导体产品包括晶圆制造用电镀液、清洗液、刻蚀液、光刻胶及CMP相关材料，直接服务集成电路工艺，不是把普通电子涂料泛化为芯片材料。2025年半导体行业收入15.1685亿元，占总收入78.3220%；电子化学材料收入14.7860亿元，配套设备收入0.3425亿元，另有涂料收入4.1983亿元，半导体主业占比和绝对规模均支持核心定级。边界上，涂料业务明确排除；电子化学材料可能覆盖不同具体产品，不能把该分部全部重复归入光刻胶或CMP，设备收入也不与材料收入重复计算。此次纠错将笼统旧“半导体材料”规范为湿化学品、光刻胶与配套试剂、CMP材料三类，保留有产品依据的边界而不借混合分部放大单一品类收入。</t>
        </is>
      </c>
      <c r="J35" s="4" t="inlineStr">
        <is>
          <t>上海新阳：2025年年度报告</t>
        </is>
      </c>
      <c r="K35" s="4" t="inlineStr">
        <is>
          <t>2026-03-13</t>
        </is>
      </c>
      <c r="L35" s="5" t="inlineStr">
        <is>
          <t>iFinD ifind_get_stock_info + ifind_get_stock_business_segmentation (as of 2026-10-27)；上海新阳：2025年年度报告</t>
        </is>
      </c>
      <c r="M35" s="6" t="inlineStr">
        <is>
          <t>https://vip.stock.finance.sina.com.cn/corp/view/vCB_AllBulletinDetail.php?stockid=300236&amp;id=11992858</t>
        </is>
      </c>
    </row>
    <row r="36" ht="104" customHeight="1">
      <c r="B36" s="7" t="inlineStr">
        <is>
          <t>300260</t>
        </is>
      </c>
      <c r="C36" s="7" t="inlineStr">
        <is>
          <t>新莱应材</t>
        </is>
      </c>
      <c r="D36" s="8" t="inlineStr">
        <is>
          <t>半导体：半导体洁净室</t>
        </is>
      </c>
      <c r="E36" s="7" t="inlineStr">
        <is>
          <t>纠错</t>
        </is>
      </c>
      <c r="F36" s="7" t="inlineStr">
        <is>
          <t>半导体</t>
        </is>
      </c>
      <c r="G36" s="8" t="inlineStr">
        <is>
          <t>设备核心零部件</t>
        </is>
      </c>
      <c r="H36" s="7" t="inlineStr">
        <is>
          <t>核心</t>
        </is>
      </c>
      <c r="I36" s="8" t="inlineStr">
        <is>
          <t>公司面向半导体提供高纯及超高纯应用材料、真空与气体传输系统及工艺组件，实质是半导体设备专用管路、阀门、真空和工艺零部件，并非承接一般洁净室建设。2025年泛半导体业务收入9.5582亿元，占总收入31.8851%，食品业务占58.9719%，医药业务占9.0128%；泛半导体接近十亿元且为重要增长板块，具备规模化产品和客户基础，维持核心定级。边界上，“泛半导体”可能同时包含平板显示等下游，属于不可完全拆成集成电路的口径，食品和医药收入更不得并入。此次纠错删除不准确的旧“半导体洁净室”，改挂“设备核心零部件”，既不误归为厂务工程，也不把全部洁净应用材料都视作半导体收入。</t>
        </is>
      </c>
      <c r="J36" s="7" t="inlineStr">
        <is>
          <t>新莱应材：2025年年度报告</t>
        </is>
      </c>
      <c r="K36" s="7" t="inlineStr">
        <is>
          <t>2026-04-28</t>
        </is>
      </c>
      <c r="L36" s="8" t="inlineStr">
        <is>
          <t>iFinD ifind_get_stock_info + ifind_get_stock_business_segmentation (as of 2026-10-27)；新莱应材：2025年年度报告</t>
        </is>
      </c>
      <c r="M36" s="9" t="inlineStr">
        <is>
          <t>https://money.finance.sina.com.cn/corp/view/vCB_AllBulletinDetail.php?stockid=300260&amp;id=12235701</t>
        </is>
      </c>
    </row>
    <row r="37" ht="104" customHeight="1">
      <c r="B37" s="4" t="inlineStr">
        <is>
          <t>300293</t>
        </is>
      </c>
      <c r="C37" s="4" t="inlineStr">
        <is>
          <t>蓝英装备</t>
        </is>
      </c>
      <c r="D37" s="5" t="inlineStr">
        <is>
          <t>半导体：半导体设备</t>
        </is>
      </c>
      <c r="E37" s="4" t="inlineStr">
        <is>
          <t>摘除</t>
        </is>
      </c>
      <c r="F37" s="4" t="inlineStr">
        <is>
          <t>—</t>
        </is>
      </c>
      <c r="G37" s="5" t="inlineStr">
        <is>
          <t>—</t>
        </is>
      </c>
      <c r="H37" s="4" t="inlineStr">
        <is>
          <t>摘除</t>
        </is>
      </c>
      <c r="I37" s="5" t="inlineStr">
        <is>
          <t>公司2025年披露的主营是工业清洗系统及表面处理、智能装备制造，真实应用集中在医疗、机械电子、汽车、新能源、精密光学和高精纯部件等领域。工业清洗及表面处理收入11.7260亿元，占总收入97.5463%，但这一高占比只能证明通用清洗主业规模，年报未给出晶圆清洗设备、半导体制程客户、订单或半导体收入的可核验拆分，不能把高精纯或精密光学用途外推为半导体设备收入。边界上，工业清洗与晶圆去胶、湿法清洗在工艺、客户和验证体系上并不等同，即使技术存在潜在迁移可能，也不满足本分类真实产品和供货证据要求。此次纠错对旧“半导体设备”及原相关定级一并摘除，pairs置空，避免以光刻机或高精纯概念替代正式经营证据。</t>
        </is>
      </c>
      <c r="J37" s="4" t="inlineStr">
        <is>
          <t>蓝英装备：2025年年度报告</t>
        </is>
      </c>
      <c r="K37" s="4" t="inlineStr">
        <is>
          <t>2026-04-28</t>
        </is>
      </c>
      <c r="L37" s="5" t="inlineStr">
        <is>
          <t>iFinD ifind_get_stock_info + ifind_get_stock_business_segmentation (as of 2026-10-27)；蓝英装备：2025年年度报告</t>
        </is>
      </c>
      <c r="M37" s="6" t="inlineStr">
        <is>
          <t>https://money.finance.sina.com.cn/corp/view/vCB_AllBulletinDetail.php?stockid=300293&amp;id=12228803</t>
        </is>
      </c>
    </row>
    <row r="38" ht="104" customHeight="1">
      <c r="B38" s="7" t="inlineStr">
        <is>
          <t>300302</t>
        </is>
      </c>
      <c r="C38" s="7" t="inlineStr">
        <is>
          <t>同有科技</t>
        </is>
      </c>
      <c r="D38" s="8" t="inlineStr">
        <is>
          <t>半导体：存储系统</t>
        </is>
      </c>
      <c r="E38" s="7" t="inlineStr">
        <is>
          <t>纠错</t>
        </is>
      </c>
      <c r="F38" s="7" t="inlineStr">
        <is>
          <t>半导体</t>
        </is>
      </c>
      <c r="G38" s="8" t="inlineStr">
        <is>
          <t>存储模组与系统</t>
        </is>
      </c>
      <c r="H38" s="7" t="inlineStr">
        <is>
          <t>核心</t>
        </is>
      </c>
      <c r="I38" s="8" t="inlineStr">
        <is>
          <t>公司真实业务是企业级存储系统以及特殊行业、工业级固态存储的研发和应用，产品落在存储整机、系统和固态存储层级，与存储产业链具有直接经营联系。2025年存储系统收入2.5924亿元，闪存存储收入1.4423亿元，两项合计4.0347亿元，约占公司全部收入，主营业务集中度和产品规模支持核心定级。边界上，企业级存储系统会采购或集成存储介质、控制器等器件，但系统集成不等于NAND、DRAM晶圆制造，也不等于上游存储芯片设计；上述4.0347亿元不可改写为存储芯片收入，特殊行业应用也不能额外推导出特种集成电路设计标签。此次纠错将旧“存储系统”规范为白名单“存储模组与系统”，保留核心同时明确系统与芯片的不可跨越边界。</t>
        </is>
      </c>
      <c r="J38" s="7" t="inlineStr">
        <is>
          <t>同有科技：2025年年度报告</t>
        </is>
      </c>
      <c r="K38" s="7" t="inlineStr">
        <is>
          <t>2026-04-28</t>
        </is>
      </c>
      <c r="L38" s="8" t="inlineStr">
        <is>
          <t>iFinD ifind_get_stock_info + ifind_get_stock_business_segmentation (as of 2026-10-27)；同有科技：2025年年度报告</t>
        </is>
      </c>
      <c r="M38" s="9" t="inlineStr">
        <is>
          <t>https://money.finance.sina.com.cn/corp/view/vCB_AllBulletinDetail.php?stockid=300302&amp;id=12221482</t>
        </is>
      </c>
    </row>
    <row r="39" ht="104" customHeight="1">
      <c r="B39" s="4" t="inlineStr">
        <is>
          <t>300316</t>
        </is>
      </c>
      <c r="C39" s="4" t="inlineStr">
        <is>
          <t>晶盛机电</t>
        </is>
      </c>
      <c r="D39" s="5" t="inlineStr">
        <is>
          <t>半导体：半导体设备、半导体材料</t>
        </is>
      </c>
      <c r="E39" s="4" t="inlineStr">
        <is>
          <t>纠错</t>
        </is>
      </c>
      <c r="F39" s="4" t="inlineStr">
        <is>
          <t>半导体</t>
        </is>
      </c>
      <c r="G39" s="5" t="inlineStr">
        <is>
          <t>半导体设备-其他专用设备、半导体材料-硅片与硅部件、半导体材料-石英与陶瓷部件、设备核心零部件</t>
        </is>
      </c>
      <c r="H39" s="4" t="inlineStr">
        <is>
          <t>核心</t>
        </is>
      </c>
      <c r="I39" s="5" t="inlineStr">
        <is>
          <t>公司真实半导体业务覆盖集成电路和化合物半导体晶体生长及加工装备、衬底材料、石英耗材和精密零部件，并已形成设备、材料与部件协同供给。2025年总收入113.57亿元，年报披露集成电路与碳化硅相关设备及材料整体收入18.50亿元，约占16.29%，期末未完成相关装备合同超过37亿元，绝对规模和订单支撑核心而非旧边缘定级。边界上，18.50亿元是集成电路与碳化硅设备、材料合并口径，不可拆成某一设备或硅片收入；设备及服务84.027亿元、蓝宝石24.615亿元均含大量非半导体业务，不能全算。此次纠错仅处理半导体，将旧笼统设备材料标签细化到白名单四类，剔除边缘误判但不触碰其他分类。</t>
        </is>
      </c>
      <c r="J39" s="4" t="inlineStr">
        <is>
          <t>晶盛机电：2025年年度报告</t>
        </is>
      </c>
      <c r="K39" s="4" t="inlineStr">
        <is>
          <t>2026-04-11</t>
        </is>
      </c>
      <c r="L39" s="5" t="inlineStr">
        <is>
          <t>iFinD ifind_get_stock_info + ifind_get_stock_business_segmentation (as of 2026-10-27)；晶盛机电：2025年年度报告</t>
        </is>
      </c>
      <c r="M39" s="6" t="inlineStr">
        <is>
          <t>https://money.finance.sina.com.cn/corp/view/vCB_AllBulletinDetail.php?stockid=300316&amp;id=12080532</t>
        </is>
      </c>
    </row>
    <row r="40" ht="104" customHeight="1">
      <c r="B40" s="7" t="inlineStr">
        <is>
          <t>300346</t>
        </is>
      </c>
      <c r="C40" s="7" t="inlineStr">
        <is>
          <t>南大光电</t>
        </is>
      </c>
      <c r="D40" s="8" t="inlineStr">
        <is>
          <t>半导体：半导体材料</t>
        </is>
      </c>
      <c r="E40" s="7" t="inlineStr">
        <is>
          <t>纠错</t>
        </is>
      </c>
      <c r="F40" s="7" t="inlineStr">
        <is>
          <t>半导体</t>
        </is>
      </c>
      <c r="G40" s="8" t="inlineStr">
        <is>
          <t>半导体材料-电子特气与湿化学品、半导体材料-光刻胶与配套试剂、半导体材料-其他关键材料</t>
        </is>
      </c>
      <c r="H40" s="7" t="inlineStr">
        <is>
          <t>核心</t>
        </is>
      </c>
      <c r="I40" s="8" t="inlineStr">
        <is>
          <t>公司真实产品由先进前驱体及MO源、电子特气、ArF光刻胶和配套材料构成，均为晶圆制造直接消耗的关键材料，业务属性和客户工艺环节清晰。2025年半导体材料收入24.5982亿元，按本地年报分部汇总总收入25.8546亿元计算约占95.14%；其中电子特气15.3553亿元，前驱体及MO源7.1385亿元，主营集中度和收入规模充分支持核心定级。边界上，前驱体与MO源归入其他关键材料，不与电子特气或光刻胶重复计算；光刻胶真实布局也不代表全部半导体材料收入都来自ArF产品，更不能把其他分类中的下游应用混入本次统计。此次纠错将旧笼统“半导体材料”拆成三个有真实产品依据的白名单概念，只审半导体并维持核心。</t>
        </is>
      </c>
      <c r="J40" s="7" t="inlineStr">
        <is>
          <t>南大光电：2025年年度报告</t>
        </is>
      </c>
      <c r="K40" s="7" t="inlineStr">
        <is>
          <t>2026-04-10</t>
        </is>
      </c>
      <c r="L40" s="8" t="inlineStr">
        <is>
          <t>iFinD ifind_get_stock_info + ifind_get_stock_business_segmentation (as of 2026-10-27)；南大光电：2025年年度报告</t>
        </is>
      </c>
      <c r="M40" s="9" t="inlineStr">
        <is>
          <t>https://www.cnfin.com/announ/detail/index.html?id=829079943789&amp;code=300346&amp;dannoun=lcdetail&amp;announ=lc</t>
        </is>
      </c>
    </row>
    <row r="41" ht="104" customHeight="1">
      <c r="B41" s="4" t="inlineStr">
        <is>
          <t>300373</t>
        </is>
      </c>
      <c r="C41" s="4" t="inlineStr">
        <is>
          <t>扬杰科技</t>
        </is>
      </c>
      <c r="D41" s="5" t="inlineStr">
        <is>
          <t>半导体：功率半导体</t>
        </is>
      </c>
      <c r="E41" s="4" t="inlineStr">
        <is>
          <t>纠错</t>
        </is>
      </c>
      <c r="F41" s="4" t="inlineStr">
        <is>
          <t>半导体</t>
        </is>
      </c>
      <c r="G41" s="5" t="inlineStr">
        <is>
          <t>芯片设计-功率半导体、晶圆制造与IDM</t>
        </is>
      </c>
      <c r="H41" s="4" t="inlineStr">
        <is>
          <t>核心</t>
        </is>
      </c>
      <c r="I41" s="5" t="inlineStr">
        <is>
          <t>公司真实产品覆盖功率二极管、MOSFET、IGBT、SiC器件及模块，同时经营半导体分立芯片、晶圆和硅片，具备设计、制造与器件封测一体化经营特征。2025年半导体器件收入62.5690亿元，分立芯片收入5.3402亿元，硅片收入1.6747亿元，电子元器件分部合计69.5839亿元，占总收入97.5904%，半导体主业规模与集中度均明确支持核心定级。边界上，器件、芯片和硅片是不同披露口径，不应把器件收入重复算成晶圆制造收入；SiC等第三代半导体也属于功率器件产品，不据此扩张至不相关的设备或材料概念。此次纠错将旧“功率半导体”规范为“芯片设计-功率半导体”，并依据实际芯片与晶圆业务补充“晶圆制造与IDM”。</t>
        </is>
      </c>
      <c r="J41" s="4" t="inlineStr">
        <is>
          <t>扬杰科技：2025年年度报告</t>
        </is>
      </c>
      <c r="K41" s="4" t="inlineStr">
        <is>
          <t>2026-03-31</t>
        </is>
      </c>
      <c r="L41" s="5" t="inlineStr">
        <is>
          <t>iFinD ifind_get_stock_info + ifind_get_stock_business_segmentation (as of 2026-10-27)；扬杰科技：2025年年度报告</t>
        </is>
      </c>
      <c r="M41" s="6" t="inlineStr">
        <is>
          <t>http://money.finance.sina.com.cn/corp/view/vCB_AllBulletinDetail.php?stockid=300373&amp;id=12045737</t>
        </is>
      </c>
    </row>
    <row r="42" ht="104" customHeight="1">
      <c r="B42" s="7" t="inlineStr">
        <is>
          <t>300457</t>
        </is>
      </c>
      <c r="C42" s="7" t="inlineStr">
        <is>
          <t>赢合科技</t>
        </is>
      </c>
      <c r="D42" s="8" t="inlineStr">
        <is>
          <t>半导体：半导体设备</t>
        </is>
      </c>
      <c r="E42" s="7" t="inlineStr">
        <is>
          <t>摘除</t>
        </is>
      </c>
      <c r="F42" s="7" t="inlineStr">
        <is>
          <t>—</t>
        </is>
      </c>
      <c r="G42" s="8" t="inlineStr">
        <is>
          <t>—</t>
        </is>
      </c>
      <c r="H42" s="7" t="inlineStr">
        <is>
          <t>摘除</t>
        </is>
      </c>
      <c r="I42" s="8" t="inlineStr">
        <is>
          <t>公司真实产品是锂电极片涂布、辊压、分切、卷绕、叠片、PACK及MES等生产装备，并经营电子烟相关业务，年报没有形成可核验的半导体设备产品、客户、订单或收入。2025年锂电专用设备收入64.2715亿元，占总收入68.05%，其他业务收入30.1806亿元，总收入94.4522亿元，收入结构清楚指向锂电而非半导体。边界上，固态电池仍是电化学电池技术路线，其涂布、卷绕和叠片设备不能因名称中的“固态”或精密制造属性被改挂半导体设备；其他收入为混合口径，也不可拆出并无公告依据的半导体收入。此次纠错否定旧理由“锂电设备为主、半导体为延伸”的外推，将旧半导体设备标签和边缘定级一并摘除，pairs置空。</t>
        </is>
      </c>
      <c r="J42" s="7" t="inlineStr">
        <is>
          <t>赢合科技：2025年年度报告</t>
        </is>
      </c>
      <c r="K42" s="7" t="inlineStr">
        <is>
          <t>2026-03-28</t>
        </is>
      </c>
      <c r="L42" s="8" t="inlineStr">
        <is>
          <t>iFinD ifind_get_stock_info + ifind_get_stock_business_segmentation (as of 2026-10-27)；赢合科技：2025年年度报告</t>
        </is>
      </c>
      <c r="M42" s="9" t="inlineStr">
        <is>
          <t>https://money.finance.sina.com.cn/corp/view/vCB_AllBulletinDetail.php?stockid=300457&amp;id=12030602</t>
        </is>
      </c>
    </row>
    <row r="43" ht="104" customHeight="1">
      <c r="B43" s="4" t="inlineStr">
        <is>
          <t>300458</t>
        </is>
      </c>
      <c r="C43" s="4" t="inlineStr">
        <is>
          <t>全志科技</t>
        </is>
      </c>
      <c r="D43" s="5" t="inlineStr">
        <is>
          <t>半导体：端侧AI芯片</t>
        </is>
      </c>
      <c r="E43" s="4" t="inlineStr">
        <is>
          <t>纠错</t>
        </is>
      </c>
      <c r="F43" s="4" t="inlineStr">
        <is>
          <t>半导体</t>
        </is>
      </c>
      <c r="G43" s="5" t="inlineStr">
        <is>
          <t>芯片设计-SoC与端侧AI</t>
        </is>
      </c>
      <c r="H43" s="4" t="inlineStr">
        <is>
          <t>核心</t>
        </is>
      </c>
      <c r="I43" s="5" t="inlineStr">
        <is>
          <t>公司从事智能应用处理器SoC、高性能模拟器件和无线互联芯片研发设计，产品直接用于智能终端、车载、工业及消费电子设备，端侧智能以实际处理器和SoC为载体。2025年集成电路设计收入28.3787亿元，占总收入99.9972%，其中智能终端应用处理器芯片收入24.2804亿元，主业几乎全部为芯片设计，核心定级不存在依赖概念外推的问题。边界上，智能终端整机或下游AI设备收入不属于公司芯片收入，模拟和无线产品虽真实存在，但本次不为扩大标签而把所有分部重复归入端侧AI；也不能因应用涉及汽车或存储就衍生其他无收入依据的概念。此次纠错将旧“端侧AI芯片”规范为白名单“芯片设计-SoC与端侧AI”，保留核心并准确覆盖智能应用处理器主业。</t>
        </is>
      </c>
      <c r="J43" s="4" t="inlineStr">
        <is>
          <t>全志科技：2025年年度报告</t>
        </is>
      </c>
      <c r="K43" s="4" t="inlineStr">
        <is>
          <t>2026-03-27</t>
        </is>
      </c>
      <c r="L43" s="5" t="inlineStr">
        <is>
          <t>iFinD ifind_get_stock_info + ifind_get_stock_business_segmentation (as of 2026-10-27)；全志科技：2025年年度报告</t>
        </is>
      </c>
      <c r="M43" s="6" t="inlineStr">
        <is>
          <t>https://vip.stock.finance.sina.com.cn/corp/view/vCB_AllBulletinDetail.php?stockid=300458&amp;id=12023054</t>
        </is>
      </c>
    </row>
    <row r="44" ht="104" customHeight="1">
      <c r="B44" s="7" t="inlineStr">
        <is>
          <t>300474</t>
        </is>
      </c>
      <c r="C44" s="7" t="inlineStr">
        <is>
          <t>景嘉微</t>
        </is>
      </c>
      <c r="D44" s="8" t="inlineStr">
        <is>
          <t>半导体：算力芯片</t>
        </is>
      </c>
      <c r="E44" s="7" t="inlineStr">
        <is>
          <t>纠错</t>
        </is>
      </c>
      <c r="F44" s="7" t="inlineStr">
        <is>
          <t>半导体</t>
        </is>
      </c>
      <c r="G44" s="8" t="inlineStr">
        <is>
          <t>芯片设计-CPU/GPU/AI计算</t>
        </is>
      </c>
      <c r="H44" s="7" t="inlineStr">
        <is>
          <t>核心</t>
        </is>
      </c>
      <c r="I44" s="8" t="inlineStr">
        <is>
          <t>公司拥有自研GPU、图形处理芯片及边端侧AI SoC布局，图形显控和雷达是下游产品形态，真正对应半导体分类的是芯片设计与计算能力。2025年总收入7.2006亿元，其中芯片收入1.3056亿元、占18.13%，图形显控收入4.5051亿元，雷达收入1.2636亿元；芯片已形成亿元级销售且GPU为核心自主产品，故维持核心而非按收入占比机械降级。边界上，图形显控和雷达收入不可全部并入芯片，新AI项目尚未形成规模收入也不能提前资本化为既有业绩。此次纠错把旧“算力芯片”规范为“芯片设计-CPU/GPU/AI计算”，以已量产GPU和真实芯片分部支撑定级，不用军工整机收入放大半导体业务规模。</t>
        </is>
      </c>
      <c r="J44" s="7" t="inlineStr">
        <is>
          <t>景嘉微：2025年年度报告</t>
        </is>
      </c>
      <c r="K44" s="7" t="inlineStr">
        <is>
          <t>2026-04-24</t>
        </is>
      </c>
      <c r="L44" s="8" t="inlineStr">
        <is>
          <t>iFinD ifind_get_stock_info + ifind_get_stock_business_segmentation (as of 2026-10-27)；景嘉微：2025年年度报告</t>
        </is>
      </c>
      <c r="M44" s="9" t="inlineStr">
        <is>
          <t>https://money.finance.sina.com.cn/corp/view/vCB_AllBulletinDetail.php?stockid=300474&amp;id=12167470</t>
        </is>
      </c>
    </row>
    <row r="45" ht="104" customHeight="1">
      <c r="B45" s="4" t="inlineStr">
        <is>
          <t>300475</t>
        </is>
      </c>
      <c r="C45" s="4" t="inlineStr">
        <is>
          <t>香农芯创</t>
        </is>
      </c>
      <c r="D45" s="5" t="inlineStr">
        <is>
          <t>半导体：存储分销</t>
        </is>
      </c>
      <c r="E45" s="4" t="inlineStr">
        <is>
          <t>纠错</t>
        </is>
      </c>
      <c r="F45" s="4" t="inlineStr">
        <is>
          <t>半导体</t>
        </is>
      </c>
      <c r="G45" s="5" t="inlineStr">
        <is>
          <t>半导体分销与供应链、存储模组与系统</t>
        </is>
      </c>
      <c r="H45" s="4" t="inlineStr">
        <is>
          <t>核心</t>
        </is>
      </c>
      <c r="I45" s="5" t="inlineStr">
        <is>
          <t>公司主营SK海力士等存储器及相关电子元器件分销，并通过海普存储经营企业级DDR5内存条和eSSD等存储产品，分别对应供应链服务与存储模组系统。2025年电子元器件分销收入332.2469亿元，占总收入94.2521%，其中集成电路含存储器收入332.2293亿元；海普存储业务收入占比4.7043%，减速器业务占1.0424%，半导体经营规模充分支持核心定级。边界上，分销不是芯片设计，海普模组也不是NAND或DRAM晶圆制造，不能因代理原厂品牌就加贴存储芯片设计；分销与自有模组需分环节理解且不得重复计算。此次纠错将旧“存储分销”规范为“半导体分销与供应链”，并按真实海普产品补充“存储模组与系统”。</t>
        </is>
      </c>
      <c r="J45" s="4" t="inlineStr">
        <is>
          <t>香农芯创：2025年年度报告</t>
        </is>
      </c>
      <c r="K45" s="4" t="inlineStr">
        <is>
          <t>2026-04-24</t>
        </is>
      </c>
      <c r="L45" s="5" t="inlineStr">
        <is>
          <t>iFinD ifind_get_stock_info + ifind_get_stock_business_segmentation (as of 2026-10-27)；香农芯创：2025年年度报告</t>
        </is>
      </c>
      <c r="M45" s="6" t="inlineStr">
        <is>
          <t>https://money.finance.sina.com.cn/corp/view/vCB_AllBulletinDetail.php?stockid=300475&amp;id=12168581</t>
        </is>
      </c>
    </row>
    <row r="46" ht="104" customHeight="1">
      <c r="B46" s="7" t="inlineStr">
        <is>
          <t>300480</t>
        </is>
      </c>
      <c r="C46" s="7" t="inlineStr">
        <is>
          <t>光力科技</t>
        </is>
      </c>
      <c r="D46" s="8" t="inlineStr">
        <is>
          <t>半导体：半导体设备-后道</t>
        </is>
      </c>
      <c r="E46" s="7" t="inlineStr">
        <is>
          <t>纠错</t>
        </is>
      </c>
      <c r="F46" s="7" t="inlineStr">
        <is>
          <t>半导体</t>
        </is>
      </c>
      <c r="G46" s="8" t="inlineStr">
        <is>
          <t>半导体设备-划片与切割</t>
        </is>
      </c>
      <c r="H46" s="7" t="inlineStr">
        <is>
          <t>核心</t>
        </is>
      </c>
      <c r="I46" s="8" t="inlineStr">
        <is>
          <t>公司半导体板块真实产品为晶圆划片机、封测精密加工设备及相关核心零部件和耗材，直接用于封装前后晶圆切割与精密加工，产业位置明确。2025年半导体行业收入3.6187亿元，占总收入53.9926%，其中半导体精密加工设备收入3.5261亿元；煤矿安全监控业务收入3.0835亿元，半导体已成为最大收入板块，核心定级有实际经营规模支撑。边界上，煤矿安全监控及物联网业务不能并入半导体，零部件和耗材也不应与整机收入重复累加；划片设备属于后道加工，但旧“后道”过宽，不能由此延伸为全部封装设备供应商。此次纠错将旧“半导体设备-后道”精确改为白名单“半导体设备-划片与切割”，保留核心并收窄到真实产品。</t>
        </is>
      </c>
      <c r="J46" s="7" t="inlineStr">
        <is>
          <t>光力科技：2025年年度报告</t>
        </is>
      </c>
      <c r="K46" s="7" t="inlineStr">
        <is>
          <t>2026-04-24</t>
        </is>
      </c>
      <c r="L46" s="8" t="inlineStr">
        <is>
          <t>iFinD ifind_get_stock_info + ifind_get_stock_business_segmentation (as of 2026-10-27)；光力科技：2025年年度报告</t>
        </is>
      </c>
      <c r="M46" s="9" t="inlineStr">
        <is>
          <t>https://money.finance.sina.com.cn/corp/view/vCB_AllBulletinDetail.php?stockid=300480&amp;id=12168383</t>
        </is>
      </c>
    </row>
    <row r="47" ht="104" customHeight="1">
      <c r="B47" s="4" t="inlineStr">
        <is>
          <t>300493</t>
        </is>
      </c>
      <c r="C47" s="4" t="inlineStr">
        <is>
          <t>润欣科技</t>
        </is>
      </c>
      <c r="D47" s="5" t="inlineStr">
        <is>
          <t>半导体：端侧ai芯片</t>
        </is>
      </c>
      <c r="E47" s="4" t="inlineStr">
        <is>
          <t>纠错</t>
        </is>
      </c>
      <c r="F47" s="4" t="inlineStr">
        <is>
          <t>半导体</t>
        </is>
      </c>
      <c r="G47" s="5" t="inlineStr">
        <is>
          <t>半导体分销与供应链、芯片设计-SoC与端侧AI</t>
        </is>
      </c>
      <c r="H47" s="4" t="inlineStr">
        <is>
          <t>核心</t>
        </is>
      </c>
      <c r="I47" s="5" t="inlineStr">
        <is>
          <t>公司主业是IC分销、技术支持和应用方案，同时开展定制及自研芯片，微能量收集芯片已有量产，AI眼镜SoC方案与JDM项目具备真实端侧产品基础。2025年总收入28.8798亿元，定制和自研芯片收入2.0828亿元、占7.21%，其余经营主体仍以半导体分销和方案服务为主，故核心定级首先依据大规模IC分销主业，而非把全公司包装成AI芯片设计企业。边界上，AI感存算一体等仍处研发或试产的项目不能计入成熟收入，定制自研7.21%也不能外推至全部分销收入。此次纠错将旧“端侧ai芯片”和原边缘定级纠正为“半导体分销与供应链”核心，辅以“芯片设计-SoC与端侧AI”，明确分销与设计的不同证据和权重。</t>
        </is>
      </c>
      <c r="J47" s="4" t="inlineStr">
        <is>
          <t>润欣科技：2025年年度报告</t>
        </is>
      </c>
      <c r="K47" s="4" t="inlineStr">
        <is>
          <t>2026-04-28</t>
        </is>
      </c>
      <c r="L47" s="5" t="inlineStr">
        <is>
          <t>iFinD ifind_get_stock_info + ifind_get_stock_business_segmentation (as of 2026-10-27)；润欣科技：2025年年度报告</t>
        </is>
      </c>
      <c r="M47" s="6" t="inlineStr">
        <is>
          <t>http://money.finance.sina.com.cn/corp/view/vCB_AllBulletinDetail.php?stockid=300493&amp;id=12208916</t>
        </is>
      </c>
    </row>
    <row r="48" ht="104" customHeight="1">
      <c r="B48" s="7" t="inlineStr">
        <is>
          <t>300554</t>
        </is>
      </c>
      <c r="C48" s="7" t="inlineStr">
        <is>
          <t>三超新材</t>
        </is>
      </c>
      <c r="D48" s="8" t="inlineStr">
        <is>
          <t>半导体：半导体材料</t>
        </is>
      </c>
      <c r="E48" s="7" t="inlineStr">
        <is>
          <t>纠错</t>
        </is>
      </c>
      <c r="F48" s="7" t="inlineStr">
        <is>
          <t>半导体</t>
        </is>
      </c>
      <c r="G48" s="8" t="inlineStr">
        <is>
          <t>半导体材料-金刚石与加工耗材</t>
        </is>
      </c>
      <c r="H48" s="7" t="inlineStr">
        <is>
          <t>相关</t>
        </is>
      </c>
      <c r="I48" s="8" t="inlineStr">
        <is>
          <t>公司用于半导体的真实产品包括晶圆背减、倒角金刚石砂轮、划片刀及CMP-Disk，已获多家厂商采用并形成批量销售，但业务仍处爬坡阶段，盈利贡献较小。2025年金刚石砂轮收入0.7520亿元、占总收入32.95%，电镀金刚线收入1.3112亿元；半导体子公司江苏三晶收入0.4817亿元，约占总收入21.11%，现有规模和贡献更适合相关而非核心。边界上，金刚石砂轮还服务非半导体加工，0.7520亿元不可全部计为半导体耗材，光伏电镀金刚线更不能并入；子公司收入可用于观察规模，但不等于所有产品均已完成高端制程放量。此次纠错将旧笼统“半导体材料”细化为“半导体材料-金刚石与加工耗材”，保留相关并剔除金刚线带来的规模错觉。</t>
        </is>
      </c>
      <c r="J48" s="7" t="inlineStr">
        <is>
          <t>三超新材：2025年年度报告</t>
        </is>
      </c>
      <c r="K48" s="7" t="inlineStr">
        <is>
          <t>2026-03-18</t>
        </is>
      </c>
      <c r="L48" s="8" t="inlineStr">
        <is>
          <t>iFinD ifind_get_stock_info + ifind_get_stock_business_segmentation (as of 2026-10-27)；三超新材：2025年年度报告</t>
        </is>
      </c>
      <c r="M48" s="9" t="inlineStr">
        <is>
          <t>https://money.finance.sina.com.cn/corp/view/vCB_AllBulletinDetail.php?stockid=300554&amp;id=12000651</t>
        </is>
      </c>
    </row>
    <row r="49" ht="104" customHeight="1">
      <c r="B49" s="4" t="inlineStr">
        <is>
          <t>300567</t>
        </is>
      </c>
      <c r="C49" s="4" t="inlineStr">
        <is>
          <t>精测电子</t>
        </is>
      </c>
      <c r="D49" s="5" t="inlineStr">
        <is>
          <t>半导体：半导体设备-测试设备</t>
        </is>
      </c>
      <c r="E49" s="4" t="inlineStr">
        <is>
          <t>纠错</t>
        </is>
      </c>
      <c r="F49" s="4" t="inlineStr">
        <is>
          <t>半导体</t>
        </is>
      </c>
      <c r="G49" s="5" t="inlineStr">
        <is>
          <t>半导体设备-量测与检测</t>
        </is>
      </c>
      <c r="H49" s="4" t="inlineStr">
        <is>
          <t>核心</t>
        </is>
      </c>
      <c r="I49" s="5" t="inlineStr">
        <is>
          <t>公司半导体真实产品包括前道膜厚、OCD、电子束及缺陷检测等量测检测设备，已实现规模交付，后道ATE虽占比较低但不改变前道设备主业证据。2025年半导体业务收入13.1777亿元，占总收入39.3643%，显示业务收入17.5476亿元，新能源业务收入1.6883亿元；半导体在手订单25.33亿元，收入绝对规模和订单储备支持由相关上调为核心。边界上，显示检测与新能源检测收入不得并入半导体，前道量测检测与后道ATE也不能混为同一收入；在手订单是后续交付指标，不可当作2025年已实现收入。此次纠错将白名单外旧“半导体设备-测试设备”改为“半导体设备-量测与检测”，纠正设备类型及旧相关定级，同时保留三大业务的收入边界。</t>
        </is>
      </c>
      <c r="J49" s="4" t="inlineStr">
        <is>
          <t>精测电子：2025年年度报告</t>
        </is>
      </c>
      <c r="K49" s="4" t="inlineStr">
        <is>
          <t>2026-04-28</t>
        </is>
      </c>
      <c r="L49" s="5" t="inlineStr">
        <is>
          <t>iFinD ifind_get_stock_info + ifind_get_stock_business_segmentation (as of 2026-10-27)；精测电子：2025年年度报告</t>
        </is>
      </c>
      <c r="M49" s="6" t="inlineStr">
        <is>
          <t>http://money.finance.sina.com.cn/corp/view/vCB_AllBulletinDetail.php?stockid=300567&amp;id=12216269</t>
        </is>
      </c>
    </row>
    <row r="50" ht="104" customHeight="1">
      <c r="B50" s="7" t="inlineStr">
        <is>
          <t>300576</t>
        </is>
      </c>
      <c r="C50" s="7" t="inlineStr">
        <is>
          <t>容大感光</t>
        </is>
      </c>
      <c r="D50" s="8" t="inlineStr">
        <is>
          <t>半导体：半导体材料</t>
        </is>
      </c>
      <c r="E50" s="7" t="inlineStr">
        <is>
          <t>纠错</t>
        </is>
      </c>
      <c r="F50" s="7" t="inlineStr">
        <is>
          <t>半导体</t>
        </is>
      </c>
      <c r="G50" s="8" t="inlineStr">
        <is>
          <t>半导体材料-光刻胶与配套试剂</t>
        </is>
      </c>
      <c r="H50" s="7" t="inlineStr">
        <is>
          <t>相关</t>
        </is>
      </c>
      <c r="I50" s="8" t="inlineStr">
        <is>
          <t>公司真实产品包括PCB、显示和半导体光刻胶，其中g/i线半导体光刻胶已形成销售，KrF产品仍处验证推进阶段，具备半导体材料经营实质但规模尚小。2025年显示用与半导体光刻胶合并收入0.3812亿元，占总收入3.57%；PCB光刻胶收入9.9259亿元，占92.87%，因此维持相关而非核心。边界上，0.3812亿元是显示和半导体两类产品不可拆口径，不能全部算作半导体收入，占绝对主体的PCB光刻胶也不能因为同属感光材料就并入半导体；尚未完成验证的KrF不得按成熟量产品类放大判断。此次纠错将旧笼统“半导体材料”精确为“半导体材料-光刻胶与配套试剂”，保留相关并纠正以PCB主业支撑半导体核心程度的潜在误读。</t>
        </is>
      </c>
      <c r="J50" s="7" t="inlineStr">
        <is>
          <t>深圳市容大感光科技股份有限公司2025年年度报告</t>
        </is>
      </c>
      <c r="K50" s="7" t="inlineStr">
        <is>
          <t>2026-04-28</t>
        </is>
      </c>
      <c r="L50" s="8" t="inlineStr">
        <is>
          <t>iFinD ifind_get_stock_info + ifind_get_stock_business_segmentation (as of 2026-10-27)；深圳市容大感光科技股份有限公司2025年年度报告</t>
        </is>
      </c>
      <c r="M50" s="9" t="inlineStr">
        <is>
          <t>https://disc.static.szse.cn/disc/disk03/finalpage/2026-04-28/16f99d40-6ee7-44f5-90e4-c72306abb357.PDF</t>
        </is>
      </c>
    </row>
    <row r="51" ht="104" customHeight="1">
      <c r="B51" s="4" t="inlineStr">
        <is>
          <t>300604</t>
        </is>
      </c>
      <c r="C51" s="4" t="inlineStr">
        <is>
          <t>长川科技</t>
        </is>
      </c>
      <c r="D51" s="5" t="inlineStr">
        <is>
          <t>半导体：半导体设备-测试设备、半导体设备-后道</t>
        </is>
      </c>
      <c r="E51" s="4" t="inlineStr">
        <is>
          <t>纠错</t>
        </is>
      </c>
      <c r="F51" s="4" t="inlineStr">
        <is>
          <t>半导体</t>
        </is>
      </c>
      <c r="G51" s="5" t="inlineStr">
        <is>
          <t>半导体设备-测试机与分选机</t>
        </is>
      </c>
      <c r="H51" s="4" t="inlineStr">
        <is>
          <t>核心</t>
        </is>
      </c>
      <c r="I51" s="5" t="inlineStr">
        <is>
          <t>公司真实产品覆盖集成电路测试机、分选机、探针台及AOI设备，其中测试和分选产品已形成大规模销售，是明确的半导体后道测试装备供应商。2025年集成电路专用设备收入52.9154亿元，占总收入100%，其中测试机收入32.0297亿元，分选机收入15.6847亿元，主业集中度和收入规模均足以支持由旧边缘定级上调为核心。边界上，探针台和AOI虽真实存在，但本次主标签应匹配收入最大的测试机与分选机，不将全部设备收入重复拆成多个细分产品收入，也不能因后道属性泛化为所有封装设备。此次纠错删除白名单外旧“半导体设备-测试设备”和过宽的“半导体设备-后道”，统一规范为“半导体设备-测试机与分选机”，并纠正明显偏低的定级。</t>
        </is>
      </c>
      <c r="J51" s="4" t="inlineStr">
        <is>
          <t>长川科技：2025年年度报告</t>
        </is>
      </c>
      <c r="K51" s="4" t="inlineStr">
        <is>
          <t>2026-04-25</t>
        </is>
      </c>
      <c r="L51" s="5" t="inlineStr">
        <is>
          <t>iFinD ifind_get_stock_info + ifind_get_stock_business_segmentation (as of 2026-10-27)；长川科技：2025年年度报告</t>
        </is>
      </c>
      <c r="M51" s="6" t="inlineStr">
        <is>
          <t>https://money.finance.sina.com.cn/corp/view/vCB_AllBulletinDetail.php?stockid=300604&amp;id=12197571</t>
        </is>
      </c>
    </row>
    <row r="52" ht="104" customHeight="1">
      <c r="B52" s="7" t="inlineStr">
        <is>
          <t>300613</t>
        </is>
      </c>
      <c r="C52" s="7" t="inlineStr">
        <is>
          <t>富瀚微</t>
        </is>
      </c>
      <c r="D52" s="8" t="inlineStr">
        <is>
          <t>半导体：端侧AI芯片</t>
        </is>
      </c>
      <c r="E52" s="7" t="inlineStr">
        <is>
          <t>纠错</t>
        </is>
      </c>
      <c r="F52" s="7" t="inlineStr">
        <is>
          <t>半导体</t>
        </is>
      </c>
      <c r="G52" s="8" t="inlineStr">
        <is>
          <t>芯片设计-SoC与端侧AI</t>
        </is>
      </c>
      <c r="H52" s="7" t="inlineStr">
        <is>
          <t>核心</t>
        </is>
      </c>
      <c r="I52" s="8" t="inlineStr">
        <is>
          <t>公司真实产品为视频编解码IPC及NVR SoC、图像信号处理器ISP、智能显示和车载视频传输芯片，并提供相应芯片解决方案，属于智能终端和视觉处理芯片设计。2025年集成电路设计收入16.8970亿元，占总收入100%；其中视频监控芯片收入10.0393亿元，智能硬件收入3.3883亿元，汽车电子收入2.7952亿元，主业纯度和产品规模均支持核心定级。边界上，下游视频监控设备、智能硬件整机及汽车电子产品名称对应公司芯片应用分部，不可把终端整机市场收入混入公司收入，也不能仅凭AI应用前景额外推导数据中心算力芯片标签。此次纠错将旧“端侧AI芯片”规范为白名单“芯片设计-SoC与端侧AI”，保留核心并准确反映视频SoC与ISP产品实质。</t>
        </is>
      </c>
      <c r="J52" s="7" t="inlineStr">
        <is>
          <t>富瀚微：2025年年度报告</t>
        </is>
      </c>
      <c r="K52" s="7" t="inlineStr">
        <is>
          <t>2026-04-03</t>
        </is>
      </c>
      <c r="L52" s="8" t="inlineStr">
        <is>
          <t>iFinD ifind_get_stock_info + ifind_get_stock_business_segmentation (as of 2026-10-27)；富瀚微：2025年年度报告</t>
        </is>
      </c>
      <c r="M52" s="9" t="inlineStr">
        <is>
          <t>https://money.finance.sina.com.cn/corp/view/vCB_AllBulletinDetail.php?stockid=300613&amp;id=12060587</t>
        </is>
      </c>
    </row>
    <row r="53" ht="104" customHeight="1">
      <c r="B53" s="4" t="inlineStr">
        <is>
          <t>300638</t>
        </is>
      </c>
      <c r="C53" s="4" t="inlineStr">
        <is>
          <t>广和通</t>
        </is>
      </c>
      <c r="D53" s="5" t="inlineStr">
        <is>
          <t>半导体：端侧ai芯片</t>
        </is>
      </c>
      <c r="E53" s="4" t="inlineStr">
        <is>
          <t>摘除</t>
        </is>
      </c>
      <c r="F53" s="4" t="inlineStr">
        <is>
          <t>—</t>
        </is>
      </c>
      <c r="G53" s="5" t="inlineStr">
        <is>
          <t>—</t>
        </is>
      </c>
      <c r="H53" s="4" t="inlineStr">
        <is>
          <t>摘除</t>
        </is>
      </c>
      <c r="I53" s="5" t="inlineStr">
        <is>
          <t>公司真实产品是数传模组、智能模组、AI模组及无线通信解决方案，模组基于高通、联发科、爱芯等外部芯片平台进行集成设计，并未据此形成自研端侧AI芯片主业。2025年通讯模块收入64.4625亿元，解决方案收入4.7586亿元，总收入69.8761亿元，无线通信模组及应用业务占99.7399%；AI模组批量出货证明的是模组产品商业化，不等于芯片设计收入。边界上，通信模组与半导体芯片在产业环节、知识产权和收入确认上不可混同，本分类白名单也没有“通信模组”，不能为了保留标的而错挂SoC或端侧AI芯片。此次纠错删除旧“端侧ai芯片”及相关定级，pairs置空；这不否定其AI模组业务，只纠正把模组集成商当作半导体芯片设计公司的分类错误。</t>
        </is>
      </c>
      <c r="J53" s="4" t="inlineStr">
        <is>
          <t>广和通：2025年年度报告</t>
        </is>
      </c>
      <c r="K53" s="4" t="inlineStr">
        <is>
          <t>2026-03-31</t>
        </is>
      </c>
      <c r="L53" s="5" t="inlineStr">
        <is>
          <t>iFinD ifind_get_stock_info + ifind_get_stock_business_segmentation (as of 2026-10-27)；广和通：2025年年度报告</t>
        </is>
      </c>
      <c r="M53" s="6" t="inlineStr">
        <is>
          <t>https://money.finance.sina.com.cn/corp/view/vCB_AllBulletinDetail.php?stockid=300638&amp;id=12046744</t>
        </is>
      </c>
    </row>
    <row r="54" ht="104" customHeight="1">
      <c r="B54" s="7" t="inlineStr">
        <is>
          <t>300655</t>
        </is>
      </c>
      <c r="C54" s="7" t="inlineStr">
        <is>
          <t>晶瑞电材</t>
        </is>
      </c>
      <c r="D54" s="8" t="inlineStr">
        <is>
          <t>半导体：半导体材料</t>
        </is>
      </c>
      <c r="E54" s="7" t="inlineStr">
        <is>
          <t>纠错</t>
        </is>
      </c>
      <c r="F54" s="7" t="inlineStr">
        <is>
          <t>半导体</t>
        </is>
      </c>
      <c r="G54" s="8" t="inlineStr">
        <is>
          <t>半导体材料-电子特气与湿化学品、半导体材料-光刻胶与配套试剂</t>
        </is>
      </c>
      <c r="H54" s="7" t="inlineStr">
        <is>
          <t>核心</t>
        </is>
      </c>
      <c r="I54" s="8" t="inlineStr">
        <is>
          <t>公司真实半导体产品包括超净高纯化学品和光刻胶，同时经营锂电材料、工业化学品及能源业务，需按下游用途区分而不能笼统套用电子化学品概念。2025年半导体行业收入10.5966亿元，占总收入65.8248%；高纯化学品收入9.2867亿元，光刻胶收入2.2337亿元，锂电粘结剂收入2.2342亿元，半导体板块占比和绝对规模均支持核心定级。边界上，高纯化学品和光刻胶产品口径可能覆盖显示等其他电子下游，不可把产品分部金额全部重复归入集成电路；锂电粘结剂及工业化学品明确排除在半导体之外。此次纠错将旧“半导体材料”细分为“电子特气与湿化学品”和“光刻胶与配套试剂”，保留核心并避免跨行业收入混算。</t>
        </is>
      </c>
      <c r="J54" s="7" t="inlineStr">
        <is>
          <t>晶瑞电材：2025年年度报告</t>
        </is>
      </c>
      <c r="K54" s="7" t="inlineStr">
        <is>
          <t>2026-04-28</t>
        </is>
      </c>
      <c r="L54" s="8" t="inlineStr">
        <is>
          <t>iFinD ifind_get_stock_info + ifind_get_stock_business_segmentation (as of 2026-10-27)；晶瑞电材：2025年年度报告</t>
        </is>
      </c>
      <c r="M54" s="9" t="inlineStr">
        <is>
          <t>https://money.finance.sina.com.cn/corp/view/vCB_AllBulletinDetail.php?stockid=300655&amp;id=12211090</t>
        </is>
      </c>
    </row>
    <row r="55" ht="104" customHeight="1">
      <c r="B55" s="4" t="inlineStr">
        <is>
          <t>300666</t>
        </is>
      </c>
      <c r="C55" s="4" t="inlineStr">
        <is>
          <t>江丰电子</t>
        </is>
      </c>
      <c r="D55" s="5" t="inlineStr">
        <is>
          <t>半导体：半导体材料</t>
        </is>
      </c>
      <c r="E55" s="4" t="inlineStr">
        <is>
          <t>纠错</t>
        </is>
      </c>
      <c r="F55" s="4" t="inlineStr">
        <is>
          <t>半导体</t>
        </is>
      </c>
      <c r="G55" s="5" t="inlineStr">
        <is>
          <t>半导体材料-靶材与蒸镀材料、设备核心零部件</t>
        </is>
      </c>
      <c r="H55" s="4" t="inlineStr">
        <is>
          <t>核心</t>
        </is>
      </c>
      <c r="I55" s="5" t="inlineStr">
        <is>
          <t>公司真实产品是超高纯铝、钛、钽、铜等金属溅射靶材以及半导体设备精密零部件，分别服务晶圆制造PVD材料和装备核心部件环节，客户与量产经营基础明确。2025年超高纯靶材收入28.4993亿元，约占总收入46.0410亿元的61.90%；精密零部件收入10.8388亿元，约占23.54%，两项合计约85.44%，主业规模和集中度充分支持核心定级。边界上，靶材与零部件属于不同产业环节，不能把两项收入重复归为半导体材料，也不能因零部件用于设备就把公司改标为整机设备商。此次纠错将旧笼统“半导体材料”拆为“半导体材料-靶材与蒸镀材料”和“设备核心零部件”，保留核心并补回原标签遗漏的十亿元级零部件业务。</t>
        </is>
      </c>
      <c r="J55" s="4" t="inlineStr">
        <is>
          <t>江丰电子：2025年年度报告</t>
        </is>
      </c>
      <c r="K55" s="4" t="inlineStr">
        <is>
          <t>2026-04-16</t>
        </is>
      </c>
      <c r="L55" s="5" t="inlineStr">
        <is>
          <t>iFinD ifind_get_stock_info + ifind_get_stock_business_segmentation (as of 2026-10-27)；江丰电子：2025年年度报告</t>
        </is>
      </c>
      <c r="M55" s="6" t="inlineStr">
        <is>
          <t>https://money.finance.sina.com.cn/corp/view/vCB_AllBulletinDetail.php?stockid=300666&amp;id=12096894</t>
        </is>
      </c>
    </row>
    <row r="56" ht="104" customHeight="1">
      <c r="B56" s="7" t="inlineStr">
        <is>
          <t>300672</t>
        </is>
      </c>
      <c r="C56" s="7" t="inlineStr">
        <is>
          <t>国科微</t>
        </is>
      </c>
      <c r="D56" s="8" t="inlineStr">
        <is>
          <t>半导体：端侧AI芯片</t>
        </is>
      </c>
      <c r="E56" s="7" t="inlineStr">
        <is>
          <t>纠错</t>
        </is>
      </c>
      <c r="F56" s="7" t="inlineStr">
        <is>
          <t>半导体</t>
        </is>
      </c>
      <c r="G56" s="8" t="inlineStr">
        <is>
          <t>芯片设计-SoC与端侧AI、芯片设计-存储主控与接口</t>
        </is>
      </c>
      <c r="H56" s="7" t="inlineStr">
        <is>
          <t>核心</t>
        </is>
      </c>
      <c r="I56" s="8" t="inlineStr">
        <is>
          <t>公司真实产品包括超高清解码、智慧视觉、端侧AI SoC、无线局域网芯片及固态存储控制器，属于多产品线集成电路设计企业。2025年集成电路收入17.9110亿元，占总收入100%；智能视频收入7.9976亿元，广电视频收入7.1307亿元，物联网收入1.9050亿元，固态存储收入0.4512亿元，主业纯度和芯片销售规模充分支持核心定级。边界上，固态存储控制器只负责存储设备控制与接口，不是NAND或DRAM存储晶圆，0.4512亿元也不能写成存储芯片制造收入；机顶盒和视觉终端应用不等于下游整机业务。此次纠错将过窄旧“端侧AI芯片”规范为“芯片设计-SoC与端侧AI”，并补充“芯片设计-存储主控与接口”，明确主控与存储介质差异。</t>
        </is>
      </c>
      <c r="J56" s="7" t="inlineStr">
        <is>
          <t>国科微：2025年年度报告</t>
        </is>
      </c>
      <c r="K56" s="7" t="inlineStr">
        <is>
          <t>2026-04-29</t>
        </is>
      </c>
      <c r="L56" s="8" t="inlineStr">
        <is>
          <t>iFinD ifind_get_stock_info + ifind_get_stock_business_segmentation (as of 2026-10-27)；国科微：2025年年度报告</t>
        </is>
      </c>
      <c r="M56" s="9" t="inlineStr">
        <is>
          <t>https://money.finance.sina.com.cn/corp/view/vCB_AllBulletinDetail.php?stockid=300672&amp;id=12266513</t>
        </is>
      </c>
    </row>
    <row r="57" ht="104" customHeight="1">
      <c r="B57" s="4" t="inlineStr">
        <is>
          <t>300706</t>
        </is>
      </c>
      <c r="C57" s="4" t="inlineStr">
        <is>
          <t>阿石创</t>
        </is>
      </c>
      <c r="D57" s="5" t="inlineStr">
        <is>
          <t>半导体：半导体材料</t>
        </is>
      </c>
      <c r="E57" s="4" t="inlineStr">
        <is>
          <t>纠错</t>
        </is>
      </c>
      <c r="F57" s="4" t="inlineStr">
        <is>
          <t>半导体</t>
        </is>
      </c>
      <c r="G57" s="5" t="inlineStr">
        <is>
          <t>半导体材料-靶材与蒸镀材料</t>
        </is>
      </c>
      <c r="H57" s="4" t="inlineStr">
        <is>
          <t>相关</t>
        </is>
      </c>
      <c r="I57" s="5" t="inlineStr">
        <is>
          <t>公司主营PVD镀膜材料，半导体用金属及合金靶材已导入国内外晶圆和存储客户并取得正式订单，具备真实半导体供货证据，但2025年仍属业务突破和客户拓展阶段。2025年总收入14.27亿元，平板显示收入3.7860亿元，光学收入3.5020亿元，工程新材料收入4.2761亿元；溅射靶材收入5.6920亿元、约占39.89%，半导体收入未单独披露，因此由旧核心下调为相关更审慎。边界上，5.6920亿元是跨平板显示、光学、半导体等应用的混合产品口径，不可全部算作半导体靶材，正式订单也不能等同于当年大规模收入。此次纠错保留“半导体材料-靶材与蒸镀材料”这一精确概念，纠正旧笼统材料标签及过高定级，避免把全部PVD业务半导体化。</t>
        </is>
      </c>
      <c r="J57" s="4" t="inlineStr">
        <is>
          <t>阿石创：2025年年度报告</t>
        </is>
      </c>
      <c r="K57" s="4" t="inlineStr">
        <is>
          <t>2026-04-28</t>
        </is>
      </c>
      <c r="L57" s="5" t="inlineStr">
        <is>
          <t>iFinD ifind_get_stock_info + ifind_get_stock_business_segmentation (as of 2026-10-27)；阿石创：2025年年度报告</t>
        </is>
      </c>
      <c r="M57" s="6" t="inlineStr">
        <is>
          <t>https://money.finance.sina.com.cn/corp/view/vCB_AllBulletinDetail.php?stockid=300706&amp;id=12229607</t>
        </is>
      </c>
    </row>
    <row r="58" ht="104" customHeight="1">
      <c r="B58" s="7" t="inlineStr">
        <is>
          <t>300786</t>
        </is>
      </c>
      <c r="C58" s="7" t="inlineStr">
        <is>
          <t>国林科技</t>
        </is>
      </c>
      <c r="D58" s="8" t="inlineStr">
        <is>
          <t>半导体：半导体设备、半导体材料</t>
        </is>
      </c>
      <c r="E58" s="7" t="inlineStr">
        <is>
          <t>纠错</t>
        </is>
      </c>
      <c r="F58" s="7" t="inlineStr">
        <is>
          <t>半导体</t>
        </is>
      </c>
      <c r="G58" s="8" t="inlineStr">
        <is>
          <t>半导体设备-清洗</t>
        </is>
      </c>
      <c r="H58" s="7" t="inlineStr">
        <is>
          <t>相关</t>
        </is>
      </c>
      <c r="I58" s="8" t="inlineStr">
        <is>
          <t>公司面向半导体的真实产品包括高浓度臭氧水、臭氧气体发生器以及氨水、二氧化碳水发生器，湿法清洗设备已量产并获重复订单，薄膜沉积设备取得小批量订单，具备设备端实质而非单纯材料概念。2025年臭氧设备收入2.3587亿元，占总收入42.2387%，乙醛酸收入2.4426亿元、占43.7418%；臭氧设备还覆盖市政环保等领域，半导体收入未单拆，故维持相关而非上调核心。边界上，臭氧设备总收入不可全部归为半导体清洗，乙醛酸等化工业务更不能并入；薄膜沉积尚小批量，本次不扩张标签。此次纠错仅处理半导体，删除旧“半导体材料”错误标签，将过宽“半导体设备”精确为“半导体设备-清洗”，明确设备与材料及混合收入的界限。</t>
        </is>
      </c>
      <c r="J58" s="7" t="inlineStr">
        <is>
          <t>国林科技：2025年年度报告</t>
        </is>
      </c>
      <c r="K58" s="7" t="inlineStr">
        <is>
          <t>2026-04-27</t>
        </is>
      </c>
      <c r="L58" s="8" t="inlineStr">
        <is>
          <t>iFinD ifind_get_stock_info + ifind_get_stock_business_segmentation (as of 2026-10-27)；国林科技：2025年年度报告</t>
        </is>
      </c>
      <c r="M58" s="9" t="inlineStr">
        <is>
          <t>http://money.finance.sina.com.cn/corp/view/vCB_AllBulletinDetail.php?stockid=300786&amp;id=12202981</t>
        </is>
      </c>
    </row>
    <row r="59" ht="104" customHeight="1">
      <c r="B59" s="4" t="inlineStr">
        <is>
          <t>300857</t>
        </is>
      </c>
      <c r="C59" s="4" t="inlineStr">
        <is>
          <t>协创数据</t>
        </is>
      </c>
      <c r="D59" s="5" t="inlineStr">
        <is>
          <t>半导体：存储模组</t>
        </is>
      </c>
      <c r="E59" s="4" t="inlineStr">
        <is>
          <t>纠错</t>
        </is>
      </c>
      <c r="F59" s="4" t="inlineStr">
        <is>
          <t>半导体</t>
        </is>
      </c>
      <c r="G59" s="5" t="inlineStr">
        <is>
          <t>存储模组与系统</t>
        </is>
      </c>
      <c r="H59" s="4" t="inlineStr">
        <is>
          <t>核心</t>
        </is>
      </c>
      <c r="I59" s="5" t="inlineStr">
        <is>
          <t>公司真实产品包括数据存储设备、物联网智能终端、智能算力产品及服务、服务器及周边再制造，其中数据存储设备对应固态硬盘、嵌入式存储等存储模组与系统，并非存储晶圆或存储芯片设计。2025年数据存储设备收入44.9269亿元，占总收入122.3555亿元的36.72%，已经形成大规模产品销售；智能算力产品及服务27.6097亿元、服务器及周边再制造25.7491亿元属于其他业务，不能并入存储模组收入，也不能借算力概念追加算力芯片标签。基于存储产品收入和占比均具重要性，定为核心。旧“存储模组”方向基本正确但颗粒度不足，按白名单纠正为“存储模组与系统”，同时明确公司不是NAND、DRAM晶圆设计企业。</t>
        </is>
      </c>
      <c r="J59" s="4" t="inlineStr">
        <is>
          <t>协创数据技术股份有限公司2025年年度报告</t>
        </is>
      </c>
      <c r="K59" s="4" t="inlineStr">
        <is>
          <t>2026-03-17</t>
        </is>
      </c>
      <c r="L59" s="5" t="inlineStr">
        <is>
          <t>iFinD ifind_get_stock_info + ifind_get_stock_business_segmentation (as of 2026-10-27)；协创数据技术股份有限公司2025年年度报告</t>
        </is>
      </c>
      <c r="M59" s="6" t="inlineStr">
        <is>
          <t>https://static.cninfo.com.cn/finalpage/2026-03-17/1225012787.PDF</t>
        </is>
      </c>
    </row>
    <row r="60" ht="104" customHeight="1">
      <c r="B60" s="7" t="inlineStr">
        <is>
          <t>300975</t>
        </is>
      </c>
      <c r="C60" s="7" t="inlineStr">
        <is>
          <t>商络电子</t>
        </is>
      </c>
      <c r="D60" s="8" t="inlineStr">
        <is>
          <t>半导体：存储分销</t>
        </is>
      </c>
      <c r="E60" s="7" t="inlineStr">
        <is>
          <t>纠错</t>
        </is>
      </c>
      <c r="F60" s="7" t="inlineStr">
        <is>
          <t>半导体</t>
        </is>
      </c>
      <c r="G60" s="8" t="inlineStr">
        <is>
          <t>半导体分销与供应链</t>
        </is>
      </c>
      <c r="H60" s="7" t="inlineStr">
        <is>
          <t>相关</t>
        </is>
      </c>
      <c r="I60" s="8" t="inlineStr">
        <is>
          <t>公司真实主营是面向网络通信、消费电子、汽车电子和工业控制客户提供电子元器件分销，产品包括存储器件、IC、射频器件以及电容、电感、电阻等被动器件，经营实质是分销与供应链服务，不是存储芯片设计或制造。2025年其他元器件收入51.7513亿元、被动电子元器件33.7189亿元，总收入约85.4802亿元；其中“其他元器件”仍是存储、IC等多类产品混合口径，年报未独立拆出半导体或存储分销收入，因此不能把51.7513亿元全部认定为半导体收入，更不能写成自研芯片收入。考虑到分销主业具有真实半导体产品基础但纯度不可核验，定为相关。旧“存储分销”过窄且易被误解为芯片业务，纠正为“半导体分销与供应链”。</t>
        </is>
      </c>
      <c r="J60" s="7" t="inlineStr">
        <is>
          <t>南京商络电子股份有限公司2025年年度报告</t>
        </is>
      </c>
      <c r="K60" s="7" t="inlineStr">
        <is>
          <t>2026-04-24</t>
        </is>
      </c>
      <c r="L60" s="8" t="inlineStr">
        <is>
          <t>iFinD ifind_get_stock_info + ifind_get_stock_business_segmentation (as of 2026-10-27)；南京商络电子股份有限公司2025年年度报告</t>
        </is>
      </c>
      <c r="M60" s="9" t="inlineStr">
        <is>
          <t>https://static.cninfo.com.cn/finalpage/2026-04-24/1225169755.PDF</t>
        </is>
      </c>
    </row>
    <row r="61" ht="104" customHeight="1">
      <c r="B61" s="4" t="inlineStr">
        <is>
          <t>301099</t>
        </is>
      </c>
      <c r="C61" s="4" t="inlineStr">
        <is>
          <t>雅创电子</t>
        </is>
      </c>
      <c r="D61" s="5" t="inlineStr">
        <is>
          <t>半导体：存储分销</t>
        </is>
      </c>
      <c r="E61" s="4" t="inlineStr">
        <is>
          <t>纠错</t>
        </is>
      </c>
      <c r="F61" s="4" t="inlineStr">
        <is>
          <t>半导体</t>
        </is>
      </c>
      <c r="G61" s="5" t="inlineStr">
        <is>
          <t>半导体分销与供应链、芯片设计-模拟与电源管理</t>
        </is>
      </c>
      <c r="H61" s="4" t="inlineStr">
        <is>
          <t>相关</t>
        </is>
      </c>
      <c r="I61" s="5" t="inlineStr">
        <is>
          <t>公司业务分为电子元器件分销和自研IC两部分，分销产品覆盖光电器件、存储芯片、被动器件、分立半导体、汽车CIS及MCU等，自研产品主要是电源管理IC及信号链等模拟芯片，不能把分销的存储产品写成公司自主存储芯片。2025年营业收入66.120817亿元，其中电子元器件分销收入62.771651亿元，占94.94%，该口径混合多类分销产品；电源管理IC设计收入3.294068亿元，占4.98%，已经形成销售但在集团内仍属较小业务。基于分销和自研均有真实收入，同时半导体分销纯度未单列且自研占比较低，整体维持相关。概念保留半导体分销与供应链、芯片设计-模拟与电源管理；初审总收入66.1272亿元和94.93%的表述分别更正为66.120817亿元和94.94%。</t>
        </is>
      </c>
      <c r="J61" s="4" t="inlineStr">
        <is>
          <t>上海雅创电子集团股份有限公司2025年年度报告</t>
        </is>
      </c>
      <c r="K61" s="4" t="inlineStr">
        <is>
          <t>2026-04-22</t>
        </is>
      </c>
      <c r="L61" s="5" t="inlineStr">
        <is>
          <t>iFinD ifind_get_stock_info + ifind_get_stock_business_segmentation (as of 2026-10-27)；上海雅创电子集团股份有限公司2025年年度报告</t>
        </is>
      </c>
      <c r="M61" s="6" t="inlineStr">
        <is>
          <t>https://static.cninfo.com.cn/finalpage/2026-04-22/1225137491.PDF</t>
        </is>
      </c>
    </row>
    <row r="62" ht="104" customHeight="1">
      <c r="B62" s="7" t="inlineStr">
        <is>
          <t>301226</t>
        </is>
      </c>
      <c r="C62" s="7" t="inlineStr">
        <is>
          <t>祥明智能</t>
        </is>
      </c>
      <c r="D62" s="8" t="inlineStr">
        <is>
          <t>半导体：半导体设备</t>
        </is>
      </c>
      <c r="E62" s="7" t="inlineStr">
        <is>
          <t>摘除</t>
        </is>
      </c>
      <c r="F62" s="7" t="inlineStr">
        <is>
          <t>—</t>
        </is>
      </c>
      <c r="G62" s="8" t="inlineStr">
        <is>
          <t>—</t>
        </is>
      </c>
      <c r="H62" s="7" t="inlineStr">
        <is>
          <t>摘除</t>
        </is>
      </c>
      <c r="I62" s="8" t="inlineStr">
        <is>
          <t>公司真实主营是微特电机、风机及智能化组件的研发、生产和销售，产品包括交流异步电机、直流有刷及无刷电机、离心风机、横流风机和轴流风机，主要属于通用电气机械与器材，不是半导体工艺设备、测试设备或设备专用核心零部件。2025年总收入5.0796亿元，其中风机收入2.6395亿元，占51.96%；交流异步电机1.3506亿元、直流无刷电机0.5750亿元、直流有刷电机0.2785亿元，收入结构进一步证明主业为通用电机风机。年报未披露半导体设备客户、订单、专用产品或相应收入，不能仅凭电机、风机理论上可用于厂房通风或设备散热就建立半导体暴露。按通用业务和潜在用途不计入的规则，本次摘除旧“半导体设备”标签，不保留任何半导体概念。</t>
        </is>
      </c>
      <c r="J62" s="7" t="inlineStr">
        <is>
          <t>常州祥明智能动力股份有限公司2025年年度报告</t>
        </is>
      </c>
      <c r="K62" s="7" t="inlineStr">
        <is>
          <t>2026-04-24</t>
        </is>
      </c>
      <c r="L62" s="8" t="inlineStr">
        <is>
          <t>iFinD ifind_get_stock_info + ifind_get_stock_business_segmentation (as of 2026-10-27)；常州祥明智能动力股份有限公司2025年年度报告</t>
        </is>
      </c>
      <c r="M62" s="9" t="inlineStr">
        <is>
          <t>https://static.cninfo.com.cn/finalpage/2026-04-24/1225161993.PDF</t>
        </is>
      </c>
    </row>
    <row r="63" ht="104" customHeight="1">
      <c r="B63" s="4" t="inlineStr">
        <is>
          <t>301235</t>
        </is>
      </c>
      <c r="C63" s="4" t="inlineStr">
        <is>
          <t>华康洁净</t>
        </is>
      </c>
      <c r="D63" s="5" t="inlineStr">
        <is>
          <t>半导体：半导体洁净室</t>
        </is>
      </c>
      <c r="E63" s="4" t="inlineStr">
        <is>
          <t>纠错</t>
        </is>
      </c>
      <c r="F63" s="4" t="inlineStr">
        <is>
          <t>半导体</t>
        </is>
      </c>
      <c r="G63" s="5" t="inlineStr">
        <is>
          <t>洁净室与厂务工程</t>
        </is>
      </c>
      <c r="H63" s="4" t="inlineStr">
        <is>
          <t>相关</t>
        </is>
      </c>
      <c r="I63" s="5" t="inlineStr">
        <is>
          <t>公司已从医疗净化拓展到电子洁净室，2025年实际服务先导芯光、奥普托科、宏茂微电子、武汉高芯等客户，具备芯片制造、先进封装和半导体材料洁净项目经验，因此不是单纯潜在用途。但2025年医疗净化系统集成收入20.2295亿元，占总收入22.8624亿元的88.48%，医疗专项技术服务分部占90.13%，半导体收入没有独立拆分；期末电子洁净在手订单2.99亿元，仅占全部在手订单37.42亿元的约7.99%，且该口径还包括新型显示、数据中心和其他精密电子，不能全算半导体。实际项目已经落地而收入仍由医疗业务主导、半导体占比较低，故由旧核心降为相关。旧“半导体洁净室”按白名单改为“洁净室与厂务工程”，并保留订单口径不等于收入的边界。</t>
        </is>
      </c>
      <c r="J63" s="4" t="inlineStr">
        <is>
          <t>武汉华康世纪洁净科技股份有限公司2025年年度报告</t>
        </is>
      </c>
      <c r="K63" s="4" t="inlineStr">
        <is>
          <t>2026-04-25</t>
        </is>
      </c>
      <c r="L63" s="5" t="inlineStr">
        <is>
          <t>iFinD ifind_get_stock_info + ifind_get_stock_business_segmentation (as of 2026-10-27)；武汉华康世纪洁净科技股份有限公司2025年年度报告</t>
        </is>
      </c>
      <c r="M63" s="6" t="inlineStr">
        <is>
          <t>https://static.cninfo.com.cn/finalpage/2026-04-25/1225185451.PDF</t>
        </is>
      </c>
    </row>
    <row r="64" ht="104" customHeight="1">
      <c r="B64" s="7" t="inlineStr">
        <is>
          <t>301297</t>
        </is>
      </c>
      <c r="C64" s="7" t="inlineStr">
        <is>
          <t>富乐德</t>
        </is>
      </c>
      <c r="D64" s="8" t="inlineStr">
        <is>
          <t>半导体：半导体设备</t>
        </is>
      </c>
      <c r="E64" s="7" t="inlineStr">
        <is>
          <t>纠错</t>
        </is>
      </c>
      <c r="F64" s="7" t="inlineStr">
        <is>
          <t>半导体</t>
        </is>
      </c>
      <c r="G64" s="8" t="inlineStr">
        <is>
          <t>半导体材料-封装材料、设备核心零部件</t>
        </is>
      </c>
      <c r="H64" s="7" t="inlineStr">
        <is>
          <t>核心</t>
        </is>
      </c>
      <c r="I64" s="8" t="inlineStr">
        <is>
          <t>公司一类真实业务是富乐华的DCB、AMB、DPC覆铜陶瓷载板，用于功率半导体模块封装；另一类是为半导体生产设备零部件提供精密洗净、氧化加工、陶瓷熔射和翻新服务，服务对象包括刻蚀腔体内衬、静电吸盘、气体分配盘等工艺零部件，公司并不制造光刻机、刻蚀机等设备本体。2025年行业分部合计收入28.665265亿元，其中DCB收入10.232490亿元、AMB收入7.398276亿元，合计17.630766亿元，占61.50%；精密洗净收入6.919179亿元，占24.14%，但洗净业务还混合显示面板，不能全部算作半导体。规模化载板材料与设备零部件服务支持核心定级，概念维持半导体材料-封装材料和设备核心零部件；初审总收入28.6665亿元更正为28.665265亿元。</t>
        </is>
      </c>
      <c r="J64" s="7" t="inlineStr">
        <is>
          <t>安徽富乐德科技发展股份有限公司2025年年度报告</t>
        </is>
      </c>
      <c r="K64" s="7" t="inlineStr">
        <is>
          <t>2026-04-29</t>
        </is>
      </c>
      <c r="L64" s="8" t="inlineStr">
        <is>
          <t>iFinD ifind_get_stock_info + ifind_get_stock_business_segmentation (as of 2026-10-27)；安徽富乐德科技发展股份有限公司2025年年度报告</t>
        </is>
      </c>
      <c r="M64" s="9" t="inlineStr">
        <is>
          <t>https://static.cninfo.com.cn/finalpage/2026-04-29/1225246085.PDF</t>
        </is>
      </c>
    </row>
    <row r="65" ht="104" customHeight="1">
      <c r="B65" s="4" t="inlineStr">
        <is>
          <t>301308</t>
        </is>
      </c>
      <c r="C65" s="4" t="inlineStr">
        <is>
          <t>江波龙</t>
        </is>
      </c>
      <c r="D65" s="5" t="inlineStr">
        <is>
          <t>半导体：存储模组</t>
        </is>
      </c>
      <c r="E65" s="4" t="inlineStr">
        <is>
          <t>纠错</t>
        </is>
      </c>
      <c r="F65" s="4" t="inlineStr">
        <is>
          <t>半导体</t>
        </is>
      </c>
      <c r="G65" s="5" t="inlineStr">
        <is>
          <t>存储模组与系统、芯片设计-存储主控与接口</t>
        </is>
      </c>
      <c r="H65" s="4" t="inlineStr">
        <is>
          <t>核心</t>
        </is>
      </c>
      <c r="I65" s="5" t="inlineStr">
        <is>
          <t>公司真实产品覆盖嵌入式存储、固态硬盘、移动存储和内存条，并有自研存储主控芯片及配套固件，主营是半导体存储产品研发、设计与销售；其模组和系统业务不能与NAND、DRAM存储晶圆设计混为一谈。2025年存储行业收入227.6563亿元，占分部口径99.9976%，其中嵌入式存储100.1208亿元、固态硬盘55.6960亿元、移动存储48.9401亿元、内存条22.1649亿元，均为规模化产品，核心定级依据充分。自研主控没有独立收入拆分，不能虚构其金额，也不能把全部模组收入算作自研芯片收入。旧“存储模组”只覆盖部分业务且“主控”未规范落类，按白名单纠正为“存储模组与系统”和“芯片设计-存储主控与接口”，明确不添加存储晶圆设计标签。</t>
        </is>
      </c>
      <c r="J65" s="4" t="inlineStr">
        <is>
          <t>深圳市江波龙电子股份有限公司2025年年度报告</t>
        </is>
      </c>
      <c r="K65" s="4" t="inlineStr">
        <is>
          <t>2026-04-28</t>
        </is>
      </c>
      <c r="L65" s="5" t="inlineStr">
        <is>
          <t>iFinD ifind_get_stock_info + ifind_get_stock_business_segmentation (as of 2026-10-27)；深圳市江波龙电子股份有限公司2025年年度报告</t>
        </is>
      </c>
      <c r="M65" s="6" t="inlineStr">
        <is>
          <t>https://static.cninfo.com.cn/finalpage/2026-04-28/1225214128.PDF</t>
        </is>
      </c>
    </row>
    <row r="66" ht="104" customHeight="1">
      <c r="B66" s="7" t="inlineStr">
        <is>
          <t>301369</t>
        </is>
      </c>
      <c r="C66" s="7" t="inlineStr">
        <is>
          <t>联动科技</t>
        </is>
      </c>
      <c r="D66" s="8" t="inlineStr">
        <is>
          <t>半导体：半导体设备-测试设备</t>
        </is>
      </c>
      <c r="E66" s="7" t="inlineStr">
        <is>
          <t>纠错</t>
        </is>
      </c>
      <c r="F66" s="7" t="inlineStr">
        <is>
          <t>半导体</t>
        </is>
      </c>
      <c r="G66" s="8" t="inlineStr">
        <is>
          <t>半导体设备-测试机与分选机</t>
        </is>
      </c>
      <c r="H66" s="7" t="inlineStr">
        <is>
          <t>核心</t>
        </is>
      </c>
      <c r="I66" s="8" t="inlineStr">
        <is>
          <t>公司真实产品是功率半导体测试系统、小信号分立器件高速测试系统、模拟及数模混合集成电路测试系统和大规模数字SoC测试系统，并配套激光打标等后道设备，属于封装测试环节的专用测试设备而非泛半导体概念。2025年半导体自动化测试系统收入3.0037亿元，占总收入3.5434亿元的84.77%；半导体激光打标设备及其他机电一体化设备0.4062亿元，占11.46%，配件维修及技术服务0.1336亿元。自动化测试系统已经形成明确且占主导的收入，故列核心；激光打标和配件收入不能再并入测试机口径。旧“半导体设备-测试设备”不是白名单标准概念，纠正为“半导体设备-测试机与分选机”，同时不因公司有探针台研发描述就虚构其独立收入。</t>
        </is>
      </c>
      <c r="J66" s="7" t="inlineStr">
        <is>
          <t>佛山市联动科技股份有限公司2025年年度报告</t>
        </is>
      </c>
      <c r="K66" s="7" t="inlineStr">
        <is>
          <t>2026-03-31</t>
        </is>
      </c>
      <c r="L66" s="8" t="inlineStr">
        <is>
          <t>iFinD ifind_get_stock_info + ifind_get_stock_business_segmentation (as of 2026-10-27)；佛山市联动科技股份有限公司2025年年度报告</t>
        </is>
      </c>
      <c r="M66" s="9" t="inlineStr">
        <is>
          <t>https://static.cninfo.com.cn/finalpage/2026-03-31/1225054584.PDF</t>
        </is>
      </c>
    </row>
    <row r="67" ht="104" customHeight="1">
      <c r="B67" s="4" t="inlineStr">
        <is>
          <t>301486</t>
        </is>
      </c>
      <c r="C67" s="4" t="inlineStr">
        <is>
          <t>致尚科技</t>
        </is>
      </c>
      <c r="D67" s="5" t="inlineStr">
        <is>
          <t>半导体：算力芯片</t>
        </is>
      </c>
      <c r="E67" s="4" t="inlineStr">
        <is>
          <t>纠错</t>
        </is>
      </c>
      <c r="F67" s="4" t="inlineStr">
        <is>
          <t>半导体</t>
        </is>
      </c>
      <c r="G67" s="5" t="inlineStr">
        <is>
          <t>半导体设备-CMP</t>
        </is>
      </c>
      <c r="H67" s="4" t="inlineStr">
        <is>
          <t>相关</t>
        </is>
      </c>
      <c r="I67" s="5" t="inlineStr">
        <is>
          <t>公司真实收入来自光通信产品、游戏机零部件、自动化设备、电子连接器等，不从事CPU、GPU、AI训练推理芯片或其他数据中心计算芯片设计，旧算力芯片标签仍应删除。与此同时，2025年年报在自动化设备业务中明确列有半导体抛光设备，说明公司已有真实半导体设备产品布局，初审据此之外将公司半导体标签全部摘除过于绝对。2025年营业收入9.983158亿元，其中自动化设备收入1.066711亿元，占10.69%；该分部还包含其他自动化设备，不能全部认定为半导体抛光设备收入，年报亦未单独披露其半导体收入规模。综合真实产品与收入不可拆分边界，建议由摘除恢复为相关，概念改为半导体设备-CMP，不升核心，也不恢复算力芯片标签。</t>
        </is>
      </c>
      <c r="J67" s="4" t="inlineStr">
        <is>
          <t>深圳市致尚科技股份有限公司2025年年度报告</t>
        </is>
      </c>
      <c r="K67" s="4" t="inlineStr">
        <is>
          <t>2026-04-21</t>
        </is>
      </c>
      <c r="L67" s="5" t="inlineStr">
        <is>
          <t>iFinD ifind_get_stock_info + ifind_get_stock_business_segmentation (as of 2026-10-27)；深圳市致尚科技股份有限公司2025年年度报告</t>
        </is>
      </c>
      <c r="M67" s="6" t="inlineStr">
        <is>
          <t>https://static.cninfo.com.cn/finalpage/2026-04-21/1225131446.PDF</t>
        </is>
      </c>
    </row>
    <row r="68" ht="104" customHeight="1">
      <c r="B68" s="7" t="inlineStr">
        <is>
          <t>301536</t>
        </is>
      </c>
      <c r="C68" s="7" t="inlineStr">
        <is>
          <t>星宸科技</t>
        </is>
      </c>
      <c r="D68" s="8" t="inlineStr">
        <is>
          <t>半导体：端侧AI芯片</t>
        </is>
      </c>
      <c r="E68" s="7" t="inlineStr">
        <is>
          <t>纠错</t>
        </is>
      </c>
      <c r="F68" s="7" t="inlineStr">
        <is>
          <t>半导体</t>
        </is>
      </c>
      <c r="G68" s="8" t="inlineStr">
        <is>
          <t>芯片设计-SoC与端侧AI</t>
        </is>
      </c>
      <c r="H68" s="7" t="inlineStr">
        <is>
          <t>核心</t>
        </is>
      </c>
      <c r="I68" s="8" t="inlineStr">
        <is>
          <t>公司真实主营是视觉AI系统级芯片研发及销售，产品用于智能安防、视频对讲、智能车载、3D感知和智能物联，并提供带AI处理能力的端侧SoC，不是仅借AI眼镜等终端题材形成的概念映射。2025年集成电路设计收入29.6983亿元，占分部口径99.9248%；其中智能安防收入19.3479亿元、视频对讲6.5816亿元、智能车载3.1761亿元，其他IC及蓝牙芯片占比较小，经营租赁收入仅0.0224亿元。芯片设计构成绝对主业且各主要产品已规模销售，因此列核心；智能安防等收入可证明SoC业务规模，但不能进一步虚构端侧AI加速模块的单独收入。旧“端侧AI芯片”方向正确但不是白名单原文，纠正为“芯片设计-SoC与端侧AI”，保留端侧产品与视觉SoC的真实边界。</t>
        </is>
      </c>
      <c r="J68" s="7" t="inlineStr">
        <is>
          <t>星宸科技股份有限公司2025年年度报告</t>
        </is>
      </c>
      <c r="K68" s="7" t="inlineStr">
        <is>
          <t>2026-03-10</t>
        </is>
      </c>
      <c r="L68" s="8" t="inlineStr">
        <is>
          <t>iFinD ifind_get_stock_info + ifind_get_stock_business_segmentation (as of 2026-10-27)；星宸科技股份有限公司2025年年度报告</t>
        </is>
      </c>
      <c r="M68" s="9" t="inlineStr">
        <is>
          <t>https://static.cninfo.com.cn/finalpage/2026-03-10/1225001998.PDF</t>
        </is>
      </c>
    </row>
    <row r="69" ht="104" customHeight="1">
      <c r="B69" s="4" t="inlineStr">
        <is>
          <t>301629</t>
        </is>
      </c>
      <c r="C69" s="4" t="inlineStr">
        <is>
          <t>矽电股份</t>
        </is>
      </c>
      <c r="D69" s="5" t="inlineStr">
        <is>
          <t>半导体：半导体设备-测试设备</t>
        </is>
      </c>
      <c r="E69" s="4" t="inlineStr">
        <is>
          <t>纠错</t>
        </is>
      </c>
      <c r="F69" s="4" t="inlineStr">
        <is>
          <t>半导体</t>
        </is>
      </c>
      <c r="G69" s="5" t="inlineStr">
        <is>
          <t>半导体设备-探针台与测试接口</t>
        </is>
      </c>
      <c r="H69" s="4" t="inlineStr">
        <is>
          <t>核心</t>
        </is>
      </c>
      <c r="I69" s="5" t="inlineStr">
        <is>
          <t>公司真实主营为半导体专用设备研发、生产和销售，核心产品是晶圆探针台和晶粒探针台，用于晶圆及晶粒电性能测试时的精密定位与测试连接，属于测试接口设备而非测试机本体。2025年晶圆探针台收入1.8189亿元，占总收入4.1885亿元的43.43%；晶粒探针台收入1.5354亿元，占36.66%，两者合计占80.09%，其他业务收入0.8341亿元，不能再全部归入探针台。两类探针台已经形成明确规模收入并构成主要业务，核心定级充分。旧“半导体设备-测试设备”过于宽泛，容易与测试机、分选机混淆，按白名单纠正为“半导体设备-探针台与测试接口”；对于分选机、曝光机等其他产品，不在缺乏独立收入时扩张本次标签。</t>
        </is>
      </c>
      <c r="J69" s="4" t="inlineStr">
        <is>
          <t>深圳矽电半导体设备股份有限公司2025年年度报告</t>
        </is>
      </c>
      <c r="K69" s="4" t="inlineStr">
        <is>
          <t>2026-04-22</t>
        </is>
      </c>
      <c r="L69" s="5" t="inlineStr">
        <is>
          <t>iFinD ifind_get_stock_info + ifind_get_stock_business_segmentation (as of 2026-10-27)；深圳矽电半导体设备股份有限公司2025年年度报告</t>
        </is>
      </c>
      <c r="M69" s="6" t="inlineStr">
        <is>
          <t>https://static.cninfo.com.cn/finalpage/2026-04-22/1225138756.PDF</t>
        </is>
      </c>
    </row>
    <row r="70" ht="104" customHeight="1">
      <c r="B70" s="7" t="inlineStr">
        <is>
          <t>600171</t>
        </is>
      </c>
      <c r="C70" s="7" t="inlineStr">
        <is>
          <t>上海贝岭</t>
        </is>
      </c>
      <c r="D70" s="8" t="inlineStr">
        <is>
          <t>半导体：功率半导体</t>
        </is>
      </c>
      <c r="E70" s="7" t="inlineStr">
        <is>
          <t>纠错</t>
        </is>
      </c>
      <c r="F70" s="7" t="inlineStr">
        <is>
          <t>半导体</t>
        </is>
      </c>
      <c r="G70" s="8" t="inlineStr">
        <is>
          <t>芯片设计-模拟与电源管理、芯片设计-功率半导体</t>
        </is>
      </c>
      <c r="H70" s="7" t="inlineStr">
        <is>
          <t>核心</t>
        </is>
      </c>
      <c r="I70" s="8" t="inlineStr">
        <is>
          <t>公司真实业务为集成电路设计，产品包括电源管理芯片、信号链模拟芯片和功率器件，功率半导体只是其中一部分，不能用单一功率标签覆盖全部自研产品。2025年营业收入31.737233亿元，其中电源管理芯片收入8.250257亿元，占26.00%；信号链模拟产品7.853710亿元，占24.75%；功率器件4.491412亿元，占14.15%。另有微电子贸易收入10.811416亿元，占34.07%，该部分是贸易而非自研芯片设计，不能与上述产品合并计算设计收入。集成电路生产及贸易收入31.406795亿元，占98.96%，模拟、电源管理和功率产品均形成规模销售，故维持核心及两个芯片设计概念。初审总收入33.7038亿元及据此计算的24.48%、23.30%、13.33%、32.08%均予以更正，贸易与自研边界不变。</t>
        </is>
      </c>
      <c r="J70" s="7" t="inlineStr">
        <is>
          <t>上海贝岭股份有限公司2025年年度报告</t>
        </is>
      </c>
      <c r="K70" s="7" t="inlineStr">
        <is>
          <t>2026-03-31</t>
        </is>
      </c>
      <c r="L70" s="8" t="inlineStr">
        <is>
          <t>iFinD ifind_get_stock_info + ifind_get_stock_business_segmentation (as of 2026-10-27)；上海贝岭股份有限公司2025年年度报告</t>
        </is>
      </c>
      <c r="M70" s="9" t="inlineStr">
        <is>
          <t>https://static.cninfo.com.cn/finalpage/2026-03-31/1225051104.PDF</t>
        </is>
      </c>
    </row>
    <row r="71" ht="104" customHeight="1">
      <c r="B71" s="4" t="inlineStr">
        <is>
          <t>600206</t>
        </is>
      </c>
      <c r="C71" s="4" t="inlineStr">
        <is>
          <t>有研新材</t>
        </is>
      </c>
      <c r="D71" s="5" t="inlineStr">
        <is>
          <t>半导体：半导体材料</t>
        </is>
      </c>
      <c r="E71" s="4" t="inlineStr">
        <is>
          <t>纠错</t>
        </is>
      </c>
      <c r="F71" s="4" t="inlineStr">
        <is>
          <t>半导体</t>
        </is>
      </c>
      <c r="G71" s="5" t="inlineStr">
        <is>
          <t>半导体材料-靶材与蒸镀材料</t>
        </is>
      </c>
      <c r="H71" s="4" t="inlineStr">
        <is>
          <t>核心</t>
        </is>
      </c>
      <c r="I71" s="5" t="inlineStr">
        <is>
          <t>公司真实半导体相关产品是高纯金属及合金溅射靶材等集成电路用薄膜材料，用于晶圆制造薄膜沉积环节；稀土材料、红外光学、生物医用材料和贵金属业务不能因同属新材料板块就全部计为半导体。2025年薄膜材料收入22.8763亿元，约占总收入95.4213亿元的23.97%，已形成较大规模；电子新材料分部收入75.4018亿元、占79.02%，但该分部还含铂族等混合业务，不能把75.4018亿元全部视为靶材收入。稀土金属冶炼收入19.1406亿元亦须单独排除。基于薄膜材料的真实产品和显著收入规模，列核心而非仅相关。旧“半导体材料”过宽，按白名单纠正为“半导体材料-靶材与蒸镀材料”，并纠正把稀土或全部电子新材料混入半导体的口径。</t>
        </is>
      </c>
      <c r="J71" s="4" t="inlineStr">
        <is>
          <t>有研新材料股份有限公司2025年年度报告</t>
        </is>
      </c>
      <c r="K71" s="4" t="inlineStr">
        <is>
          <t>2026-04-25</t>
        </is>
      </c>
      <c r="L71" s="5" t="inlineStr">
        <is>
          <t>iFinD ifind_get_stock_info + ifind_get_stock_business_segmentation (as of 2026-10-27)；有研新材料股份有限公司2025年年度报告</t>
        </is>
      </c>
      <c r="M71" s="6" t="inlineStr">
        <is>
          <t>https://static.cninfo.com.cn/finalpage/2026-04-25/1225177379.PDF</t>
        </is>
      </c>
    </row>
    <row r="72" ht="104" customHeight="1">
      <c r="B72" s="7" t="inlineStr">
        <is>
          <t>600246</t>
        </is>
      </c>
      <c r="C72" s="7" t="inlineStr">
        <is>
          <t>万通发展</t>
        </is>
      </c>
      <c r="D72" s="8" t="inlineStr">
        <is>
          <t>半导体：算力芯片</t>
        </is>
      </c>
      <c r="E72" s="7" t="inlineStr">
        <is>
          <t>纠错</t>
        </is>
      </c>
      <c r="F72" s="7" t="inlineStr">
        <is>
          <t>半导体</t>
        </is>
      </c>
      <c r="G72" s="8" t="inlineStr">
        <is>
          <t>芯片设计-存储主控与接口</t>
        </is>
      </c>
      <c r="H72" s="7" t="inlineStr">
        <is>
          <t>相关</t>
        </is>
      </c>
      <c r="I72" s="8" t="inlineStr">
        <is>
          <t>收购已经实际落地，不再是拟收购预期：公司通过增资及股权转让取得数渡科技控制权，数渡科技自2025年9月30日纳入合并报表，第四季度实现PCIe Gen5 Switch芯片SD85104量产。2025年10月至12月芯片、IP及相关技术服务收入0.4568亿元，数字科技分部占总收入4.6326亿元的9.8610%；房地产销售和物业出租合计仍占约90.08%，且芯片收入仅并表一个季度并混合IP及服务，不能全部算作芯片销售。数渡产品是PCIe高速互连交换芯片，并非执行AI训练推理的GPU或算力处理器，因此按真实互连属性列“芯片设计-存储主控与接口”，基于量产和收入已落地但占比较低定相关。旧“算力芯片”产品类型不准确，也不能继续以收购未落地为由摘除，本次予以纠正。</t>
        </is>
      </c>
      <c r="J72" s="7" t="inlineStr">
        <is>
          <t>北京万通新发展集团股份有限公司2025年年度报告</t>
        </is>
      </c>
      <c r="K72" s="7" t="inlineStr">
        <is>
          <t>2026-04-30</t>
        </is>
      </c>
      <c r="L72" s="8" t="inlineStr">
        <is>
          <t>iFinD ifind_get_stock_info + ifind_get_stock_business_segmentation (as of 2026-10-27)；北京万通新发展集团股份有限公司2025年年度报告</t>
        </is>
      </c>
      <c r="M72" s="9" t="inlineStr">
        <is>
          <t>https://static.cninfo.com.cn/finalpage/2026-04-30/1225264480.PDF</t>
        </is>
      </c>
    </row>
    <row r="73" ht="104" customHeight="1">
      <c r="B73" s="4" t="inlineStr">
        <is>
          <t>600360</t>
        </is>
      </c>
      <c r="C73" s="4" t="inlineStr">
        <is>
          <t>华微电子</t>
        </is>
      </c>
      <c r="D73" s="5" t="inlineStr">
        <is>
          <t>半导体：功率半导体</t>
        </is>
      </c>
      <c r="E73" s="4" t="inlineStr">
        <is>
          <t>纠错</t>
        </is>
      </c>
      <c r="F73" s="4" t="inlineStr">
        <is>
          <t>半导体</t>
        </is>
      </c>
      <c r="G73" s="5" t="inlineStr">
        <is>
          <t>芯片设计-功率半导体、晶圆制造与IDM</t>
        </is>
      </c>
      <c r="H73" s="4" t="inlineStr">
        <is>
          <t>核心</t>
        </is>
      </c>
      <c r="I73" s="5" t="inlineStr">
        <is>
          <t>公司真实业务覆盖功率半导体器件设计开发、芯片加工、封装测试和销售，产品包括功率分立器件及相关集成电路，属于设计制造一体化的IDM，而不是单纯Fabless芯片设计公司。2025年营业收入22.552446亿元，其中半导体器件收入21.984989亿元，占97.48%；商业、服务业和其他业务收入合计占比较小，半导体主业规模与纯度均支持核心定级。半导体器件是混合产品收入，不能进一步虚构IGBT、MOSFET或SiC各自收入，也不能把全部集成电路都归入功率器件。概念维持芯片设计-功率半导体和晶圆制造与IDM，初审约22.5487亿元的总收入更正为22.552446亿元，不扩张到半导体设备标签。</t>
        </is>
      </c>
      <c r="J73" s="4" t="inlineStr">
        <is>
          <t>吉林华微电子股份有限公司2025年年度报告</t>
        </is>
      </c>
      <c r="K73" s="4" t="inlineStr">
        <is>
          <t>2026-04-21</t>
        </is>
      </c>
      <c r="L73" s="5" t="inlineStr">
        <is>
          <t>iFinD ifind_get_stock_info + ifind_get_stock_business_segmentation (as of 2026-10-27)；吉林华微电子股份有限公司2025年年度报告</t>
        </is>
      </c>
      <c r="M73" s="6" t="inlineStr">
        <is>
          <t>https://static.cninfo.com.cn/finalpage/2026-04-21/1225133069.PDF</t>
        </is>
      </c>
    </row>
    <row r="74" ht="104" customHeight="1">
      <c r="B74" s="7" t="inlineStr">
        <is>
          <t>600460</t>
        </is>
      </c>
      <c r="C74" s="7" t="inlineStr">
        <is>
          <t>士兰微</t>
        </is>
      </c>
      <c r="D74" s="8" t="inlineStr">
        <is>
          <t>半导体：功率半导体</t>
        </is>
      </c>
      <c r="E74" s="7" t="inlineStr">
        <is>
          <t>纠错</t>
        </is>
      </c>
      <c r="F74" s="7" t="inlineStr">
        <is>
          <t>半导体</t>
        </is>
      </c>
      <c r="G74" s="8" t="inlineStr">
        <is>
          <t>芯片设计-功率半导体、晶圆制造与IDM</t>
        </is>
      </c>
      <c r="H74" s="7" t="inlineStr">
        <is>
          <t>核心</t>
        </is>
      </c>
      <c r="I74" s="8" t="inlineStr">
        <is>
          <t>公司真实业务覆盖硅基集成电路、分立器件以及SiC、GaN等化合物半导体器件的设计、制造和封装，拥有晶圆制造及封装产线，属于典型IDM；功率器件是重要组成，但不能概括全部集成电路和LED业务。2025年分立器件收入63.7942亿元，占总收入130.5157亿元的48.88%；集成电路49.2354亿元，占37.72%；发光二极管7.6522亿元，占5.86%，其他业务4.9463亿元。电子元器件分部占96.21%，设计制造主业规模明确，故列核心。各分部是宽口径，不能将全部分立器件或集成电路收入都认定为SiC功率产品。旧“功率半导体”忽略IDM属性且容易过窄，纠正并补充为“芯片设计-功率半导体”和“晶圆制造与IDM”，保留LED及集成电路收入不可混算的边界。</t>
        </is>
      </c>
      <c r="J74" s="7" t="inlineStr">
        <is>
          <t>杭州士兰微电子股份有限公司2025年年度报告</t>
        </is>
      </c>
      <c r="K74" s="7" t="inlineStr">
        <is>
          <t>2026-04-25</t>
        </is>
      </c>
      <c r="L74" s="8" t="inlineStr">
        <is>
          <t>iFinD ifind_get_stock_info + ifind_get_stock_business_segmentation (as of 2026-10-27)；杭州士兰微电子股份有限公司2025年年度报告</t>
        </is>
      </c>
      <c r="M74" s="9" t="inlineStr">
        <is>
          <t>https://static.cninfo.com.cn/finalpage/2026-04-25/1225189603.PDF</t>
        </is>
      </c>
    </row>
    <row r="75" ht="104" customHeight="1">
      <c r="B75" s="4" t="inlineStr">
        <is>
          <t>600520</t>
        </is>
      </c>
      <c r="C75" s="4" t="inlineStr">
        <is>
          <t>三佳科技</t>
        </is>
      </c>
      <c r="D75" s="5" t="inlineStr">
        <is>
          <t>半导体：半导体设备-封装设备</t>
        </is>
      </c>
      <c r="E75" s="4" t="inlineStr">
        <is>
          <t>纠错</t>
        </is>
      </c>
      <c r="F75" s="4" t="inlineStr">
        <is>
          <t>半导体</t>
        </is>
      </c>
      <c r="G75" s="5" t="inlineStr">
        <is>
          <t>半导体设备-封装设备</t>
        </is>
      </c>
      <c r="H75" s="4" t="inlineStr">
        <is>
          <t>核心</t>
        </is>
      </c>
      <c r="I75" s="5" t="inlineStr">
        <is>
          <t>公司真实产品包括半导体塑封压机、切筋成型系统、电子塑封模具、自动封装系统及精密备件，直接用于集成电路后道封装，不是泛指专用设备或仅提供模具的潜在外协企业。2025年半导体封装模具及设备行业收入3.0729亿元，占总收入约3.7852亿元的81.1829%；其中塑封压机1.5619亿元、T/F系统0.6511亿元、电子塑封模具0.5561亿元。塑料异型材模具收入0.2893亿元和其他业务必须排除在半导体口径之外。半导体封装设备及模具已形成占主导的规模收入，核心定级明确。旧“半导体设备-封装设备”与白名单同义但缺少产品和混合收入边界，本次规范保留该概念，并纠正把塑料模具等其他专用设备收入一并计入半导体设备的做法。</t>
        </is>
      </c>
      <c r="J75" s="4" t="inlineStr">
        <is>
          <t>铜陵三佳山田科技股份有限公司2025年年度报告</t>
        </is>
      </c>
      <c r="K75" s="4" t="inlineStr">
        <is>
          <t>2026-03-31</t>
        </is>
      </c>
      <c r="L75" s="5" t="inlineStr">
        <is>
          <t>iFinD ifind_get_stock_info + ifind_get_stock_business_segmentation (as of 2026-10-27)；铜陵三佳山田科技股份有限公司2025年年度报告</t>
        </is>
      </c>
      <c r="M75" s="6" t="inlineStr">
        <is>
          <t>https://static.cninfo.com.cn/finalpage/2026-03-31/1225054390.PDF</t>
        </is>
      </c>
    </row>
    <row r="76" ht="104" customHeight="1">
      <c r="B76" s="7" t="inlineStr">
        <is>
          <t>600584</t>
        </is>
      </c>
      <c r="C76" s="7" t="inlineStr">
        <is>
          <t>长电科技</t>
        </is>
      </c>
      <c r="D76" s="8" t="inlineStr">
        <is>
          <t>半导体：封测</t>
        </is>
      </c>
      <c r="E76" s="7" t="inlineStr">
        <is>
          <t>纠错</t>
        </is>
      </c>
      <c r="F76" s="7" t="inlineStr">
        <is>
          <t>半导体</t>
        </is>
      </c>
      <c r="G76" s="8" t="inlineStr">
        <is>
          <t>封装测试</t>
        </is>
      </c>
      <c r="H76" s="7" t="inlineStr">
        <is>
          <t>核心</t>
        </is>
      </c>
      <c r="I76" s="8" t="inlineStr">
        <is>
          <t>公司真实业务是为集成电路和分立器件提供封装设计、晶圆中测、芯片封装、成品测试、认证及配送等一站式芯片成品制造服务，涵盖传统封装和先进封装，并不等同于存储芯片设计或晶圆代工。2025年芯片封测收入387.1419亿元，占总收入388.7130亿元的99.5957%，其他业务收入仅1.5716亿元，封测是绝对主业且规模明确，核心定级没有歧义。芯片封测分部为综合口径，不能进一步把其中全部收入归入先进封装、HBM或存储封测，也不能依据下游应用想象追加算力芯片标签。旧“封测”方向正确但不符合白名单标准名称，纠正为“封装测试”，并明确公司的产业位置是封装测试代工服务，而非芯片产品设计、晶圆制造或存储模组销售。</t>
        </is>
      </c>
      <c r="J76" s="7" t="inlineStr">
        <is>
          <t>江苏长电科技股份有限公司2025年年度报告</t>
        </is>
      </c>
      <c r="K76" s="7" t="inlineStr">
        <is>
          <t>2026-04-10</t>
        </is>
      </c>
      <c r="L76" s="8" t="inlineStr">
        <is>
          <t>iFinD ifind_get_stock_info + ifind_get_stock_business_segmentation (as of 2026-10-27)；江苏长电科技股份有限公司2025年年度报告</t>
        </is>
      </c>
      <c r="M76" s="9" t="inlineStr">
        <is>
          <t>https://static.cninfo.com.cn/finalpage/2026-04-10/1225091498.PDF</t>
        </is>
      </c>
    </row>
    <row r="77" ht="104" customHeight="1">
      <c r="B77" s="4" t="inlineStr">
        <is>
          <t>600619</t>
        </is>
      </c>
      <c r="C77" s="4" t="inlineStr">
        <is>
          <t>海立股份</t>
        </is>
      </c>
      <c r="D77" s="5" t="inlineStr">
        <is>
          <t>半导体：半导体设备</t>
        </is>
      </c>
      <c r="E77" s="4" t="inlineStr">
        <is>
          <t>摘除</t>
        </is>
      </c>
      <c r="F77" s="4" t="inlineStr">
        <is>
          <t>—</t>
        </is>
      </c>
      <c r="G77" s="5" t="inlineStr">
        <is>
          <t>—</t>
        </is>
      </c>
      <c r="H77" s="4" t="inlineStr">
        <is>
          <t>摘除</t>
        </is>
      </c>
      <c r="I77" s="5" t="inlineStr">
        <is>
          <t>公司真实主业为冷暖关联解决方案及核心零部件、汽车零部件，具体产品是制冷转子式压缩机、制冷电机、铸件、汽车空调压缩机和新能源车热管理系统，不是光刻机、半导体工艺设备或设备专用零部件。2025年制冷设备收入134.6224亿元，占总收入204.9819亿元的65.68%；汽车零部件和贸易及房产租赁收入67.2501亿元，占32.81%，其他业务占1.52%。本次检索的2025年年报未出现半导体或光刻业务披露，也没有相关客户、订单和收入可核验。压缩机、电机等通用产品即使理论上可服务不同工业场景，也不能据此推导光刻机配套；股东或市场传闻同样不能替代上市公司真实业务。按通用业务和潜在用途不计入的规则，摘除旧“半导体设备”标签。</t>
        </is>
      </c>
      <c r="J77" s="4" t="inlineStr">
        <is>
          <t>上海海立（集团）股份有限公司2025年年度报告</t>
        </is>
      </c>
      <c r="K77" s="4" t="inlineStr">
        <is>
          <t>2026-04-08</t>
        </is>
      </c>
      <c r="L77" s="5" t="inlineStr">
        <is>
          <t>iFinD ifind_get_stock_info + ifind_get_stock_business_segmentation (as of 2026-10-27)；上海海立（集团）股份有限公司2025年年度报告</t>
        </is>
      </c>
      <c r="M77" s="6" t="inlineStr">
        <is>
          <t>https://static.cninfo.com.cn/finalpage/2026-04-08/1225082149.PDF</t>
        </is>
      </c>
    </row>
    <row r="78" ht="104" customHeight="1">
      <c r="B78" s="7" t="inlineStr">
        <is>
          <t>600641</t>
        </is>
      </c>
      <c r="C78" s="7" t="inlineStr">
        <is>
          <t>先导基电</t>
        </is>
      </c>
      <c r="D78" s="8" t="inlineStr">
        <is>
          <t>半导体：半导体设备-前道</t>
        </is>
      </c>
      <c r="E78" s="7" t="inlineStr">
        <is>
          <t>纠错</t>
        </is>
      </c>
      <c r="F78" s="7" t="inlineStr">
        <is>
          <t>半导体</t>
        </is>
      </c>
      <c r="G78" s="8" t="inlineStr">
        <is>
          <t>半导体设备-离子注入</t>
        </is>
      </c>
      <c r="H78" s="7" t="inlineStr">
        <is>
          <t>核心</t>
        </is>
      </c>
      <c r="I78" s="8" t="inlineStr">
        <is>
          <t>公司旗下凯世通真实研发、制造12英寸离子注入机，覆盖低能大束流、超低温、高能等机型，2025年交付十多台且验收超过15台，已从样机研发进入规模交付，不是依靠半导体产业基金或园区投资贴标签。2025年营业收入18.518218亿元，其中专用设备制造收入3.483104亿元，占18.81%；铋材料销售13.197759亿元，占71.27%，房产销售1.247720亿元，占6.74%。混合收入边界必须保留，铋材料、房产及服务收入不得并入半导体设备。离子注入设备已形成数亿元收入和实际客户验收，维持核心及半导体设备-离子注入概念；初审总收入18.5173亿元更正为18.518218亿元，交付与验收数字仅作年报事实复核，不伪装为iFinD字段。</t>
        </is>
      </c>
      <c r="J78" s="7" t="inlineStr">
        <is>
          <t>上海先导基电科技股份有限公司2025年年度报告（更正后）</t>
        </is>
      </c>
      <c r="K78" s="7" t="inlineStr">
        <is>
          <t>2026-08-01</t>
        </is>
      </c>
      <c r="L78" s="8" t="inlineStr">
        <is>
          <t>iFinD ifind_get_stock_info + ifind_get_stock_business_segmentation (as of 2026-10-27)；上海先导基电科技股份有限公司2025年年度报告（更正后）</t>
        </is>
      </c>
      <c r="M78" s="9" t="inlineStr">
        <is>
          <t>https://static.cninfo.com.cn/finalpage/2026-08-01/1225452105.PDF</t>
        </is>
      </c>
    </row>
    <row r="79" ht="104" customHeight="1">
      <c r="B79" s="4" t="inlineStr">
        <is>
          <t>600667</t>
        </is>
      </c>
      <c r="C79" s="4" t="inlineStr">
        <is>
          <t>太极实业</t>
        </is>
      </c>
      <c r="D79" s="5" t="inlineStr">
        <is>
          <t>半导体：半导体洁净室</t>
        </is>
      </c>
      <c r="E79" s="4" t="inlineStr">
        <is>
          <t>纠错</t>
        </is>
      </c>
      <c r="F79" s="4" t="inlineStr">
        <is>
          <t>半导体</t>
        </is>
      </c>
      <c r="G79" s="5" t="inlineStr">
        <is>
          <t>封装测试、洁净室与厂务工程</t>
        </is>
      </c>
      <c r="H79" s="4" t="inlineStr">
        <is>
          <t>相关</t>
        </is>
      </c>
      <c r="I79" s="5" t="inlineStr">
        <is>
          <t>公司真实业务同时包括半导体封装测试、模组和电子高科技工程技术服务，工程板块可承接洁净室及高科技厂务项目，但并非全部工程收入都服务半导体。2025年半导体分部收入46.4957亿元，占总收入约306.8171亿元的15.1542%，其中封装测试28.5393亿元、模组17.9563亿元；工程技术服务收入256.5475亿元，占83.6158%，还含工程总包、设计咨询及多类下游，光伏收入2.5022亿元另列。半导体收入真实且规模较大，但集团占比不高，洁净室半导体项目收入又未单独拆分，因此整体列相关而非核心。旧“半导体洁净室”遗漏已有封测主业且工程口径过宽，纠正为“封装测试”和“洁净室与厂务工程”，不把全部工程总包算作半导体。</t>
        </is>
      </c>
      <c r="J79" s="4" t="inlineStr">
        <is>
          <t>无锡市太极实业股份有限公司2025年年度报告</t>
        </is>
      </c>
      <c r="K79" s="4" t="inlineStr">
        <is>
          <t>2026-04-24</t>
        </is>
      </c>
      <c r="L79" s="5" t="inlineStr">
        <is>
          <t>iFinD ifind_get_stock_info + ifind_get_stock_business_segmentation (as of 2026-10-27)；无锡市太极实业股份有限公司2025年年度报告</t>
        </is>
      </c>
      <c r="M79" s="6" t="inlineStr">
        <is>
          <t>https://static.cninfo.com.cn/finalpage/2026-04-24/1225165957.PDF</t>
        </is>
      </c>
    </row>
    <row r="80" ht="104" customHeight="1">
      <c r="B80" s="7" t="inlineStr">
        <is>
          <t>600895</t>
        </is>
      </c>
      <c r="C80" s="7" t="inlineStr">
        <is>
          <t>张江高科</t>
        </is>
      </c>
      <c r="D80" s="8" t="inlineStr">
        <is>
          <t>半导体：半导体设备</t>
        </is>
      </c>
      <c r="E80" s="7" t="inlineStr">
        <is>
          <t>纠错</t>
        </is>
      </c>
      <c r="F80" s="7" t="inlineStr">
        <is>
          <t>半导体</t>
        </is>
      </c>
      <c r="G80" s="8" t="inlineStr">
        <is>
          <t>半导体股权与产业投资</t>
        </is>
      </c>
      <c r="H80" s="7" t="inlineStr">
        <is>
          <t>相关</t>
        </is>
      </c>
      <c r="I80" s="8" t="inlineStr">
        <is>
          <t>公司本体真实主营是科技园区空间载体开发运营、房产销售租赁和科技产业投资，通过直投及基金参与集成电路企业投资孵化；这种股权和基金敞口不等于上市公司自己研发、生产光刻机或其他半导体设备。2025年产业空间载体收入41.5952亿元，占分部口径99.4687%，其中房地产销售29.8951亿元、房产租赁11.7001亿元，其他业务和服务业占比很小，年报没有半导体设备产品销售收入。园区集聚大量集成电路企业、提供全产业链服务，也只能说明生态和投资关联，不能把入驻企业或被投企业业务转为公司主营。故仅按可核验的持股及基金投资列“半导体股权与产业投资”并定相关。旧“半导体设备”属于主体错配，必须纠正，且不得追加光刻机、设备整机或核心制造标签。</t>
        </is>
      </c>
      <c r="J80" s="7" t="inlineStr">
        <is>
          <t>上海张江高科技园区开发股份有限公司2025年年度报告</t>
        </is>
      </c>
      <c r="K80" s="7" t="inlineStr">
        <is>
          <t>2026-03-31</t>
        </is>
      </c>
      <c r="L80" s="8" t="inlineStr">
        <is>
          <t>iFinD ifind_get_stock_info + ifind_get_stock_business_segmentation (as of 2026-10-27)；上海张江高科技园区开发股份有限公司2025年年度报告</t>
        </is>
      </c>
      <c r="M80" s="9" t="inlineStr">
        <is>
          <t>https://static.cninfo.com.cn/finalpage/2026-03-31/1225060598.PDF</t>
        </is>
      </c>
    </row>
    <row r="81" ht="104" customHeight="1">
      <c r="B81" s="4" t="inlineStr">
        <is>
          <t>601133</t>
        </is>
      </c>
      <c r="C81" s="4" t="inlineStr">
        <is>
          <t>柏诚股份</t>
        </is>
      </c>
      <c r="D81" s="5" t="inlineStr">
        <is>
          <t>半导体：半导体洁净室</t>
        </is>
      </c>
      <c r="E81" s="4" t="inlineStr">
        <is>
          <t>纠错</t>
        </is>
      </c>
      <c r="F81" s="4" t="inlineStr">
        <is>
          <t>半导体</t>
        </is>
      </c>
      <c r="G81" s="5" t="inlineStr">
        <is>
          <t>洁净室与厂务工程</t>
        </is>
      </c>
      <c r="H81" s="4" t="inlineStr">
        <is>
          <t>核心</t>
        </is>
      </c>
      <c r="I81" s="5" t="inlineStr">
        <is>
          <t>公司真实业务是为高科技产业建厂和技改提供洁净室系统集成、机电工艺系统、二次配及运维服务，具备集成电路制造、晶圆制造、封装测试、半导体设备和材料等项目经验，属于厂务工程而非工艺设备制造。2025年半导体及泛半导体行业收入28.7202亿元，占总收入约41.3325亿元的69.4858%，已形成主要收入来源；新型显示收入5.3672亿元、其他电子3.5520亿元、食品药品大健康2.3138亿元应分别排除。还需注意“半导体及泛半导体”口径包含太阳能电池片等泛半导体项目，因此69.4858%是相关业务上限，不能全部视为纯集成电路收入。基于高占比和真实规模项目列核心。旧“半导体洁净室”按白名单规范为“洁净室与厂务工程”，同时保留泛半导体混合边界。</t>
        </is>
      </c>
      <c r="J81" s="4" t="inlineStr">
        <is>
          <t>柏诚系统科技股份有限公司2025年年度报告</t>
        </is>
      </c>
      <c r="K81" s="4" t="inlineStr">
        <is>
          <t>2026-04-22</t>
        </is>
      </c>
      <c r="L81" s="5" t="inlineStr">
        <is>
          <t>iFinD ifind_get_stock_info + ifind_get_stock_business_segmentation (as of 2026-10-27)；柏诚系统科技股份有限公司2025年年度报告</t>
        </is>
      </c>
      <c r="M81" s="6" t="inlineStr">
        <is>
          <t>https://static.cninfo.com.cn/finalpage/2026-04-22/1225139173.PDF</t>
        </is>
      </c>
    </row>
    <row r="82" ht="104" customHeight="1">
      <c r="B82" s="7" t="inlineStr">
        <is>
          <t>603061</t>
        </is>
      </c>
      <c r="C82" s="7" t="inlineStr">
        <is>
          <t>金海通</t>
        </is>
      </c>
      <c r="D82" s="8" t="inlineStr">
        <is>
          <t>半导体：半导体设备-测试设备</t>
        </is>
      </c>
      <c r="E82" s="7" t="inlineStr">
        <is>
          <t>纠错</t>
        </is>
      </c>
      <c r="F82" s="7" t="inlineStr">
        <is>
          <t>半导体</t>
        </is>
      </c>
      <c r="G82" s="8" t="inlineStr">
        <is>
          <t>半导体设备-测试机与分选机</t>
        </is>
      </c>
      <c r="H82" s="7" t="inlineStr">
        <is>
          <t>核心</t>
        </is>
      </c>
      <c r="I82" s="8" t="inlineStr">
        <is>
          <t>公司真实产品是EXCEED、SUMMIT、COLLIE等系列半导体芯片测试分选机，主要完成芯片测试后的自动分选、搬运和测试环境配套，属于后道测试专用设备，而非晶圆检测量测设备。2025年测试分选机收入6.3285亿元，占总收入约6.9820亿元的90.64%；备品备件收入0.6317亿元，占9.05%，半导体设备制造分部整体占99.6914%，其他业务仅0.0215亿元。测试分选机具有明确产品、绝对主业占比和规模收入，故列核心；备件虽与设备相关，也不能虚构为额外整机收入。旧“半导体设备-测试设备”范围过宽且不是白名单标准概念，纠正为“半导体设备-测试机与分选机”，不再使用容易与探针台、量检测设备混淆的笼统测试设备标签。</t>
        </is>
      </c>
      <c r="J82" s="7" t="inlineStr">
        <is>
          <t>天津金海通半导体设备股份有限公司2025年年度报告</t>
        </is>
      </c>
      <c r="K82" s="7" t="inlineStr">
        <is>
          <t>2026-03-11</t>
        </is>
      </c>
      <c r="L82" s="8" t="inlineStr">
        <is>
          <t>iFinD ifind_get_stock_info + ifind_get_stock_business_segmentation (as of 2026-10-27)；天津金海通半导体设备股份有限公司2025年年度报告</t>
        </is>
      </c>
      <c r="M82" s="9" t="inlineStr">
        <is>
          <t>https://static.cninfo.com.cn/finalpage/2026-03-11/1225004246.PDF</t>
        </is>
      </c>
    </row>
    <row r="83" ht="104" customHeight="1">
      <c r="B83" s="4" t="inlineStr">
        <is>
          <t>603068</t>
        </is>
      </c>
      <c r="C83" s="4" t="inlineStr">
        <is>
          <t>博通集成</t>
        </is>
      </c>
      <c r="D83" s="5" t="inlineStr">
        <is>
          <t>半导体：端侧AI芯片、端侧ai芯片</t>
        </is>
      </c>
      <c r="E83" s="4" t="inlineStr">
        <is>
          <t>纠错</t>
        </is>
      </c>
      <c r="F83" s="4" t="inlineStr">
        <is>
          <t>半导体</t>
        </is>
      </c>
      <c r="G83" s="5" t="inlineStr">
        <is>
          <t>芯片设计-射频与通信芯片</t>
        </is>
      </c>
      <c r="H83" s="4" t="inlineStr">
        <is>
          <t>核心</t>
        </is>
      </c>
      <c r="I83" s="5" t="inlineStr">
        <is>
          <t>公司真实主营是Fabless无线通讯集成电路芯片研发与销售，产品包括Wi-Fi、蓝牙数传、5.8GHz、ETC、通用无线和无线音频芯片，并提供集成MCU的无线连接SoC；其本质是无线射频与通信芯片，不是独立的AI训练或通用端侧算力芯片企业。2025年集成电路产品收入9.1785亿元，占100%，其中无线数传类7.5088亿元、占81.81%，无线音频类1.6696亿元、占18.19%，芯片设计主业明确，故由旧相关提升为核心。年报虽披露围绕端侧AI场景加强方案落地，但没有单列端侧AI芯片收入，不能把全部无线芯片改算为AI芯片。旧两个“端侧AI芯片”标签存在重复、大小写不一和产品类型泛化，统一纠正为“芯片设计-射频与通信芯片”，并保留AI场景不等于独立收入的边界。</t>
        </is>
      </c>
      <c r="J83" s="4" t="inlineStr">
        <is>
          <t>博通集成电路（上海）股份有限公司2025年年度报告</t>
        </is>
      </c>
      <c r="K83" s="4" t="inlineStr">
        <is>
          <t>2026-04-29</t>
        </is>
      </c>
      <c r="L83" s="5" t="inlineStr">
        <is>
          <t>iFinD ifind_get_stock_info + ifind_get_stock_business_segmentation (as of 2026-10-27)；博通集成电路（上海）股份有限公司2025年年度报告</t>
        </is>
      </c>
      <c r="M83" s="6" t="inlineStr">
        <is>
          <t>https://static.cninfo.com.cn/finalpage/2026-04-29/1225245969.PDF</t>
        </is>
      </c>
    </row>
    <row r="84" ht="104" customHeight="1">
      <c r="B84" s="7" t="inlineStr">
        <is>
          <t>603078</t>
        </is>
      </c>
      <c r="C84" s="7" t="inlineStr">
        <is>
          <t>江化微</t>
        </is>
      </c>
      <c r="D84" s="8" t="inlineStr">
        <is>
          <t>半导体：半导体材料</t>
        </is>
      </c>
      <c r="E84" s="7" t="inlineStr">
        <is>
          <t>纠错</t>
        </is>
      </c>
      <c r="F84" s="7" t="inlineStr">
        <is>
          <t>半导体</t>
        </is>
      </c>
      <c r="G84" s="8" t="inlineStr">
        <is>
          <t>半导体材料-电子特气与湿化学品、半导体材料-光刻胶与配套试剂</t>
        </is>
      </c>
      <c r="H84" s="7" t="inlineStr">
        <is>
          <t>核心</t>
        </is>
      </c>
      <c r="I84" s="8" t="inlineStr">
        <is>
          <t>公司真实产品是超净高纯试剂和光刻胶配套试剂等湿电子化学品，直接用于半导体、显示面板和太阳能电池的清洗、蚀刻、显影及剥离等工艺；公司并非仅因“光刻胶”题材而拥有半导体材料业务。2025年半导体芯片下游收入7.1081亿元，占总收入约12.3384亿元的57.6093%，已超过半数；显示面板收入4.5528亿元、太阳能0.4412亿元应分开。按产品看，超净高纯试剂7.7512亿元、光刻胶配套试剂4.3508亿元，两者是跨下游混合口径，不能全部算作半导体收入。半导体下游规模与占比均支持核心定级。旧“半导体材料”过宽，按产品实质纠正为“电子特气与湿化学品”和“光刻胶与配套试剂”，不额外宣称公司生产独立光刻胶成品。</t>
        </is>
      </c>
      <c r="J84" s="7" t="inlineStr">
        <is>
          <t>江阴江化微电子材料股份有限公司2025年年度报告</t>
        </is>
      </c>
      <c r="K84" s="7" t="inlineStr">
        <is>
          <t>2026-04-25</t>
        </is>
      </c>
      <c r="L84" s="8" t="inlineStr">
        <is>
          <t>iFinD ifind_get_stock_info + ifind_get_stock_business_segmentation (as of 2026-10-27)；江阴江化微电子材料股份有限公司2025年年度报告</t>
        </is>
      </c>
      <c r="M84" s="9" t="inlineStr">
        <is>
          <t>https://static.cninfo.com.cn/finalpage/2026-04-25/1225176561.PDF</t>
        </is>
      </c>
    </row>
    <row r="85" ht="104" customHeight="1">
      <c r="B85" s="4" t="inlineStr">
        <is>
          <t>603163</t>
        </is>
      </c>
      <c r="C85" s="4" t="inlineStr">
        <is>
          <t>圣晖集成</t>
        </is>
      </c>
      <c r="D85" s="5" t="inlineStr">
        <is>
          <t>半导体：半导体洁净室</t>
        </is>
      </c>
      <c r="E85" s="4" t="inlineStr">
        <is>
          <t>纠错</t>
        </is>
      </c>
      <c r="F85" s="4" t="inlineStr">
        <is>
          <t>半导体</t>
        </is>
      </c>
      <c r="G85" s="5" t="inlineStr">
        <is>
          <t>洁净室与厂务工程</t>
        </is>
      </c>
      <c r="H85" s="4" t="inlineStr">
        <is>
          <t>核心</t>
        </is>
      </c>
      <c r="I85" s="5" t="inlineStr">
        <is>
          <t>公司真实主营是洁净室系统集成工程，覆盖设计、采购、施工和维护，并配套机电安装及二次配工程，为IC半导体、精密制造、PCB、光电和生技医疗等客户提供生产环境，并不制造半导体工艺设备。2025年IC半导体行业收入17.8366亿元，占总收入约29.8850亿元的59.6839%，是最大下游且已形成规模项目收入；精密制造收入10.1337亿元、其他行业1.4322亿元、光电0.4540亿元，不能混入半导体口径。按产品披露的系统集成16.8909亿元、其他机电安装9.6734亿元和二次配2.6517亿元则是跨行业口径，也不能全部归入IC半导体。基于IC半导体收入占比接近六成且工程经验真实，列核心。旧“半导体洁净室”规范为“洁净室与厂务工程”，并保留下游与产品两种分部不可混算的边界。</t>
        </is>
      </c>
      <c r="J85" s="4" t="inlineStr">
        <is>
          <t>圣晖系统集成集团股份有限公司2025年年度报告</t>
        </is>
      </c>
      <c r="K85" s="4" t="inlineStr">
        <is>
          <t>2026-03-28</t>
        </is>
      </c>
      <c r="L85" s="5" t="inlineStr">
        <is>
          <t>iFinD ifind_get_stock_info + ifind_get_stock_business_segmentation (as of 2026-10-27)；圣晖系统集成集团股份有限公司2025年年度报告</t>
        </is>
      </c>
      <c r="M85" s="6" t="inlineStr">
        <is>
          <t>https://static.cninfo.com.cn/finalpage/2026-03-28/1225048509.PDF</t>
        </is>
      </c>
    </row>
    <row r="86" ht="104" customHeight="1">
      <c r="B86" s="7" t="inlineStr">
        <is>
          <t>603236</t>
        </is>
      </c>
      <c r="C86" s="7" t="inlineStr">
        <is>
          <t>移远通信</t>
        </is>
      </c>
      <c r="D86" s="8" t="inlineStr">
        <is>
          <t>半导体：端侧ai芯片</t>
        </is>
      </c>
      <c r="E86" s="7" t="inlineStr">
        <is>
          <t>摘除</t>
        </is>
      </c>
      <c r="F86" s="7" t="inlineStr">
        <is>
          <t>—</t>
        </is>
      </c>
      <c r="G86" s="8" t="inlineStr">
        <is>
          <t>—</t>
        </is>
      </c>
      <c r="H86" s="7" t="inlineStr">
        <is>
          <t>摘除</t>
        </is>
      </c>
      <c r="I86" s="8" t="inlineStr">
        <is>
          <t>公司真实产品是蜂窝通信、车载、智能、短距、GNSS、卫星等无线通信模组以及天线，模组内可以集成处理器或人工智能算力，但这不等于公司自行设计并销售端侧人工智能芯片。2025年营业收入243.2647亿元，其中模组及天线收入240.0970亿元，占98.70%，该口径覆盖各类模组与天线，不能把其中集成第三方芯片或具备边缘计算能力的产品拆成自有芯片收入，年报也未给出可辨认的端侧芯片独立收入。因此旧“端侧ai芯片”及核心定级均属于把下游模组误标成上游芯片设计，应摘除半导体标签；本次仅纠正半导体分类，不处理其物理AI通信模组标签。</t>
        </is>
      </c>
      <c r="J86" s="7" t="inlineStr">
        <is>
          <t>移远通信2025年年度报告</t>
        </is>
      </c>
      <c r="K86" s="7" t="inlineStr">
        <is>
          <t>2026-04-24</t>
        </is>
      </c>
      <c r="L86" s="8" t="inlineStr">
        <is>
          <t>iFinD ifind_get_stock_info + ifind_get_stock_business_segmentation (as of 2026-10-27)；移远通信2025年年度报告</t>
        </is>
      </c>
      <c r="M86" s="9" t="inlineStr">
        <is>
          <t>http://money.finance.sina.com.cn/corp/view/vCB_AllBulletinDetail.php?stockid=603236&amp;id=12160154</t>
        </is>
      </c>
    </row>
    <row r="87" ht="104" customHeight="1">
      <c r="B87" s="4" t="inlineStr">
        <is>
          <t>603260</t>
        </is>
      </c>
      <c r="C87" s="4" t="inlineStr">
        <is>
          <t>合盛硅业</t>
        </is>
      </c>
      <c r="D87" s="5" t="inlineStr">
        <is>
          <t>半导体：半导体材料</t>
        </is>
      </c>
      <c r="E87" s="4" t="inlineStr">
        <is>
          <t>纠错</t>
        </is>
      </c>
      <c r="F87" s="4" t="inlineStr">
        <is>
          <t>半导体</t>
        </is>
      </c>
      <c r="G87" s="5" t="inlineStr">
        <is>
          <t>半导体材料-其他关键材料</t>
        </is>
      </c>
      <c r="H87" s="4" t="inlineStr">
        <is>
          <t>相关</t>
        </is>
      </c>
      <c r="I87" s="5" t="inlineStr">
        <is>
          <t>公司收入主体仍是工业硅、有机硅及其他硅基材料，但2025年年报明确披露6英寸、8英寸碳化硅衬底已全面量产，并布局高纯导电型及半绝缘型碳化硅粉料，证明其已有直接半导体材料产品，而非仅按工业硅潜在下游用途推演。2025年营业收入204.985454亿元，其中工业硅收入90.769939亿元，占44.28%；有机硅收入95.746374亿元，占46.71%；其他业务收入18.469141亿元，占9.01%。上述传统分部均不能算作半导体收入，碳化硅衬底及粉料收入也未单独披露，故不升核心。建议由摘除恢复为相关，概念改为半导体材料-其他关键材料，以真实碳化硅产品为依据，不再仅以工业硅上游潜在用途作为理由。</t>
        </is>
      </c>
      <c r="J87" s="4" t="inlineStr">
        <is>
          <t>合盛硅业股份有限公司2025年年度报告</t>
        </is>
      </c>
      <c r="K87" s="4" t="inlineStr">
        <is>
          <t>2026-04-17</t>
        </is>
      </c>
      <c r="L87" s="5" t="inlineStr">
        <is>
          <t>iFinD ifind_get_stock_info + ifind_get_stock_business_segmentation (as of 2026-10-27)；合盛硅业股份有限公司2025年年度报告</t>
        </is>
      </c>
      <c r="M87" s="6" t="inlineStr">
        <is>
          <t>http://file.finance.sina.com.cn/211.154.219.97:9494/MRGG/CNSESH_STOCK/2026/2026-4/2026-04-17/12102517.PDF</t>
        </is>
      </c>
    </row>
    <row r="88" ht="104" customHeight="1">
      <c r="B88" s="7" t="inlineStr">
        <is>
          <t>603283</t>
        </is>
      </c>
      <c r="C88" s="7" t="inlineStr">
        <is>
          <t>赛腾股份</t>
        </is>
      </c>
      <c r="D88" s="8" t="inlineStr">
        <is>
          <t>半导体：半导体设备-HBM检测</t>
        </is>
      </c>
      <c r="E88" s="7" t="inlineStr">
        <is>
          <t>纠错</t>
        </is>
      </c>
      <c r="F88" s="7" t="inlineStr">
        <is>
          <t>半导体</t>
        </is>
      </c>
      <c r="G88" s="8" t="inlineStr">
        <is>
          <t>半导体设备-量测与检测</t>
        </is>
      </c>
      <c r="H88" s="7" t="inlineStr">
        <is>
          <t>相关</t>
        </is>
      </c>
      <c r="I88" s="8" t="inlineStr">
        <is>
          <t>公司真实业务是智能制造装备，半导体板块具有晶圆及存储相关检测设备，并包括HBM检测应用，属于已有实际产品和行业收入的量测检测设备，而非仅凭存储概念映射。2025年营业收入33.8571亿元，其中半导体行业收入6.0406亿元、占17.84%，消费电子行业收入26.2358亿元、占77.49%；半导体口径还可能包含检测以外的自动化装备，不能全部算作HBM检测，年报亦未将HBM设备收入单独拆分。由于半导体收入真实存在但不是收入主导，维持相关而非升为核心；旧“半导体设备-HBM检测”范围过窄且不是白名单标准名，现纠正为“半导体设备-量测与检测”，不把消费电子装备混入半导体。</t>
        </is>
      </c>
      <c r="J88" s="7" t="inlineStr">
        <is>
          <t>赛腾股份2025年年度报告</t>
        </is>
      </c>
      <c r="K88" s="7" t="inlineStr">
        <is>
          <t>2026-04-28</t>
        </is>
      </c>
      <c r="L88" s="8" t="inlineStr">
        <is>
          <t>iFinD ifind_get_stock_info + ifind_get_stock_business_segmentation (as of 2026-10-27)；赛腾股份2025年年度报告</t>
        </is>
      </c>
      <c r="M88" s="9" t="inlineStr">
        <is>
          <t>http://file.finance.sina.com.cn/211.154.219.97:9494/MRGG/CNSESH_STOCK/2026/2026-4/2026-04-28/12212858.PDF</t>
        </is>
      </c>
    </row>
    <row r="89" ht="104" customHeight="1">
      <c r="B89" s="4" t="inlineStr">
        <is>
          <t>603290</t>
        </is>
      </c>
      <c r="C89" s="4" t="inlineStr">
        <is>
          <t>斯达半导</t>
        </is>
      </c>
      <c r="D89" s="5" t="inlineStr">
        <is>
          <t>半导体：功率半导体</t>
        </is>
      </c>
      <c r="E89" s="4" t="inlineStr">
        <is>
          <t>纠错</t>
        </is>
      </c>
      <c r="F89" s="4" t="inlineStr">
        <is>
          <t>半导体</t>
        </is>
      </c>
      <c r="G89" s="5" t="inlineStr">
        <is>
          <t>芯片设计-功率半导体</t>
        </is>
      </c>
      <c r="H89" s="4" t="inlineStr">
        <is>
          <t>核心</t>
        </is>
      </c>
      <c r="I89" s="5" t="inlineStr">
        <is>
          <t>公司真实产品是IGBT、SiC等功率半导体芯片和模块，覆盖新能源汽车、工业控制、新能源发电等应用，功率器件设计、制造与模块销售构成持续规模化主营，而不是对第三方功率器件的简单贸易或下游整机延伸。2025年营业收入40.1240亿元，其中功率半导体收入40.0686亿元、占99.86%，IGBT模块收入33.5322亿元、占83.57%；SiC等其他产品与IGBT模块存在口径层级差异，不能在IGBT模块之外重复累加，也不能把全部下游应用收入算作公司半导体收入。主营和收入占比均支持核心定级，旧“功率半导体”含义正确但不是白名单完整名称，现规范为“芯片设计-功率半导体”，不改变其核心属性。</t>
        </is>
      </c>
      <c r="J89" s="4" t="inlineStr">
        <is>
          <t>斯达半导2025年年度报告</t>
        </is>
      </c>
      <c r="K89" s="4" t="inlineStr">
        <is>
          <t>2026-04-30</t>
        </is>
      </c>
      <c r="L89" s="5" t="inlineStr">
        <is>
          <t>iFinD ifind_get_stock_info + ifind_get_stock_business_segmentation (as of 2026-10-27)；斯达半导2025年年度报告</t>
        </is>
      </c>
      <c r="M89" s="6" t="inlineStr">
        <is>
          <t>http://static.cninfo.com.cn/finalpage/2026-04-30/1225264305.PDF</t>
        </is>
      </c>
    </row>
    <row r="90" ht="104" customHeight="1">
      <c r="B90" s="7" t="inlineStr">
        <is>
          <t>603324</t>
        </is>
      </c>
      <c r="C90" s="7" t="inlineStr">
        <is>
          <t>盛剑科技</t>
        </is>
      </c>
      <c r="D90" s="8" t="inlineStr">
        <is>
          <t>半导体：半导体设备</t>
        </is>
      </c>
      <c r="E90" s="7" t="inlineStr">
        <is>
          <t>纠错</t>
        </is>
      </c>
      <c r="F90" s="7" t="inlineStr">
        <is>
          <t>半导体</t>
        </is>
      </c>
      <c r="G90" s="8" t="inlineStr">
        <is>
          <t>半导体设备-洁净与厂务设备</t>
        </is>
      </c>
      <c r="H90" s="7" t="inlineStr">
        <is>
          <t>核心</t>
        </is>
      </c>
      <c r="I90" s="8" t="inlineStr">
        <is>
          <t>公司真实产品包括半导体制程工艺废气治理、化学品供应与回收等绿色厂务系统，以及相关装备和核心零部件，直接服务晶圆制造等高科技厂房，不是泛环保设备，也不是刻蚀、沉积等晶圆工艺主机。2025年营业收入11.2563亿元，其中集成电路行业收入6.6959亿元、占59.49%，半导体显示收入4.2300亿元、占37.58%；按产品列示的绿色厂务收入7.6480亿元、设备及零部件3.0896亿元、电子化学品0.4949亿元，这些不同维度不可交叉相加，也不能把显示行业收入全部算作集成电路。集成电路已成为最大行业收入来源，故由相关上调为核心；旧泛称“半导体设备”纠正为“半导体设备-洁净与厂务设备”，不扩成前道工艺设备。</t>
        </is>
      </c>
      <c r="J90" s="7" t="inlineStr">
        <is>
          <t>盛剑科技2025年年度报告</t>
        </is>
      </c>
      <c r="K90" s="7" t="inlineStr">
        <is>
          <t>2026-04-23</t>
        </is>
      </c>
      <c r="L90" s="8" t="inlineStr">
        <is>
          <t>iFinD ifind_get_stock_info + ifind_get_stock_business_segmentation (as of 2026-10-27)；盛剑科技2025年年度报告</t>
        </is>
      </c>
      <c r="M90" s="9" t="inlineStr">
        <is>
          <t>https://money.finance.sina.com.cn/corp/view/vCB_AllBulletinDetail.php?stockid=603324&amp;id=12147546</t>
        </is>
      </c>
    </row>
    <row r="91" ht="104" customHeight="1">
      <c r="B91" s="4" t="inlineStr">
        <is>
          <t>603601</t>
        </is>
      </c>
      <c r="C91" s="4" t="inlineStr">
        <is>
          <t>再升科技</t>
        </is>
      </c>
      <c r="D91" s="5" t="inlineStr">
        <is>
          <t>半导体：半导体洁净室、半导体设备</t>
        </is>
      </c>
      <c r="E91" s="4" t="inlineStr">
        <is>
          <t>纠错</t>
        </is>
      </c>
      <c r="F91" s="4" t="inlineStr">
        <is>
          <t>半导体</t>
        </is>
      </c>
      <c r="G91" s="5" t="inlineStr">
        <is>
          <t>半导体设备-洁净与厂务设备</t>
        </is>
      </c>
      <c r="H91" s="4" t="inlineStr">
        <is>
          <t>相关</t>
        </is>
      </c>
      <c r="I91" s="5" t="inlineStr">
        <is>
          <t>公司真实产品是微纤维玻璃棉衍生的干净空气材料、无尘空调和高效节能材料，高效过滤材料及净化设备可以服务半导体洁净环境，但其应用还覆盖医疗、公共建筑、工业和航空等领域，不能把所有滤材收入都归入半导体，也不能据此认定公司从事洁净室总包工程或晶圆制造工艺设备。2025年营业收入12.7451亿元，其中干净空气材料4.3641亿元、占34.24%，无尘空调1.4377亿元、占11.28%，高效节能材料6.7058亿元、占52.61%；半导体应用收入未独立拆分，上述三项也不是可重复相加的半导体专属口径。因此仅维持相关，旧“半导体洁净室”和泛“半导体设备”统一纠正为“半导体设备-洁净与厂务设备”，明确其边界是净化材料及厂务配套，而非工程总包或前道设备。</t>
        </is>
      </c>
      <c r="J91" s="4" t="inlineStr">
        <is>
          <t>再升科技2025年年度报告</t>
        </is>
      </c>
      <c r="K91" s="4" t="inlineStr">
        <is>
          <t>2026-04-23</t>
        </is>
      </c>
      <c r="L91" s="5" t="inlineStr">
        <is>
          <t>iFinD ifind_get_stock_info + ifind_get_stock_business_segmentation (as of 2026-10-27)；再升科技2025年年度报告</t>
        </is>
      </c>
      <c r="M91" s="6" t="inlineStr">
        <is>
          <t>https://vip.stock.finance.sina.com.cn/corp/view/vCB_AllBulletinDetail.php?stockid=603601&amp;id=12151590</t>
        </is>
      </c>
    </row>
    <row r="92" ht="104" customHeight="1">
      <c r="B92" s="7" t="inlineStr">
        <is>
          <t>603650</t>
        </is>
      </c>
      <c r="C92" s="7" t="inlineStr">
        <is>
          <t>彤程新材</t>
        </is>
      </c>
      <c r="D92" s="8" t="inlineStr">
        <is>
          <t>半导体：半导体材料</t>
        </is>
      </c>
      <c r="E92" s="7" t="inlineStr">
        <is>
          <t>纠错</t>
        </is>
      </c>
      <c r="F92" s="7" t="inlineStr">
        <is>
          <t>半导体</t>
        </is>
      </c>
      <c r="G92" s="8" t="inlineStr">
        <is>
          <t>半导体材料-光刻胶与配套试剂、半导体材料-CMP材料</t>
        </is>
      </c>
      <c r="H92" s="7" t="inlineStr">
        <is>
          <t>相关</t>
        </is>
      </c>
      <c r="I92" s="8" t="inlineStr">
        <is>
          <t>公司真实半导体相关产品包括光刻胶、电子级溶剂与EBR等配套试剂，以及CMP抛光垫等材料，已形成电子材料业务，而非仅凭橡胶化学品向晶圆厂作潜在用途推演。2025年营业收入34.2881亿元，其中电子材料行业收入9.8562亿元、占28.75%，自产电子材料收入9.2153亿元、占26.88%，橡胶助剂收入23.2041亿元、占67.67%；电子材料还包含显示等其他下游，自产与行业口径存在包含关系，均不能全部视为半导体光刻胶或CMP收入，具体半导体品类收入亦未完全独立拆分。由于材料业务真实但橡胶助剂仍占主导，维持相关而非核心；旧泛“半导体材料”细化纠正为“半导体材料-光刻胶与配套试剂”和“半导体材料-CMP材料”，不将其他电子材料混入。</t>
        </is>
      </c>
      <c r="J92" s="7" t="inlineStr">
        <is>
          <t>彤程新材2025年年度报告</t>
        </is>
      </c>
      <c r="K92" s="7" t="inlineStr">
        <is>
          <t>2026-04-18</t>
        </is>
      </c>
      <c r="L92" s="8" t="inlineStr">
        <is>
          <t>iFinD ifind_get_stock_info + ifind_get_stock_business_segmentation (as of 2026-10-27)；彤程新材2025年年度报告</t>
        </is>
      </c>
      <c r="M92" s="9" t="inlineStr">
        <is>
          <t>https://money.finance.sina.com.cn/corp/view/vCB_AllBulletinDetail.php?stockid=603650&amp;id=12105222</t>
        </is>
      </c>
    </row>
    <row r="93" ht="104" customHeight="1">
      <c r="B93" s="4" t="inlineStr">
        <is>
          <t>603690</t>
        </is>
      </c>
      <c r="C93" s="4" t="inlineStr">
        <is>
          <t>至纯科技</t>
        </is>
      </c>
      <c r="D93" s="5" t="inlineStr">
        <is>
          <t>半导体：半导体设备-前道</t>
        </is>
      </c>
      <c r="E93" s="4" t="inlineStr">
        <is>
          <t>纠错</t>
        </is>
      </c>
      <c r="F93" s="4" t="inlineStr">
        <is>
          <t>半导体</t>
        </is>
      </c>
      <c r="G93" s="5" t="inlineStr">
        <is>
          <t>半导体设备-清洗、半导体设备-洁净与厂务设备</t>
        </is>
      </c>
      <c r="H93" s="4" t="inlineStr">
        <is>
          <t>核心</t>
        </is>
      </c>
      <c r="I93" s="5" t="inlineStr">
        <is>
          <t>公司真实业务由湿法清洗等半导体制程设备、高纯工艺系统与厂务系统集成、电子材料及服务构成，其中清洗机台直接用于晶圆湿法处理，高纯化学品和气体供应系统则属于洁净厂务边界，两者不能混称同一种前道主机。2025年营业收入28.5456亿元，其中泛半导体行业收入26.4356亿元、占92.61%；系统集成收入22.9336亿元、占80.34%，半导体设备收入2.8570亿元、占10.01%，电子材料收入2.6887亿元、占9.42%。泛半导体仍可能含显示等下游，不能全部等同于集成电路；各产品收入也不能重复归入湿法设备。泛半导体业务已占绝对主导，维持核心；旧“半导体设备-前道”过宽，现细化为“半导体设备-清洗”和“半导体设备-洁净与厂务设备”。</t>
        </is>
      </c>
      <c r="J93" s="4" t="inlineStr">
        <is>
          <t>至纯科技2025年年度报告</t>
        </is>
      </c>
      <c r="K93" s="4" t="inlineStr">
        <is>
          <t>2026-04-30</t>
        </is>
      </c>
      <c r="L93" s="5" t="inlineStr">
        <is>
          <t>iFinD ifind_get_stock_info + ifind_get_stock_business_segmentation (as of 2026-10-27)；至纯科技2025年年度报告</t>
        </is>
      </c>
      <c r="M93" s="6" t="inlineStr">
        <is>
          <t>https://static.cninfo.com.cn/finalpage/2026-04-30/1225267363.PDF</t>
        </is>
      </c>
    </row>
    <row r="94" ht="104" customHeight="1">
      <c r="B94" s="7" t="inlineStr">
        <is>
          <t>603893</t>
        </is>
      </c>
      <c r="C94" s="7" t="inlineStr">
        <is>
          <t>瑞芯微</t>
        </is>
      </c>
      <c r="D94" s="8" t="inlineStr">
        <is>
          <t>半导体：端侧AI芯片</t>
        </is>
      </c>
      <c r="E94" s="7" t="inlineStr">
        <is>
          <t>纠错</t>
        </is>
      </c>
      <c r="F94" s="7" t="inlineStr">
        <is>
          <t>半导体</t>
        </is>
      </c>
      <c r="G94" s="8" t="inlineStr">
        <is>
          <t>芯片设计-SoC与端侧AI</t>
        </is>
      </c>
      <c r="H94" s="7" t="inlineStr">
        <is>
          <t>核心</t>
        </is>
      </c>
      <c r="I94" s="8" t="inlineStr">
        <is>
          <t>公司真实产品是智能应用处理器SoC及数模混合等配套芯片，SoC集成中央处理、图形、多媒体及不同规格的人工智能加速能力，广泛进入智能硬件和物联网终端，属于自主芯片设计收入，而不是采购芯片后销售通用模组。2025年营业收入44.0209亿元，其中集成电路行业收入44.0138亿元、占99.98%，智能应用处理器收入39.2714亿元、占89.21%，数模混合芯片收入3.6034亿元、占8.19%；应用处理器具备端侧AI能力并不意味着其全部销售额都可单独拆成AI收入，配套芯片也不能重复归入SoC。集成电路与主产品均构成规模化绝对主营，维持核心；旧“端侧AI芯片”范围偏窄且非标准名，现纠正为“芯片设计-SoC与端侧AI”。</t>
        </is>
      </c>
      <c r="J94" s="7" t="inlineStr">
        <is>
          <t>瑞芯微2025年年度报告</t>
        </is>
      </c>
      <c r="K94" s="7" t="inlineStr">
        <is>
          <t>2026-04-15</t>
        </is>
      </c>
      <c r="L94" s="8" t="inlineStr">
        <is>
          <t>iFinD ifind_get_stock_info + ifind_get_stock_business_segmentation (as of 2026-10-27)；瑞芯微2025年年度报告</t>
        </is>
      </c>
      <c r="M94" s="9" t="inlineStr">
        <is>
          <t>https://stockmc.xueqiu.com/202604/603893_20260415_5VW5.pdf</t>
        </is>
      </c>
    </row>
    <row r="95" ht="104" customHeight="1">
      <c r="B95" s="4" t="inlineStr">
        <is>
          <t>603929</t>
        </is>
      </c>
      <c r="C95" s="4" t="inlineStr">
        <is>
          <t>亚翔集成</t>
        </is>
      </c>
      <c r="D95" s="5" t="inlineStr">
        <is>
          <t>半导体：半导体洁净室</t>
        </is>
      </c>
      <c r="E95" s="4" t="inlineStr">
        <is>
          <t>纠错</t>
        </is>
      </c>
      <c r="F95" s="4" t="inlineStr">
        <is>
          <t>半导体</t>
        </is>
      </c>
      <c r="G95" s="5" t="inlineStr">
        <is>
          <t>洁净室与厂务工程</t>
        </is>
      </c>
      <c r="H95" s="4" t="inlineStr">
        <is>
          <t>核心</t>
        </is>
      </c>
      <c r="I95" s="5" t="inlineStr">
        <is>
          <t>公司真实业务是面向IC半导体、光电等高科技电子厂房的洁净室、机电和建筑系统集成，具备洁净厂房规划设计、环境控制、设备配置及维护等项目能力，属于厂务工程实施方，不是洁净材料生产商或晶圆工艺设备商。2025年营业收入49.065358亿元；主营业务分行业合计48.718485亿元，其中电子行业收入48.165642亿元，占主营业务收入98.87%，其他行业收入0.552844亿元；另有其他业务收入0.346872亿元。按产品看，工程施工收入47.466946亿元，占营业收入96.74%，设备销售收入1.251540亿元，占2.55%。电子行业还包括光电等项目，不能全部拆成半导体收入，主营业务与营业收入分母也不得混用。电子高科技厂务工程构成绝对主营且公司具有半导体项目经验，维持核心和洁净室与厂务工程概念；初审约48.5118亿元及工程施工占97.85%的口径表述予以更正。</t>
        </is>
      </c>
      <c r="J95" s="4" t="inlineStr">
        <is>
          <t>亚翔系统集成科技（苏州）股份有限公司2025年年度报告</t>
        </is>
      </c>
      <c r="K95" s="4" t="inlineStr">
        <is>
          <t>2026-03-13</t>
        </is>
      </c>
      <c r="L95" s="5" t="inlineStr">
        <is>
          <t>iFinD ifind_get_stock_info + ifind_get_stock_business_segmentation (as of 2026-10-27)；亚翔系统集成科技（苏州）股份有限公司2025年年度报告</t>
        </is>
      </c>
      <c r="M95" s="6" t="inlineStr">
        <is>
          <t>http://money.finance.sina.com.cn/corp/view/vCB_AllBulletinDetail.php?stockid=603929&amp;id=11992570</t>
        </is>
      </c>
    </row>
    <row r="96" ht="104" customHeight="1">
      <c r="B96" s="7" t="inlineStr">
        <is>
          <t>603931</t>
        </is>
      </c>
      <c r="C96" s="7" t="inlineStr">
        <is>
          <t>格林达</t>
        </is>
      </c>
      <c r="D96" s="8" t="inlineStr">
        <is>
          <t>半导体：半导体材料</t>
        </is>
      </c>
      <c r="E96" s="7" t="inlineStr">
        <is>
          <t>纠错</t>
        </is>
      </c>
      <c r="F96" s="7" t="inlineStr">
        <is>
          <t>半导体</t>
        </is>
      </c>
      <c r="G96" s="8" t="inlineStr">
        <is>
          <t>半导体材料-电子特气与湿化学品、半导体材料-光刻胶与配套试剂</t>
        </is>
      </c>
      <c r="H96" s="7" t="inlineStr">
        <is>
          <t>相关</t>
        </is>
      </c>
      <c r="I96" s="8" t="inlineStr">
        <is>
          <t>公司真实产品是显影液、蚀刻液、剥离液等超净高纯功能湿电子化学品，既用于显示面板，也可用于半导体及其他电子制造环节。年报进一步明确先进半导体材料包括光刻胶配套高纯显影液，半导体用显影液和稀释液已在功率器件企业稳定量供，因此除电子特气与湿化学品外，还应补充半导体材料-光刻胶与配套试剂。2025年营业收入6.258488亿元，其中显示面板行业收入5.662538亿元，占90.48%，半导体及其他行业收入0.584051亿元，占9.33%；后者仍混合其他行业，不能全部视为半导体专属收入。半导体业务真实但占比较低，维持相关，不恢复核心；新增概念只对应已披露的光刻胶配套试剂，不把显示面板材料收入并入半导体。</t>
        </is>
      </c>
      <c r="J96" s="7" t="inlineStr">
        <is>
          <t>格林达2025年年度报告</t>
        </is>
      </c>
      <c r="K96" s="7" t="inlineStr">
        <is>
          <t>2026-04-25</t>
        </is>
      </c>
      <c r="L96" s="8" t="inlineStr">
        <is>
          <t>iFinD ifind_get_stock_info + ifind_get_stock_business_segmentation (as of 2026-10-27)；格林达2025年年度报告</t>
        </is>
      </c>
      <c r="M96" s="9" t="inlineStr">
        <is>
          <t>http://file.finance.sina.com.cn/211.154.219.97:9494/MRGG/CNSESH_STOCK/2026/2026-4/2026-04-25/12188908.PDF</t>
        </is>
      </c>
    </row>
    <row r="97" ht="104" customHeight="1">
      <c r="B97" s="4" t="inlineStr">
        <is>
          <t>603938</t>
        </is>
      </c>
      <c r="C97" s="4" t="inlineStr">
        <is>
          <t>三孚股份</t>
        </is>
      </c>
      <c r="D97" s="5" t="inlineStr">
        <is>
          <t>半导体：半导体材料</t>
        </is>
      </c>
      <c r="E97" s="4" t="inlineStr">
        <is>
          <t>纠错</t>
        </is>
      </c>
      <c r="F97" s="4" t="inlineStr">
        <is>
          <t>半导体</t>
        </is>
      </c>
      <c r="G97" s="5" t="inlineStr">
        <is>
          <t>半导体材料-电子特气与湿化学品</t>
        </is>
      </c>
      <c r="H97" s="4" t="inlineStr">
        <is>
          <t>相关</t>
        </is>
      </c>
      <c r="I97" s="5" t="inlineStr">
        <is>
          <t>公司真实产品覆盖三氯氢硅、四氯化硅、氢氧化钾、硫酸钾及硅烷偶联剂等化工品，其中电子级二氯二氢硅、电子级三氯氢硅和电子级四氯化硅可进入半导体制造，属于已有明确电子级产品的材料延伸，而非把普通工业硅化物全部视为芯片材料。2025年营业收入20.9697亿元，其中钾系列收入11.7818亿元、占56.18%，硅烷偶联剂收入5.5617亿元、占26.52%，硅系列收入2.9849亿元、占14.24%；电子级产品收入未独立拆分，硅系列还包含非电子级和非半导体用途，不能整项归入半导体。由于真实电子级材料存在但规模无法辨认且传统化工占主导，维持相关；旧泛“半导体材料”纠正为“半导体材料-电子特气与湿化学品”，不据此提升核心。</t>
        </is>
      </c>
      <c r="J97" s="4" t="inlineStr">
        <is>
          <t>三孚股份2025年年度报告</t>
        </is>
      </c>
      <c r="K97" s="4" t="inlineStr">
        <is>
          <t>2026-04-16</t>
        </is>
      </c>
      <c r="L97" s="5" t="inlineStr">
        <is>
          <t>iFinD ifind_get_stock_info + ifind_get_stock_business_segmentation (as of 2026-10-27)；三孚股份2025年年度报告</t>
        </is>
      </c>
      <c r="M97" s="6" t="inlineStr">
        <is>
          <t>https://money.finance.sina.com.cn/corp/view/vCB_AllBulletinDetail.php?stockid=603938&amp;id=12094122</t>
        </is>
      </c>
    </row>
    <row r="98" ht="104" customHeight="1">
      <c r="B98" s="7" t="inlineStr">
        <is>
          <t>603986</t>
        </is>
      </c>
      <c r="C98" s="7" t="inlineStr">
        <is>
          <t>兆易创新</t>
        </is>
      </c>
      <c r="D98" s="8" t="inlineStr">
        <is>
          <t>半导体：存储芯片-NOR Flash</t>
        </is>
      </c>
      <c r="E98" s="7" t="inlineStr">
        <is>
          <t>纠错</t>
        </is>
      </c>
      <c r="F98" s="7" t="inlineStr">
        <is>
          <t>半导体</t>
        </is>
      </c>
      <c r="G98" s="8" t="inlineStr">
        <is>
          <t>芯片设计-存储芯片、芯片设计-MCU与嵌入式、芯片设计-模拟与电源管理</t>
        </is>
      </c>
      <c r="H98" s="7" t="inlineStr">
        <is>
          <t>核心</t>
        </is>
      </c>
      <c r="I98" s="8" t="inlineStr">
        <is>
          <t>公司真实产品包括NOR Flash、SLC NAND、利基型DRAM等存储器，以及MCU、传感器和模拟芯片，均采用自主芯片研发设计并形成规模化销售，不能仅因NOR Flash知名度高就忽略其他已披露产品线。2025年营业收入92.0346亿元，其中存储芯片收入65.6594亿元、占71.34%，MCU收入19.0990亿元、占20.75%，传感器收入3.8935亿元、占4.23%，模拟芯片收入3.3284亿元、占3.62%；各产品口径可以区分，但存储收入不能再全部称为NOR，也不能把模组或终端市场收入重复算入芯片。存储为最大收入来源且其余芯片线协同构成主营，维持核心；旧“存储芯片-NOR Flash”纠正为“芯片设计-存储芯片”，并补充“芯片设计-MCU与嵌入式”和“芯片设计-模拟与电源管理”。</t>
        </is>
      </c>
      <c r="J98" s="7" t="inlineStr">
        <is>
          <t>兆易创新2025年年度报告</t>
        </is>
      </c>
      <c r="K98" s="7" t="inlineStr">
        <is>
          <t>2026-03-30</t>
        </is>
      </c>
      <c r="L98" s="8" t="inlineStr">
        <is>
          <t>iFinD ifind_get_stock_info + ifind_get_stock_business_segmentation (as of 2026-10-27)；兆易创新2025年年度报告</t>
        </is>
      </c>
      <c r="M98" s="9" t="inlineStr">
        <is>
          <t>https://pdf.dfcfw.com/pdf/H2_AN202603301820872848_1.pdf?t=1786463335931</t>
        </is>
      </c>
    </row>
    <row r="99" ht="104" customHeight="1">
      <c r="B99" s="4" t="inlineStr">
        <is>
          <t>605111</t>
        </is>
      </c>
      <c r="C99" s="4" t="inlineStr">
        <is>
          <t>新洁能</t>
        </is>
      </c>
      <c r="D99" s="5" t="inlineStr">
        <is>
          <t>半导体：功率半导体</t>
        </is>
      </c>
      <c r="E99" s="4" t="inlineStr">
        <is>
          <t>纠错</t>
        </is>
      </c>
      <c r="F99" s="4" t="inlineStr">
        <is>
          <t>半导体</t>
        </is>
      </c>
      <c r="G99" s="5" t="inlineStr">
        <is>
          <t>芯片设计-功率半导体</t>
        </is>
      </c>
      <c r="H99" s="4" t="inlineStr">
        <is>
          <t>核心</t>
        </is>
      </c>
      <c r="I99" s="5" t="inlineStr">
        <is>
          <t>公司真实产品是MOSFET、IGBT、SiC和GaN等功率器件、芯片及模块，面向汽车电子、工业控制、新能源与消费电子等场景，核心身份是功率半导体研发设计和销售企业，而不是一般电子元器件分销或下游电源整机厂。2025年营业收入18.7707亿元，其中功率器件收入18.1998亿元、占96.96%，芯片收入0.4966亿元、占2.65%；器件与芯片为不同产品口径，不能重复累加，也不能把汽车或新能源下游行业规模当成本公司半导体收入，具体各技术路线销售额亦未完整拆分。功率半导体产品收入接近全部主营，具有明确规模化核心业务属性，维持核心；旧“功率半导体”语义无误但不是白名单标准名称，现规范为“芯片设计-功率半导体”，不额外扩展到非功率芯片概念。</t>
        </is>
      </c>
      <c r="J99" s="4" t="inlineStr">
        <is>
          <t>新洁能2025年年度报告</t>
        </is>
      </c>
      <c r="K99" s="4" t="inlineStr">
        <is>
          <t>2026-03-27</t>
        </is>
      </c>
      <c r="L99" s="5" t="inlineStr">
        <is>
          <t>iFinD ifind_get_stock_info + ifind_get_stock_business_segmentation (as of 2026-10-27)；新洁能2025年年度报告</t>
        </is>
      </c>
      <c r="M99" s="6" t="inlineStr">
        <is>
          <t>http://money.finance.sina.com.cn/corp/view/vCB_AllBulletinDetail.php?stockid=605111&amp;id=12023644</t>
        </is>
      </c>
    </row>
    <row r="100" ht="104" customHeight="1">
      <c r="B100" s="7" t="inlineStr">
        <is>
          <t>605358</t>
        </is>
      </c>
      <c r="C100" s="7" t="inlineStr">
        <is>
          <t>立昂微</t>
        </is>
      </c>
      <c r="D100" s="8" t="inlineStr">
        <is>
          <t>半导体：功率半导体</t>
        </is>
      </c>
      <c r="E100" s="7" t="inlineStr">
        <is>
          <t>纠错</t>
        </is>
      </c>
      <c r="F100" s="7" t="inlineStr">
        <is>
          <t>半导体</t>
        </is>
      </c>
      <c r="G100" s="8" t="inlineStr">
        <is>
          <t>半导体材料-硅片与硅部件、芯片设计-功率半导体、芯片设计-射频与通信芯片</t>
        </is>
      </c>
      <c r="H100" s="7" t="inlineStr">
        <is>
          <t>核心</t>
        </is>
      </c>
      <c r="I100" s="8" t="inlineStr">
        <is>
          <t>公司真实业务覆盖半导体硅片、功率器件芯片及器件、化合物半导体射频和光电产品，是硅材料与器件协同的规模化半导体主营企业，不能只保留功率器件而忽略最大收入来源硅片。2025年营业收入35.9092亿元，其中半导体主营业务收入35.5131亿元、占98.90%；硅片收入23.8454亿元、占66.40%，功率器件收入8.3932亿元、占23.37%，化合物射频及光电收入3.2744亿元、占9.12%。年报经营讨论中的内部口径与分部口径不可混用，化合物收入也不能全部等同于单一射频芯片。半导体主营占绝对多数，旧相关定级明显偏低，应上调为核心；旧单一“功率半导体”纠正并补充为“半导体材料-硅片与硅部件”“芯片设计-功率半导体”和“芯片设计-射频与通信芯片”。</t>
        </is>
      </c>
      <c r="J100" s="7" t="inlineStr">
        <is>
          <t>立昂微2025年年度报告</t>
        </is>
      </c>
      <c r="K100" s="7" t="inlineStr">
        <is>
          <t>2026-04-28</t>
        </is>
      </c>
      <c r="L100" s="8" t="inlineStr">
        <is>
          <t>iFinD ifind_get_stock_info + ifind_get_stock_business_segmentation (as of 2026-10-27)；立昂微2025年年度报告</t>
        </is>
      </c>
      <c r="M100" s="9" t="inlineStr">
        <is>
          <t>http://file.finance.sina.com.cn/211.154.219.97:9494/MRGG/CNSESH_STOCK/2026/2026-4/2026-04-28/12224258.PDF</t>
        </is>
      </c>
    </row>
    <row r="101" ht="104" customHeight="1">
      <c r="B101" s="4" t="inlineStr">
        <is>
          <t>688008</t>
        </is>
      </c>
      <c r="C101" s="4" t="inlineStr">
        <is>
          <t>澜起科技</t>
        </is>
      </c>
      <c r="D101" s="5" t="inlineStr">
        <is>
          <t>半导体：存储接口</t>
        </is>
      </c>
      <c r="E101" s="4" t="inlineStr">
        <is>
          <t>纠错</t>
        </is>
      </c>
      <c r="F101" s="4" t="inlineStr">
        <is>
          <t>半导体</t>
        </is>
      </c>
      <c r="G101" s="5" t="inlineStr">
        <is>
          <t>芯片设计-存储主控与接口</t>
        </is>
      </c>
      <c r="H101" s="4" t="inlineStr">
        <is>
          <t>核心</t>
        </is>
      </c>
      <c r="I101" s="5" t="inlineStr">
        <is>
          <t>公司真实产品是DDR内存接口芯片、内存模组配套芯片以及PCIe、CXL等高速互连芯片，同时保留津逮服务器平台业务；其核心价值是存储系统与计算平台之间的接口和互连，不是生产DRAM或NAND存储晶圆，也不是存储模组组装。2025年营业收入54.5633亿元，其中互连类芯片收入51.3853亿元、占94.17%，津逮服务器平台收入3.0823亿元、占5.65%；互连类包含多个产品系列，不能全部拆成某一种内存接口或AI芯片收入，津逮平台也不能与芯片收入混同。互连芯片已形成绝对规模化主营，维持核心；旧“存储接口”虽指向真实业务但名称不规范，现纠正为“芯片设计-存储主控与接口”，不错误改挂“芯片设计-存储芯片”。</t>
        </is>
      </c>
      <c r="J101" s="4" t="inlineStr">
        <is>
          <t>澜起科技2025年度暨2026第一季度业绩说明会</t>
        </is>
      </c>
      <c r="K101" s="4" t="inlineStr">
        <is>
          <t>2026-05-14</t>
        </is>
      </c>
      <c r="L101" s="5" t="inlineStr">
        <is>
          <t>iFinD ifind_get_stock_info + ifind_get_stock_business_segmentation (as of 2026-10-27)；澜起科技2025年度暨2026第一季度业绩说明会</t>
        </is>
      </c>
      <c r="M101" s="6" t="inlineStr">
        <is>
          <t>https://roadshow.sseinfo.com/stayTuned/38478</t>
        </is>
      </c>
    </row>
    <row r="102" ht="104" customHeight="1">
      <c r="B102" s="7" t="inlineStr">
        <is>
          <t>688012</t>
        </is>
      </c>
      <c r="C102" s="7" t="inlineStr">
        <is>
          <t>中微公司</t>
        </is>
      </c>
      <c r="D102" s="8" t="inlineStr">
        <is>
          <t>半导体：半导体设备-前道</t>
        </is>
      </c>
      <c r="E102" s="7" t="inlineStr">
        <is>
          <t>纠错</t>
        </is>
      </c>
      <c r="F102" s="7" t="inlineStr">
        <is>
          <t>半导体</t>
        </is>
      </c>
      <c r="G102" s="8" t="inlineStr">
        <is>
          <t>半导体设备-刻蚀、半导体设备-薄膜沉积</t>
        </is>
      </c>
      <c r="H102" s="7" t="inlineStr">
        <is>
          <t>核心</t>
        </is>
      </c>
      <c r="I102" s="8" t="inlineStr">
        <is>
          <t>公司真实产品是用于集成电路和泛半导体制造的等离子体刻蚀设备、MOCVD设备以及LPCVD等薄膜沉积设备，其中刻蚀机台已形成大规模收入，薄膜设备也已实现销售，属于晶圆制造关键工艺设备供应商。2025年营业收入123.8464亿元，半导体设备业务占比100%；刻蚀设备收入约98.3亿元、占79.37%，LPCVD设备收入约5.1亿元、占4.12%。其余设备收入不能全部归入刻蚀，MOCVD与LPCVD的应用和分类也需区分，未披露的具体机台销售额不可自行拆分。半导体设备构成全部主营且核心产品规模化，维持核心；旧“半导体设备-前道”过于笼统，现细化为“半导体设备-刻蚀”和“半导体设备-薄膜沉积”，不以泛前道标签掩盖产品结构。</t>
        </is>
      </c>
      <c r="J102" s="7" t="inlineStr">
        <is>
          <t>中微公司2025年年度报告摘要</t>
        </is>
      </c>
      <c r="K102" s="7" t="inlineStr">
        <is>
          <t>2026-03-31</t>
        </is>
      </c>
      <c r="L102" s="8" t="inlineStr">
        <is>
          <t>iFinD ifind_get_stock_info + ifind_get_stock_business_segmentation (as of 2026-10-27)；中微公司2025年年度报告摘要</t>
        </is>
      </c>
      <c r="M102" s="9" t="inlineStr">
        <is>
          <t>https://static.cninfo.com.cn/finalpage/2026-03-31/1225062430.PDF</t>
        </is>
      </c>
    </row>
    <row r="103" ht="104" customHeight="1">
      <c r="B103" s="4" t="inlineStr">
        <is>
          <t>688018</t>
        </is>
      </c>
      <c r="C103" s="4" t="inlineStr">
        <is>
          <t>乐鑫科技</t>
        </is>
      </c>
      <c r="D103" s="5" t="inlineStr">
        <is>
          <t>半导体：端侧AI芯片</t>
        </is>
      </c>
      <c r="E103" s="4" t="inlineStr">
        <is>
          <t>纠错</t>
        </is>
      </c>
      <c r="F103" s="4" t="inlineStr">
        <is>
          <t>半导体</t>
        </is>
      </c>
      <c r="G103" s="5" t="inlineStr">
        <is>
          <t>芯片设计-SoC与端侧AI</t>
        </is>
      </c>
      <c r="H103" s="4" t="inlineStr">
        <is>
          <t>核心</t>
        </is>
      </c>
      <c r="I103" s="5" t="inlineStr">
        <is>
          <t>公司真实产品是Wi-Fi、蓝牙等无线连接与嵌入式计算相结合的SoC、MCU及其模组和开发套件，芯片由公司自主设计，部分产品集成端侧人工智能处理能力；模组业务使用自研芯片并提供软硬件生态，不能与第三方芯片模组商简单类比。2025年营业收入25.6528亿元，其中芯片收入9.8006亿元、占38.21%，模组及开发套件收入15.6903亿元、占61.16%，集成电路行业收入接近100%；模组中包含自研芯片价值，不能再把同一价值重复拆成独立芯片销售，也不能把所有芯片和模组收入都称为端侧AI收入。公司整体围绕自主物联网芯片形成规模化主营，维持核心；旧“端侧AI芯片”过窄，现按真实产品纠正为“芯片设计-SoC与端侧AI”。</t>
        </is>
      </c>
      <c r="J103" s="4" t="inlineStr">
        <is>
          <t>乐鑫科技2025年年度报告</t>
        </is>
      </c>
      <c r="K103" s="4" t="inlineStr">
        <is>
          <t>2026-03-21</t>
        </is>
      </c>
      <c r="L103" s="5" t="inlineStr">
        <is>
          <t>iFinD ifind_get_stock_info + ifind_get_stock_business_segmentation (as of 2026-10-27)；乐鑫科技2025年年度报告</t>
        </is>
      </c>
      <c r="M103" s="6" t="inlineStr">
        <is>
          <t>https://stockmc.xueqiu.com/202603/688018_20260321_Z56Q.pdf</t>
        </is>
      </c>
    </row>
    <row r="104" ht="104" customHeight="1">
      <c r="B104" s="7" t="inlineStr">
        <is>
          <t>688019</t>
        </is>
      </c>
      <c r="C104" s="7" t="inlineStr">
        <is>
          <t>安集科技</t>
        </is>
      </c>
      <c r="D104" s="8" t="inlineStr">
        <is>
          <t>半导体：半导体材料</t>
        </is>
      </c>
      <c r="E104" s="7" t="inlineStr">
        <is>
          <t>纠错</t>
        </is>
      </c>
      <c r="F104" s="7" t="inlineStr">
        <is>
          <t>半导体</t>
        </is>
      </c>
      <c r="G104" s="8" t="inlineStr">
        <is>
          <t>半导体材料-CMP材料、半导体材料-电子特气与湿化学品</t>
        </is>
      </c>
      <c r="H104" s="7" t="inlineStr">
        <is>
          <t>核心</t>
        </is>
      </c>
      <c r="I104" s="8" t="inlineStr">
        <is>
          <t>公司真实产品是化学机械抛光液和功能性湿电子化学品，前者覆盖不同材料层的晶圆平坦化工艺，后者包括清洗液、刻蚀后清洗及光刻胶去除等配套材料，均为直接进入集成电路制造的关键耗材，不是一般化工品的潜在用途。2025年营业收入25.0422亿元，其中集成电路行业收入24.9870亿元、占99.78%；CMP抛光液收入20.3980亿元、占81.45%，功能性湿电子化学品收入4.5286亿元、占18.09%。两类产品口径清晰但不可相互重复计算，也不能把抛光液泛称为全部湿化学品。集成电路材料收入接近全部营收且主力产品规模化，维持核心；旧泛“半导体材料”细化纠正为“半导体材料-CMP材料”和“半导体材料-电子特气与湿化学品”。</t>
        </is>
      </c>
      <c r="J104" s="7" t="inlineStr">
        <is>
          <t>安集科技2025年年度报告</t>
        </is>
      </c>
      <c r="K104" s="7" t="inlineStr">
        <is>
          <t>2026-04-16</t>
        </is>
      </c>
      <c r="L104" s="8" t="inlineStr">
        <is>
          <t>iFinD ifind_get_stock_info + ifind_get_stock_business_segmentation (as of 2026-10-27)；安集科技2025年年度报告</t>
        </is>
      </c>
      <c r="M104" s="9" t="inlineStr">
        <is>
          <t>http://static.cninfo.com.cn/finalpage/2026-04-16/1225108553.PDF</t>
        </is>
      </c>
    </row>
    <row r="105" ht="104" customHeight="1">
      <c r="B105" s="4" t="inlineStr">
        <is>
          <t>688037</t>
        </is>
      </c>
      <c r="C105" s="4" t="inlineStr">
        <is>
          <t>芯源微</t>
        </is>
      </c>
      <c r="D105" s="5" t="inlineStr">
        <is>
          <t>半导体：半导体设备-前道</t>
        </is>
      </c>
      <c r="E105" s="4" t="inlineStr">
        <is>
          <t>纠错</t>
        </is>
      </c>
      <c r="F105" s="4" t="inlineStr">
        <is>
          <t>半导体</t>
        </is>
      </c>
      <c r="G105" s="5" t="inlineStr">
        <is>
          <t>半导体设备-涂胶显影、半导体设备-清洗</t>
        </is>
      </c>
      <c r="H105" s="4" t="inlineStr">
        <is>
          <t>核心</t>
        </is>
      </c>
      <c r="I105" s="5" t="inlineStr">
        <is>
          <t>公司真实产品包括前道涂胶显影机、清洗机以及后道先进封装湿法设备，涂胶显影设备服务光刻工序，清洗和湿法机台服务晶圆及封装处理，均属于半导体专用工艺装备，而不是仅提供厂务系统或通用自动化。2025年营业收入19.4849亿元，其中半导体设备行业收入19.2633亿元、占98.86%，电子工艺装备收入18.7870亿元、占96.42%；电子工艺装备还包含不同工序与前后道产品，年报未将全部收入按具体机台独立拆分，因此不能把该口径全部算成涂胶显影或全部算成清洗。半导体装备已占绝对主营并规模销售，维持核心；旧“半导体设备-前道”既笼统又遗漏后道湿法边界，现纠正为“半导体设备-涂胶显影”和“半导体设备-清洗”。</t>
        </is>
      </c>
      <c r="J105" s="4" t="inlineStr">
        <is>
          <t>芯源微2025年年度报告摘要</t>
        </is>
      </c>
      <c r="K105" s="4" t="inlineStr">
        <is>
          <t>2026-04-18</t>
        </is>
      </c>
      <c r="L105" s="5" t="inlineStr">
        <is>
          <t>iFinD ifind_get_stock_info + ifind_get_stock_business_segmentation (as of 2026-10-27)；芯源微2025年年度报告摘要</t>
        </is>
      </c>
      <c r="M105" s="6" t="inlineStr">
        <is>
          <t>http://big5.sse.com.cn/site/cht/www.sse.com.cn/disclosure/listedinfo/announcement/c/new/2026-04-18/688037_20260418_OATI.pdf</t>
        </is>
      </c>
    </row>
    <row r="106" ht="104" customHeight="1">
      <c r="B106" s="7" t="inlineStr">
        <is>
          <t>688041</t>
        </is>
      </c>
      <c r="C106" s="7" t="inlineStr">
        <is>
          <t>海光信息</t>
        </is>
      </c>
      <c r="D106" s="8" t="inlineStr">
        <is>
          <t>半导体：算力芯片</t>
        </is>
      </c>
      <c r="E106" s="7" t="inlineStr">
        <is>
          <t>纠错</t>
        </is>
      </c>
      <c r="F106" s="7" t="inlineStr">
        <is>
          <t>半导体</t>
        </is>
      </c>
      <c r="G106" s="8" t="inlineStr">
        <is>
          <t>芯片设计-CPU/GPU/AI计算</t>
        </is>
      </c>
      <c r="H106" s="7" t="inlineStr">
        <is>
          <t>核心</t>
        </is>
      </c>
      <c r="I106" s="8" t="inlineStr">
        <is>
          <t>公司真实产品是面向服务器和数据中心的海光CPU与深算DCU等高端处理器，分别承担通用计算和并行加速计算，属于自主处理器研发设计及销售，不是采购芯片后的服务器整机或算力租赁业务。2025年营业收入143.7689亿元，其中高端处理器收入143.6185亿元、占99.90%；CPU和DCU的具体销售结构不能由总口径任意拆分，搭载处理器的下游服务器、集群或算力服务收入也不能重复算成公司芯片收入。高端处理器构成接近全部的规模化主营，且产品直接对应通用与加速计算芯片，维持核心；旧“算力芯片”虽然概括了应用方向，但范围模糊且不是白名单标准名，现纠正为“芯片设计-CPU/GPU/AI计算”，不额外挂接存储、模组或半导体设备概念。</t>
        </is>
      </c>
      <c r="J106" s="7" t="inlineStr">
        <is>
          <t>海光信息2025年年度报告</t>
        </is>
      </c>
      <c r="K106" s="7" t="inlineStr">
        <is>
          <t>2026-04-08</t>
        </is>
      </c>
      <c r="L106" s="8" t="inlineStr">
        <is>
          <t>iFinD ifind_get_stock_info + ifind_get_stock_business_segmentation (as of 2026-10-27)；海光信息2025年年度报告</t>
        </is>
      </c>
      <c r="M106" s="9" t="inlineStr">
        <is>
          <t>https://money.finance.sina.com.cn/corp/view/vCB_AllBulletinDetail.php?stockid=688041&amp;id=12066610</t>
        </is>
      </c>
    </row>
    <row r="107" ht="104" customHeight="1">
      <c r="B107" s="4" t="inlineStr">
        <is>
          <t>688047</t>
        </is>
      </c>
      <c r="C107" s="4" t="inlineStr">
        <is>
          <t>龙芯中科</t>
        </is>
      </c>
      <c r="D107" s="5" t="inlineStr">
        <is>
          <t>半导体：算力芯片</t>
        </is>
      </c>
      <c r="E107" s="4" t="inlineStr">
        <is>
          <t>纠错</t>
        </is>
      </c>
      <c r="F107" s="4" t="inlineStr">
        <is>
          <t>半导体</t>
        </is>
      </c>
      <c r="G107" s="5" t="inlineStr">
        <is>
          <t>芯片设计-CPU/GPU/AI计算</t>
        </is>
      </c>
      <c r="H107" s="4" t="inlineStr">
        <is>
          <t>核心</t>
        </is>
      </c>
      <c r="I107" s="5" t="inlineStr">
        <is>
          <t>公司真实产品是采用自主指令系统的龙芯CPU及配套芯片，并提供基于自研处理器的软硬件解决方案，业务覆盖信息化和工业控制，核心身份是处理器设计企业，而非一般计算机系统集成商。2025年营业收入6.3532亿元，其中信息化芯片收入3.0893亿元、占48.63%，工控芯片收入1.5792亿元、占24.86%，解决方案收入1.6846亿元、占26.51%；解决方案中含软硬件及服务，不能全部视作芯片销售，正在研发的GPGPU等项目也不能提前折算为既有GPU收入。CPU及配套芯片已形成真实主营和规模销售，维持核心；旧“算力芯片”容易把研发方向和现有收入混为一谈，现按已落地产品纠正为“芯片设计-CPU/GPU/AI计算”，理由限定于自主CPU而非虚构GPU营收。</t>
        </is>
      </c>
      <c r="J107" s="4" t="inlineStr">
        <is>
          <t>龙芯中科2025年年度报告</t>
        </is>
      </c>
      <c r="K107" s="4" t="inlineStr">
        <is>
          <t>2026-04-29</t>
        </is>
      </c>
      <c r="L107" s="5" t="inlineStr">
        <is>
          <t>iFinD ifind_get_stock_info + ifind_get_stock_business_segmentation (as of 2026-10-27)；龙芯中科2025年年度报告</t>
        </is>
      </c>
      <c r="M107" s="6" t="inlineStr">
        <is>
          <t>http://money.finance.sina.com.cn/corp/view/vCB_AllBulletinDetail.php?stockid=688047&amp;id=12251002</t>
        </is>
      </c>
    </row>
    <row r="108" ht="104" customHeight="1">
      <c r="B108" s="7" t="inlineStr">
        <is>
          <t>688049</t>
        </is>
      </c>
      <c r="C108" s="7" t="inlineStr">
        <is>
          <t>炬芯科技</t>
        </is>
      </c>
      <c r="D108" s="8" t="inlineStr">
        <is>
          <t>半导体：端侧AI芯片</t>
        </is>
      </c>
      <c r="E108" s="7" t="inlineStr">
        <is>
          <t>纠错</t>
        </is>
      </c>
      <c r="F108" s="7" t="inlineStr">
        <is>
          <t>半导体</t>
        </is>
      </c>
      <c r="G108" s="8" t="inlineStr">
        <is>
          <t>芯片设计-SoC与端侧AI</t>
        </is>
      </c>
      <c r="H108" s="7" t="inlineStr">
        <is>
          <t>核心</t>
        </is>
      </c>
      <c r="I108" s="8" t="inlineStr">
        <is>
          <t>公司真实产品是低功耗蓝牙音频SoC、便携式音视频SoC和端侧AI处理器芯片，主要进入无线音频、智能穿戴及其他低功耗终端，属于自主芯片设计，不是采购主控后的音箱或耳机整机业务。2025年营业收入9.2238亿元，其中蓝牙音频SoC收入6.8239亿元、占73.96%，端侧AI处理器收入1.5748亿元、占17.07%，便携音视频产品收入0.8166亿元、占8.85%；传统音频SoC可带智能功能但不等于全部属于端侧AI，三类口径也不能重复累加。全部产品围绕SoC和端侧处理器形成规模化主营，故维持核心；旧“端侧AI芯片”只覆盖部分产品且会误导全部营收口径，现规范为“芯片设计-SoC与端侧AI”，同时保留端侧AI收入仅占部分的边界。</t>
        </is>
      </c>
      <c r="J108" s="7" t="inlineStr">
        <is>
          <t>炬芯科技2025年年度报告</t>
        </is>
      </c>
      <c r="K108" s="7" t="inlineStr">
        <is>
          <t>2026-03-30</t>
        </is>
      </c>
      <c r="L108" s="8" t="inlineStr">
        <is>
          <t>iFinD ifind_get_stock_info + ifind_get_stock_business_segmentation (as of 2026-10-27)；炬芯科技2025年年度报告</t>
        </is>
      </c>
      <c r="M108" s="9" t="inlineStr">
        <is>
          <t>http://file.finance.sina.com.cn/211.154.219.97:9494/MRGG/CNSESH_STOCK/2026/2026-3/2026-03-30/12034535.PDF</t>
        </is>
      </c>
    </row>
    <row r="109" ht="104" customHeight="1">
      <c r="B109" s="4" t="inlineStr">
        <is>
          <t>688072</t>
        </is>
      </c>
      <c r="C109" s="4" t="inlineStr">
        <is>
          <t>拓荆科技</t>
        </is>
      </c>
      <c r="D109" s="5" t="inlineStr">
        <is>
          <t>半导体：半导体设备-前道</t>
        </is>
      </c>
      <c r="E109" s="4" t="inlineStr">
        <is>
          <t>纠错</t>
        </is>
      </c>
      <c r="F109" s="4" t="inlineStr">
        <is>
          <t>半导体</t>
        </is>
      </c>
      <c r="G109" s="5" t="inlineStr">
        <is>
          <t>半导体设备-薄膜沉积、半导体设备-键合与焊接</t>
        </is>
      </c>
      <c r="H109" s="4" t="inlineStr">
        <is>
          <t>核心</t>
        </is>
      </c>
      <c r="I109" s="5" t="inlineStr">
        <is>
          <t>公司真实产品包括PECVD、ALD、SACVD等薄膜沉积设备，以及用于先进封装的混合键合设备，前者是规模化核心机台，后者已形成实际销售但收入相对较小，两者均直接用于半导体制造而非通用工业设备。2025年营业收入65.1909亿元，其中半导体专用设备收入62.9553亿元、占96.57%；混合键合设备收入1.36亿元、约占2.09%，其余薄膜系列不能因同处前道就相互重复归集，先进封装键合也不能并入薄膜沉积收入计算。专用设备占绝对主营且薄膜产品已规模化，维持核心；旧“半导体设备-前道”过于笼统并遗漏先进封装边界，现细化为“半导体设备-薄膜沉积”和“半导体设备-键合与焊接”，键合标签依据真实销售而非研发储备。</t>
        </is>
      </c>
      <c r="J109" s="4" t="inlineStr">
        <is>
          <t>拓荆科技2025年年度报告</t>
        </is>
      </c>
      <c r="K109" s="4" t="inlineStr">
        <is>
          <t>2026-04-27</t>
        </is>
      </c>
      <c r="L109" s="5" t="inlineStr">
        <is>
          <t>iFinD ifind_get_stock_info + ifind_get_stock_business_segmentation (as of 2026-10-27)；拓荆科技2025年年度报告</t>
        </is>
      </c>
      <c r="M109" s="6" t="inlineStr">
        <is>
          <t>https://pdf.dfcfw.com/pdf/H2_AN202604271821643869_1.pdf</t>
        </is>
      </c>
    </row>
    <row r="110" ht="104" customHeight="1">
      <c r="B110" s="7" t="inlineStr">
        <is>
          <t>688082</t>
        </is>
      </c>
      <c r="C110" s="7" t="inlineStr">
        <is>
          <t>盛美上海</t>
        </is>
      </c>
      <c r="D110" s="8" t="inlineStr">
        <is>
          <t>半导体：半导体设备-前道</t>
        </is>
      </c>
      <c r="E110" s="7" t="inlineStr">
        <is>
          <t>纠错</t>
        </is>
      </c>
      <c r="F110" s="7" t="inlineStr">
        <is>
          <t>半导体</t>
        </is>
      </c>
      <c r="G110" s="8" t="inlineStr">
        <is>
          <t>半导体设备-清洗、半导体设备-其他专用设备</t>
        </is>
      </c>
      <c r="H110" s="7" t="inlineStr">
        <is>
          <t>核心</t>
        </is>
      </c>
      <c r="I110" s="8" t="inlineStr">
        <is>
          <t>公司真实产品以半导体清洗设备为主，同时包括电镀、炉管、无应力抛铜等其他工艺设备以及先进封装湿法设备，产品进入晶圆制造和封装环节，不能只用一个前道标签概括全部业务。2025年营业收入67.8617亿元，其中半导体设备收入65.0365亿元、占95.84%；清洗设备收入45.0592亿元、占66.40%，其他半导体设备收入16.6097亿元、占24.48%，先进封装湿法设备收入3.3676亿元、占4.96%。其他设备还含多种机台，不能全部改称清洗或单独归入某一未披露品类，各项口径也不可重复计算。半导体专用设备已占绝对主营并规模化，维持核心；旧“半导体设备-前道”纠正为“半导体设备-清洗”和“半导体设备-其他专用设备”，保留电镀、炉管及封装湿法的真实边界。</t>
        </is>
      </c>
      <c r="J110" s="7" t="inlineStr">
        <is>
          <t>盛美上海2025年年度报告</t>
        </is>
      </c>
      <c r="K110" s="7" t="inlineStr">
        <is>
          <t>2026-02-27</t>
        </is>
      </c>
      <c r="L110" s="8" t="inlineStr">
        <is>
          <t>iFinD ifind_get_stock_info + ifind_get_stock_business_segmentation (as of 2026-10-27)；盛美上海2025年年度报告</t>
        </is>
      </c>
      <c r="M110" s="9" t="inlineStr">
        <is>
          <t>http://static.cninfo.com.cn/finalpage/2026-02-27/1224986438.PDF</t>
        </is>
      </c>
    </row>
    <row r="111" ht="104" customHeight="1">
      <c r="B111" s="4" t="inlineStr">
        <is>
          <t>688099</t>
        </is>
      </c>
      <c r="C111" s="4" t="inlineStr">
        <is>
          <t>晶晨股份</t>
        </is>
      </c>
      <c r="D111" s="5" t="inlineStr">
        <is>
          <t>半导体：端侧AI芯片</t>
        </is>
      </c>
      <c r="E111" s="4" t="inlineStr">
        <is>
          <t>纠错</t>
        </is>
      </c>
      <c r="F111" s="4" t="inlineStr">
        <is>
          <t>半导体</t>
        </is>
      </c>
      <c r="G111" s="5" t="inlineStr">
        <is>
          <t>芯片设计-SoC与端侧AI</t>
        </is>
      </c>
      <c r="H111" s="4" t="inlineStr">
        <is>
          <t>核心</t>
        </is>
      </c>
      <c r="I111" s="5" t="inlineStr">
        <is>
          <t>公司真实产品是智能多媒体显示SoC、AIoT SoC以及Wi-Fi和蓝牙等通信连接芯片，应用于智能电视、机顶盒、智能音箱和多种物联网终端，属于自主系统级芯片设计，不是终端整机制造或单纯模组组装。2025年营业收入67.9293亿元，其中智能多媒体显示SoC收入49.4876亿元、占72.85%，AIoT SoC收入16.3966亿元、占24.14%，通信连接芯片收入1.9980亿元、占2.94%；多媒体SoC可具备人工智能功能，但不能把全部销售额都改名为端侧AI收入，连接芯片也不能重复并入SoC口径。系统级芯片及配套产品构成规模化绝对主营，维持核心；旧“端侧AI芯片”范围偏窄且易混淆收入结构，现纠正为“芯片设计-SoC与端侧AI”，不将全部多媒体业务虚构成AI专属业务。</t>
        </is>
      </c>
      <c r="J111" s="4" t="inlineStr">
        <is>
          <t>晶晨股份2025年年度报告摘要</t>
        </is>
      </c>
      <c r="K111" s="4" t="inlineStr">
        <is>
          <t>2026-03-31</t>
        </is>
      </c>
      <c r="L111" s="5" t="inlineStr">
        <is>
          <t>iFinD ifind_get_stock_info + ifind_get_stock_business_segmentation (as of 2026-10-27)；晶晨股份2025年年度报告摘要</t>
        </is>
      </c>
      <c r="M111" s="6" t="inlineStr">
        <is>
          <t>https://static.sse.com.cn/disclosure/listedinfo/announcement/c/new/2026-03-31/688099_20260331_1TWP.pdf</t>
        </is>
      </c>
    </row>
    <row r="112" ht="104" customHeight="1">
      <c r="B112" s="7" t="inlineStr">
        <is>
          <t>688106</t>
        </is>
      </c>
      <c r="C112" s="7" t="inlineStr">
        <is>
          <t>金宏气体</t>
        </is>
      </c>
      <c r="D112" s="8" t="inlineStr">
        <is>
          <t>半导体：半导体材料</t>
        </is>
      </c>
      <c r="E112" s="7" t="inlineStr">
        <is>
          <t>纠错</t>
        </is>
      </c>
      <c r="F112" s="7" t="inlineStr">
        <is>
          <t>半导体</t>
        </is>
      </c>
      <c r="G112" s="8" t="inlineStr">
        <is>
          <t>半导体材料-电子特气与湿化学品</t>
        </is>
      </c>
      <c r="H112" s="7" t="inlineStr">
        <is>
          <t>相关</t>
        </is>
      </c>
      <c r="I112" s="8" t="inlineStr">
        <is>
          <t>公司真实产品包括超纯氨、高纯氧化亚氮、电子级正硅酸乙酯等电子气体和材料，也经营大宗气体及综合供气服务，产品能够进入半导体制造并形成行业收入，但特种气体同时服务显示、光伏、化工等其他下游，不能全部归入半导体。2025年按披露分部合计营业收入约27.7643亿元，其中半导体行业收入6.3455亿元、约占22.85%；特种气体收入8.9122亿元、占32.10%，大宗气体收入11.7303亿元、占42.25%。行业口径与产品口径不可互换，半导体行业收入也可能包含非特气供气服务，不能拆成某一种电子材料销售额。半导体业务真实但不是整体收入主导，故由旧核心下调为相关；旧泛“半导体材料”规范为“半导体材料-电子特气与湿化学品”，不将大宗气体全部贴成半导体核心。</t>
        </is>
      </c>
      <c r="J112" s="7" t="inlineStr">
        <is>
          <t>金宏气体2025年年度报告</t>
        </is>
      </c>
      <c r="K112" s="7" t="inlineStr">
        <is>
          <t>2026-03-28</t>
        </is>
      </c>
      <c r="L112" s="8" t="inlineStr">
        <is>
          <t>iFinD ifind_get_stock_info + ifind_get_stock_business_segmentation (as of 2026-10-27)；金宏气体2025年年度报告</t>
        </is>
      </c>
      <c r="M112" s="9" t="inlineStr">
        <is>
          <t>https://stock.qianzhan.com/hs/sourcefiles_688106.SH.html</t>
        </is>
      </c>
    </row>
    <row r="113" ht="104" customHeight="1">
      <c r="B113" s="4" t="inlineStr">
        <is>
          <t>688110</t>
        </is>
      </c>
      <c r="C113" s="4" t="inlineStr">
        <is>
          <t>东芯股份</t>
        </is>
      </c>
      <c r="D113" s="5" t="inlineStr">
        <is>
          <t>半导体：存储芯片-SLC NAND</t>
        </is>
      </c>
      <c r="E113" s="4" t="inlineStr">
        <is>
          <t>纠错</t>
        </is>
      </c>
      <c r="F113" s="4" t="inlineStr">
        <is>
          <t>半导体</t>
        </is>
      </c>
      <c r="G113" s="5" t="inlineStr">
        <is>
          <t>芯片设计-存储芯片</t>
        </is>
      </c>
      <c r="H113" s="4" t="inlineStr">
        <is>
          <t>核心</t>
        </is>
      </c>
      <c r="I113" s="5" t="inlineStr">
        <is>
          <t>公司真实主业是中小容量通用型存储芯片设计，产品包括NAND、NOR、DRAM和MCP，不是存储模组或分销。2025年集成电路收入9.2138亿元，占营业收入99.9949%；其中NAND收入6.0077亿元、约占65.20%，MCP收入2.3078亿元、约占25.05%，DRAM和NOR分别约0.5381亿元、0.3328亿元，均已有规模销售。混合收入边界仅在0.0051%的其他业务，不影响半导体主业判断，故定为核心，评级依据是已披露的主营产品和收入结构，而非概念热度或尚未兑现的潜在用途。旧标签“存储芯片-SLC NAND”把多产品公司缩窄为单一NAND路线，现按白名单统一为芯片设计-存储芯片，同时保留其NAND为最大收入来源的事实。</t>
        </is>
      </c>
      <c r="J113" s="4" t="inlineStr">
        <is>
          <t>东芯半导体股份有限公司2025年年度报告</t>
        </is>
      </c>
      <c r="K113" s="4" t="inlineStr">
        <is>
          <t>2026-04-23</t>
        </is>
      </c>
      <c r="L113" s="5" t="inlineStr">
        <is>
          <t>iFinD ifind_get_stock_info + ifind_get_stock_business_segmentation (as of 2026-10-27)；东芯半导体股份有限公司2025年年度报告</t>
        </is>
      </c>
      <c r="M113" s="6" t="inlineStr">
        <is>
          <t>https://guba.eastmoney.com/news,688110,1697607974.html</t>
        </is>
      </c>
    </row>
    <row r="114" ht="104" customHeight="1">
      <c r="B114" s="7" t="inlineStr">
        <is>
          <t>688120</t>
        </is>
      </c>
      <c r="C114" s="7" t="inlineStr">
        <is>
          <t>华海清科</t>
        </is>
      </c>
      <c r="D114" s="8" t="inlineStr">
        <is>
          <t>半导体：半导体设备-前道</t>
        </is>
      </c>
      <c r="E114" s="7" t="inlineStr">
        <is>
          <t>纠错</t>
        </is>
      </c>
      <c r="F114" s="7" t="inlineStr">
        <is>
          <t>半导体</t>
        </is>
      </c>
      <c r="G114" s="8" t="inlineStr">
        <is>
          <t>半导体设备-CMP</t>
        </is>
      </c>
      <c r="H114" s="7" t="inlineStr">
        <is>
          <t>核心</t>
        </is>
      </c>
      <c r="I114" s="8" t="inlineStr">
        <is>
          <t>公司从事半导体专用设备研发、生产、销售及技术服务，CMP装备是核心支柱，并已扩展减薄、划切、清洗、离子注入、晶圆再生和耗材服务。2025年半导体行业收入46.4823亿元、占营业收入100%，其中半导体装备收入40.5405亿元、约占87.22%，半导体服务收入5.9418亿元、约占12.78%，不存在把光伏或一般设备混入主营的情况，因此定为核心。原“半导体设备-前道”不在白名单且过于宽泛，也不能完整区分工艺环节，本次按最具代表性的规模化CMP业务改为“半导体设备-CMP”；减薄、离子注入等作为产品矩阵在理由中保留，不用泛化标签替代真实产品。</t>
        </is>
      </c>
      <c r="J114" s="7" t="inlineStr">
        <is>
          <t>华海清科：2025年年度报告</t>
        </is>
      </c>
      <c r="K114" s="7" t="inlineStr">
        <is>
          <t>2026-04-23</t>
        </is>
      </c>
      <c r="L114" s="8" t="inlineStr">
        <is>
          <t>iFinD ifind_get_stock_info + ifind_get_stock_business_segmentation (as of 2026-10-27)；华海清科：2025年年度报告</t>
        </is>
      </c>
      <c r="M114" s="9" t="inlineStr">
        <is>
          <t>https://money.finance.sina.com.cn/corp/view/vCB_AllBulletinDetail.php?stockid=688120&amp;id=12154282</t>
        </is>
      </c>
    </row>
    <row r="115" ht="104" customHeight="1">
      <c r="B115" s="4" t="inlineStr">
        <is>
          <t>688123</t>
        </is>
      </c>
      <c r="C115" s="4" t="inlineStr">
        <is>
          <t>聚辰股份</t>
        </is>
      </c>
      <c r="D115" s="5" t="inlineStr">
        <is>
          <t>半导体：存储芯片-EEPROM</t>
        </is>
      </c>
      <c r="E115" s="4" t="inlineStr">
        <is>
          <t>纠错</t>
        </is>
      </c>
      <c r="F115" s="4" t="inlineStr">
        <is>
          <t>半导体</t>
        </is>
      </c>
      <c r="G115" s="5" t="inlineStr">
        <is>
          <t>芯片设计-存储芯片</t>
        </is>
      </c>
      <c r="H115" s="4" t="inlineStr">
        <is>
          <t>核心</t>
        </is>
      </c>
      <c r="I115" s="5" t="inlineStr">
        <is>
          <t>公司主营高性能集成电路研发设计和销售，EEPROM是规模最大的存储产品，同时经营音圈马达驱动等混合信号芯片和NFC芯片，不能将其他产品收入也视作EEPROM。2025年集成电路收入12.2128亿元、占营业收入100%；EEPROM收入10.69499亿元、约占87.57%，混合信号类芯片1.13922亿元、约占9.33%，NFC芯片及其他0.37863亿元、约占3.10%。存储业务已形成绝对主营规模，混合产品边界清晰，故定为核心，评级依据是已披露的主营产品和收入结构，而非概念热度或尚未兑现的潜在用途。综合上述收入结构，旧“存储芯片-EEPROM”虽指出主力产品，但不符合白名单层级，现统一为“芯片设计-存储芯片”，并在理由中保留EEPROM占比及其他芯片的真实边界。</t>
        </is>
      </c>
      <c r="J115" s="4" t="inlineStr">
        <is>
          <t>聚辰股份：2025年年度报告</t>
        </is>
      </c>
      <c r="K115" s="4" t="inlineStr">
        <is>
          <t>2026-03-21</t>
        </is>
      </c>
      <c r="L115" s="5" t="inlineStr">
        <is>
          <t>iFinD ifind_get_stock_info + ifind_get_stock_business_segmentation (as of 2026-10-27)；聚辰股份：2025年年度报告</t>
        </is>
      </c>
      <c r="M115" s="6" t="inlineStr">
        <is>
          <t>http://money.finance.sina.com.cn/corp/view/vCB_AllBulletinDetail.php?stockid=688123&amp;id=12007394</t>
        </is>
      </c>
    </row>
    <row r="116" ht="104" customHeight="1">
      <c r="B116" s="7" t="inlineStr">
        <is>
          <t>688126</t>
        </is>
      </c>
      <c r="C116" s="7" t="inlineStr">
        <is>
          <t>沪硅产业</t>
        </is>
      </c>
      <c r="D116" s="8" t="inlineStr">
        <is>
          <t>半导体：半导体材料</t>
        </is>
      </c>
      <c r="E116" s="7" t="inlineStr">
        <is>
          <t>纠错</t>
        </is>
      </c>
      <c r="F116" s="7" t="inlineStr">
        <is>
          <t>半导体</t>
        </is>
      </c>
      <c r="G116" s="8" t="inlineStr">
        <is>
          <t>半导体材料-硅片与硅部件</t>
        </is>
      </c>
      <c r="H116" s="7" t="inlineStr">
        <is>
          <t>核心</t>
        </is>
      </c>
      <c r="I116" s="8" t="inlineStr">
        <is>
          <t>公司真实产品是300mm、200mm及以下半导体硅片和受托加工服务，属于晶圆制造上游关键材料，不是泛化硅材料或光伏硅片。2025年半导体硅片收入36.79186亿元、占营业收入99.0085%；其中300mm产品24.38585亿元、约占65.62%，200mm及以下产品含SOI硅片11.25326亿元、约占30.29%，受托加工1.15276亿元、约占3.10%，其他业务仅0.9915%。主营收入几乎全部由半导体硅片贡献，故定为核心，评级依据是已披露的主营产品和收入结构，而非概念热度或尚未兑现的潜在用途。综合上述收入结构，旧“半导体材料”颗粒度过粗且不在白名单，现纠正为“半导体材料-硅片与硅部件”，同时明确尺寸结构和少量加工服务边界。</t>
        </is>
      </c>
      <c r="J116" s="7" t="inlineStr">
        <is>
          <t>上海硅产业集团股份有限公司2025年年度报告</t>
        </is>
      </c>
      <c r="K116" s="7" t="inlineStr">
        <is>
          <t>2026-04-17</t>
        </is>
      </c>
      <c r="L116" s="8" t="inlineStr">
        <is>
          <t>iFinD ifind_get_stock_info + ifind_get_stock_business_segmentation (as of 2026-10-27)；上海硅产业集团股份有限公司2025年年度报告</t>
        </is>
      </c>
      <c r="M116" s="9" t="inlineStr">
        <is>
          <t>http://static.cninfo.com.cn/finalpage/2026-04-17/1225114274.PDF</t>
        </is>
      </c>
    </row>
    <row r="117" ht="104" customHeight="1">
      <c r="B117" s="4" t="inlineStr">
        <is>
          <t>688138</t>
        </is>
      </c>
      <c r="C117" s="4" t="inlineStr">
        <is>
          <t>清溢光电</t>
        </is>
      </c>
      <c r="D117" s="5" t="inlineStr">
        <is>
          <t>半导体：半导体材料</t>
        </is>
      </c>
      <c r="E117" s="4" t="inlineStr">
        <is>
          <t>纠错</t>
        </is>
      </c>
      <c r="F117" s="4" t="inlineStr">
        <is>
          <t>半导体</t>
        </is>
      </c>
      <c r="G117" s="5" t="inlineStr">
        <is>
          <t>半导体材料-掩膜版</t>
        </is>
      </c>
      <c r="H117" s="4" t="inlineStr">
        <is>
          <t>相关</t>
        </is>
      </c>
      <c r="I117" s="5" t="inlineStr">
        <is>
          <t>公司主营掩膜版研发、设计、生产和销售，但真实下游同时包含平板显示和半导体芯片，不能把全部掩膜版收入归入半导体。2025年掩膜版行业收入12.30898亿元、占营业收入99.2924%，其中平板显示掩膜版收入9.78亿元、约占78.89%；公司正式互动明确半导体掩膜版约占全年营收17%，年报及行动方案披露该业务收入2.04亿元、约占16.46%，180nm已规模量产、150nm小批量量产。半导体产品真实且已有收入，但显示业务占主导，因此由核心降为相关。综合上述收入结构，旧“半导体材料”过粗且掩盖混合下游，现改为“半导体材料-掩膜版”，并保留半导体与显示的收入边界。</t>
        </is>
      </c>
      <c r="J117" s="4" t="inlineStr">
        <is>
          <t>深圳清溢光电股份有限公司2025年年度报告</t>
        </is>
      </c>
      <c r="K117" s="4" t="inlineStr">
        <is>
          <t>2026-04-27</t>
        </is>
      </c>
      <c r="L117" s="5" t="inlineStr">
        <is>
          <t>iFinD ifind_get_stock_info + ifind_get_stock_business_segmentation (as of 2026-10-27)；深圳清溢光电股份有限公司2025年年度报告</t>
        </is>
      </c>
      <c r="M117" s="6" t="inlineStr">
        <is>
          <t>https://static.cninfo.com.cn/finalpage/2026-04-27/1225197584.PDF</t>
        </is>
      </c>
    </row>
    <row r="118" ht="104" customHeight="1">
      <c r="B118" s="7" t="inlineStr">
        <is>
          <t>688147</t>
        </is>
      </c>
      <c r="C118" s="7" t="inlineStr">
        <is>
          <t>微导纳米</t>
        </is>
      </c>
      <c r="D118" s="8" t="inlineStr">
        <is>
          <t>半导体：半导体设备、半导体设备-前道</t>
        </is>
      </c>
      <c r="E118" s="7" t="inlineStr">
        <is>
          <t>纠错</t>
        </is>
      </c>
      <c r="F118" s="7" t="inlineStr">
        <is>
          <t>半导体</t>
        </is>
      </c>
      <c r="G118" s="8" t="inlineStr">
        <is>
          <t>半导体设备-薄膜沉积</t>
        </is>
      </c>
      <c r="H118" s="7" t="inlineStr">
        <is>
          <t>相关</t>
        </is>
      </c>
      <c r="I118" s="8" t="inlineStr">
        <is>
          <t>公司真实产品是ALD、CVD等微纳米薄膜沉积设备，半导体设备与光伏设备共用技术平台但属于不同下游和收入口径，不能将公司全部设备收入认定为半导体。2025年设备制造收入26.30623亿元、占营业收入99.8982%；其中光伏设备15.91289亿元、约占60.43%，半导体设备8.80893亿元、约占33.45%，配套产品及服务1.44123亿元、约占5.47%。半导体设备已有8.81亿元规模收入，绝非潜在用途，但光伏仍占多数，因此由核心降为相关。综合上述收入结构，旧“半导体设备”和“半导体设备-前道”重复且不合白名单，现统一为“半导体设备-薄膜沉积”；本项只审半导体，不保留其他行业标签。</t>
        </is>
      </c>
      <c r="J118" s="7" t="inlineStr">
        <is>
          <t>江苏微导纳米科技股份有限公司2025年年度报告</t>
        </is>
      </c>
      <c r="K118" s="7" t="inlineStr">
        <is>
          <t>2026-04-29</t>
        </is>
      </c>
      <c r="L118" s="8" t="inlineStr">
        <is>
          <t>iFinD ifind_get_stock_info + ifind_get_stock_business_segmentation (as of 2026-10-27)；江苏微导纳米科技股份有限公司2025年年度报告</t>
        </is>
      </c>
      <c r="M118" s="9" t="inlineStr">
        <is>
          <t>https://money.finance.sina.com.cn/corp/view/vCB_AllBulletinDetail.php?stockid=688147&amp;id=12263430</t>
        </is>
      </c>
    </row>
    <row r="119" ht="104" customHeight="1">
      <c r="B119" s="4" t="inlineStr">
        <is>
          <t>688187</t>
        </is>
      </c>
      <c r="C119" s="4" t="inlineStr">
        <is>
          <t>时代电气</t>
        </is>
      </c>
      <c r="D119" s="5" t="inlineStr">
        <is>
          <t>半导体：功率半导体</t>
        </is>
      </c>
      <c r="E119" s="4" t="inlineStr">
        <is>
          <t>纠错</t>
        </is>
      </c>
      <c r="F119" s="4" t="inlineStr">
        <is>
          <t>半导体</t>
        </is>
      </c>
      <c r="G119" s="5" t="inlineStr">
        <is>
          <t>芯片设计-功率半导体、晶圆制造与IDM</t>
        </is>
      </c>
      <c r="H119" s="4" t="inlineStr">
        <is>
          <t>相关</t>
        </is>
      </c>
      <c r="I119" s="5" t="inlineStr">
        <is>
          <t>公司主体仍是轨道交通装备，功率半导体属于新兴装备板块中的规模化业务，真实产品包括IGBT、SiC器件及功率模块，覆盖轨交、新能源汽车和电网等场景，并非仅有技术储备。2025年营业收入287.027001亿元，其中轨道交通装备158.055202亿元、约占55.07%，新兴装备127.805376亿元、约占44.53%；年报披露半导体板块收入53.60亿元、约占总收入18.67%，规模较大但仍非公司主营多数，故维持“相关”而非因金额大就升级核心。年报同时明确公司是同时掌握大功率晶闸管、IGBT、IGCT、SiC器件及其组件技术的IDM模式企业代表，拥有“芯片—模块—装置—系统”完整产业链，并建有6英寸双极器件、8英寸IGBT和8英寸SiC产业化基地，因此在保留“芯片设计-功率半导体”的同时补充“晶圆制造与IDM”。该标签只对应功率半导体产业链，不把新兴装备或轨交系统收入全部半导体化。</t>
        </is>
      </c>
      <c r="J119" s="4" t="inlineStr">
        <is>
          <t>株洲中车时代电气股份有限公司2025年年度报告</t>
        </is>
      </c>
      <c r="K119" s="4" t="inlineStr">
        <is>
          <t>2026-03-28</t>
        </is>
      </c>
      <c r="L119" s="5" t="inlineStr">
        <is>
          <t>iFinD ifind_get_stock_info + ifind_get_stock_business_segmentation (as of 2026-10-27)；株洲中车时代电气股份有限公司2025年年度报告</t>
        </is>
      </c>
      <c r="M119" s="6" t="inlineStr">
        <is>
          <t>http://money.finance.sina.com.cn/corp/view/vCB_AllBulletinDetail.php?stockid=688187&amp;id=12028013</t>
        </is>
      </c>
    </row>
    <row r="120" ht="104" customHeight="1">
      <c r="B120" s="7" t="inlineStr">
        <is>
          <t>688200</t>
        </is>
      </c>
      <c r="C120" s="7" t="inlineStr">
        <is>
          <t>华峰测控</t>
        </is>
      </c>
      <c r="D120" s="8" t="inlineStr">
        <is>
          <t>半导体：半导体设备-测试设备</t>
        </is>
      </c>
      <c r="E120" s="7" t="inlineStr">
        <is>
          <t>纠错</t>
        </is>
      </c>
      <c r="F120" s="7" t="inlineStr">
        <is>
          <t>半导体</t>
        </is>
      </c>
      <c r="G120" s="8" t="inlineStr">
        <is>
          <t>半导体设备-测试机与分选机</t>
        </is>
      </c>
      <c r="H120" s="7" t="inlineStr">
        <is>
          <t>核心</t>
        </is>
      </c>
      <c r="I120" s="8" t="inlineStr">
        <is>
          <t>公司主营半导体自动化测试系统研发、生产和销售，真实产品是面向模拟、混合信号、功率及SoC等器件的测试机和配件，属于后道电性测试，不应与晶圆缺陷检测或量测设备混为一类。2025年半导体器件专用设备制造收入13.40085亿元、占营业收入99.5302%；测试系统收入11.87358亿元、约占88.19%，配件收入1.52727亿元、约占11.34%，其他业务仅0.4698%。主营收入与半导体测试直接对应，规模化和商业化充分，故定为核心，评级依据是已披露的主营产品和收入结构，而非概念热度或尚未兑现的潜在用途。综合上述收入结构，旧“半导体设备-测试设备”容易与量检测混淆且不在白名单，现纠正为“半导体设备-测试机与分选机”，并不据此额外宣称分选机收入。</t>
        </is>
      </c>
      <c r="J120" s="7" t="inlineStr">
        <is>
          <t>北京华峰测控技术股份有限公司2025年年度报告</t>
        </is>
      </c>
      <c r="K120" s="7" t="inlineStr">
        <is>
          <t>2026-04-29</t>
        </is>
      </c>
      <c r="L120" s="8" t="inlineStr">
        <is>
          <t>iFinD ifind_get_stock_info + ifind_get_stock_business_segmentation (as of 2026-10-27)；北京华峰测控技术股份有限公司2025年年度报告</t>
        </is>
      </c>
      <c r="M120" s="9" t="inlineStr">
        <is>
          <t>http://money.finance.sina.com.cn/corp/view/vCB_AllBulletinDetail.php?stockid=688200&amp;id=12258268</t>
        </is>
      </c>
    </row>
    <row r="121" ht="104" customHeight="1">
      <c r="B121" s="4" t="inlineStr">
        <is>
          <t>688220</t>
        </is>
      </c>
      <c r="C121" s="4" t="inlineStr">
        <is>
          <t>翱捷科技-U</t>
        </is>
      </c>
      <c r="D121" s="5" t="inlineStr">
        <is>
          <t>半导体：端侧AI芯片</t>
        </is>
      </c>
      <c r="E121" s="4" t="inlineStr">
        <is>
          <t>纠错</t>
        </is>
      </c>
      <c r="F121" s="4" t="inlineStr">
        <is>
          <t>半导体</t>
        </is>
      </c>
      <c r="G121" s="5" t="inlineStr">
        <is>
          <t>芯片设计-射频与通信芯片</t>
        </is>
      </c>
      <c r="H121" s="4" t="inlineStr">
        <is>
          <t>核心</t>
        </is>
      </c>
      <c r="I121" s="5" t="inlineStr">
        <is>
          <t>公司真实收入主体是蜂窝基带及非蜂窝物联网通信芯片，端侧AI是部分智能SoC的应用方向，不能反过来用端侧AI概括全部业务。2025年集成电路收入38.16803亿元、占营业收入100%；芯片产品销售35.79331亿元、占93.78%，其中蜂窝基带占芯片产品收入93.81%，芯片定制2.17222亿元、约占5.69%，半导体IP授权0.20104亿元、约占0.53%。芯片销售规模化和主业属性明确，故定为核心，评级依据是已披露的主营产品和收入结构，而非概念热度或尚未兑现的潜在用途。综合上述收入结构，旧“端侧AI芯片”把次要应用方向误当主营，现纠正为“芯片设计-射频与通信芯片”；定制服务和IP虽有真实收入，本项不以其改变通信芯片的主体判断。</t>
        </is>
      </c>
      <c r="J121" s="4" t="inlineStr">
        <is>
          <t>翱捷科技股份有限公司2025年年度报告</t>
        </is>
      </c>
      <c r="K121" s="4" t="inlineStr">
        <is>
          <t>2026-03-31</t>
        </is>
      </c>
      <c r="L121" s="5" t="inlineStr">
        <is>
          <t>iFinD ifind_get_stock_info + ifind_get_stock_business_segmentation (as of 2026-10-27)；翱捷科技股份有限公司2025年年度报告</t>
        </is>
      </c>
      <c r="M121" s="6" t="inlineStr">
        <is>
          <t>http://file.finance.sina.com.cn/211.154.219.97:9494/MRGG/CNSESH_STOCK/2026/2026-3/2026-03-31/12043070.PDF</t>
        </is>
      </c>
    </row>
    <row r="122" ht="104" customHeight="1">
      <c r="B122" s="7" t="inlineStr">
        <is>
          <t>688233</t>
        </is>
      </c>
      <c r="C122" s="7" t="inlineStr">
        <is>
          <t>神工股份</t>
        </is>
      </c>
      <c r="D122" s="8" t="inlineStr">
        <is>
          <t>半导体：半导体材料</t>
        </is>
      </c>
      <c r="E122" s="7" t="inlineStr">
        <is>
          <t>纠错</t>
        </is>
      </c>
      <c r="F122" s="7" t="inlineStr">
        <is>
          <t>半导体</t>
        </is>
      </c>
      <c r="G122" s="8" t="inlineStr">
        <is>
          <t>半导体材料-硅片与硅部件</t>
        </is>
      </c>
      <c r="H122" s="7" t="inlineStr">
        <is>
          <t>核心</t>
        </is>
      </c>
      <c r="I122" s="8" t="inlineStr">
        <is>
          <t>公司真实产品是集成电路刻蚀用大直径单晶硅材料、硅电极等硅零部件以及半导体大尺寸硅片，属于半导体制造耗材和硅材料，并非普通工业硅。2025年半导体硅材料及其制成品收入4.35655亿元、占营业收入99.4648%；硅零部件2.37172亿元、约占54.15%，16英寸以上单晶硅材料1.06720亿元、约占24.37%，16英寸以下0.81432亿元、约占18.59%，大尺寸硅片0.10331亿元、约占2.36%。前三类已形成规模收入，大尺寸硅片占比较低但不影响整体核心认定。综合上述收入结构，旧“半导体材料”过泛，现改为“半导体材料-硅片与硅部件”，并区分成熟主业与较小硅片业务。</t>
        </is>
      </c>
      <c r="J122" s="7" t="inlineStr">
        <is>
          <t>锦州神工半导体股份有限公司2025年年度报告</t>
        </is>
      </c>
      <c r="K122" s="7" t="inlineStr">
        <is>
          <t>2026-03-21</t>
        </is>
      </c>
      <c r="L122" s="8" t="inlineStr">
        <is>
          <t>iFinD ifind_get_stock_info + ifind_get_stock_business_segmentation (as of 2026-10-27)；锦州神工半导体股份有限公司2025年年度报告</t>
        </is>
      </c>
      <c r="M122" s="9" t="inlineStr">
        <is>
          <t>https://guba.eastmoney.com/news,400245,1682662157.html</t>
        </is>
      </c>
    </row>
    <row r="123" ht="104" customHeight="1">
      <c r="B123" s="4" t="inlineStr">
        <is>
          <t>688256</t>
        </is>
      </c>
      <c r="C123" s="4" t="inlineStr">
        <is>
          <t>寒武纪</t>
        </is>
      </c>
      <c r="D123" s="5" t="inlineStr">
        <is>
          <t>半导体：算力芯片</t>
        </is>
      </c>
      <c r="E123" s="4" t="inlineStr">
        <is>
          <t>纠错</t>
        </is>
      </c>
      <c r="F123" s="4" t="inlineStr">
        <is>
          <t>半导体</t>
        </is>
      </c>
      <c r="G123" s="5" t="inlineStr">
        <is>
          <t>芯片设计-CPU/GPU/AI计算</t>
        </is>
      </c>
      <c r="H123" s="4" t="inlineStr">
        <is>
          <t>核心</t>
        </is>
      </c>
      <c r="I123" s="5" t="inlineStr">
        <is>
          <t>公司真实业务是云端、边缘端人工智能芯片及加速卡、智能整机和基础系统软件，核心收入来自云端AI训练推理产品，不是泛化算力概念或终端芯片公司。2025年集成电路行业收入64.97196亿元、占营业收入100%；云端智能芯片及加速卡收入64.76855亿元、约占99.69%，边缘端智能芯片及加速卡0.03394亿元、约占0.05%，终端智能处理器IP0.02289亿元、约占0.04%。云端产品已形成绝对规模收入，边缘和终端IP占比很小，混合边界清晰，故定为核心，评级依据是已披露的主营产品和收入结构，而非概念热度或尚未兑现的潜在用途。综合上述收入结构，旧“算力芯片”表述笼统且不在白名单，现纠正为“芯片设计-CPU/GPU/AI计算”，同时明确不是将所有AI应用收入并入。</t>
        </is>
      </c>
      <c r="J123" s="4" t="inlineStr">
        <is>
          <t>中科寒武纪科技股份有限公司2025年年度报告摘要</t>
        </is>
      </c>
      <c r="K123" s="4" t="inlineStr">
        <is>
          <t>2026-03-13</t>
        </is>
      </c>
      <c r="L123" s="5" t="inlineStr">
        <is>
          <t>iFinD ifind_get_stock_info + ifind_get_stock_business_segmentation (as of 2026-10-27)；中科寒武纪科技股份有限公司2025年年度报告摘要</t>
        </is>
      </c>
      <c r="M123" s="6" t="inlineStr">
        <is>
          <t>https://guba.eastmoney.com/news,688256,1678510552.html</t>
        </is>
      </c>
    </row>
    <row r="124" ht="104" customHeight="1">
      <c r="B124" s="7" t="inlineStr">
        <is>
          <t>688261</t>
        </is>
      </c>
      <c r="C124" s="7" t="inlineStr">
        <is>
          <t>东微半导</t>
        </is>
      </c>
      <c r="D124" s="8" t="inlineStr">
        <is>
          <t>半导体：功率半导体</t>
        </is>
      </c>
      <c r="E124" s="7" t="inlineStr">
        <is>
          <t>纠错</t>
        </is>
      </c>
      <c r="F124" s="7" t="inlineStr">
        <is>
          <t>半导体</t>
        </is>
      </c>
      <c r="G124" s="8" t="inlineStr">
        <is>
          <t>芯片设计-功率半导体</t>
        </is>
      </c>
      <c r="H124" s="7" t="inlineStr">
        <is>
          <t>核心</t>
        </is>
      </c>
      <c r="I124" s="8" t="inlineStr">
        <is>
          <t>公司主营高性能功率器件研发与销售，真实产品包括超级结MOSFET、中低压屏蔽栅MOSFET、TGBT系列IGBT、SiC器件和高密度功率模块，是功率半导体设计企业，不是仅向下游电源设备延伸的概念标的。2025年集成电路收入12.52427亿元、占营业收入99.9792%；功率半导体产品收入11.93266亿元、约占95.26%，晶圆收入0.59161亿元、约占4.72%，其他业务仅0.0208%。功率器件与晶圆均围绕同一半导体主业，已形成规模销售，故定为核心，评级依据是已披露的主营产品和收入结构，而非概念热度或尚未兑现的潜在用途。综合上述收入结构，旧“功率半导体”方向正确但需按白名单统一为“芯片设计-功率半导体”，并补充晶圆口径，避免将下游光伏、充电桩等应用收入误列为公司主营。</t>
        </is>
      </c>
      <c r="J124" s="7" t="inlineStr">
        <is>
          <t>苏州东微半导体股份有限公司2025年年度报告</t>
        </is>
      </c>
      <c r="K124" s="7" t="inlineStr">
        <is>
          <t>2026-04-28</t>
        </is>
      </c>
      <c r="L124" s="8" t="inlineStr">
        <is>
          <t>iFinD ifind_get_stock_info + ifind_get_stock_business_segmentation (as of 2026-10-27)；苏州东微半导体股份有限公司2025年年度报告</t>
        </is>
      </c>
      <c r="M124" s="9" t="inlineStr">
        <is>
          <t>https://static.sse.com.cn/disclosure/listedinfo/announcement/c/new/2026-04-28/688261_20260428_FC6X.pdf</t>
        </is>
      </c>
    </row>
    <row r="125" ht="104" customHeight="1">
      <c r="B125" s="4" t="inlineStr">
        <is>
          <t>688262</t>
        </is>
      </c>
      <c r="C125" s="4" t="inlineStr">
        <is>
          <t>国芯科技</t>
        </is>
      </c>
      <c r="D125" s="5" t="inlineStr">
        <is>
          <t>半导体：其他算力芯片</t>
        </is>
      </c>
      <c r="E125" s="4" t="inlineStr">
        <is>
          <t>纠错</t>
        </is>
      </c>
      <c r="F125" s="4" t="inlineStr">
        <is>
          <t>半导体</t>
        </is>
      </c>
      <c r="G125" s="5" t="inlineStr">
        <is>
          <t>芯片设计-MCU与嵌入式、EDA/IP与设计服务</t>
        </is>
      </c>
      <c r="H125" s="4" t="inlineStr">
        <is>
          <t>核心</t>
        </is>
      </c>
      <c r="I125" s="5" t="inlineStr">
        <is>
          <t>公司同时经营自主嵌入式CPU相关芯片及模组和芯片定制服务，真实产品覆盖安全、汽车电子、智能控制等嵌入式场景，不能把全部业务简单贴成算力芯片。2025年集成电路收入5.31567亿元、占营业收入99.9408%；自主芯片及模组2.53750亿元、约占47.71%，量产服务2.14491亿元、约占40.33%，设计服务0.61657亿元、约占11.59%，IP授权0.01668亿元、约占0.31%。定制设计及量产合计已过半，自主芯片亦具规模，故整体定为核心。综合上述收入结构，旧“其他算力芯片”不准确，现拆为“芯片设计-MCU与嵌入式”和“EDA/IP与设计服务”，并明确IP授权占比很低、不能夸大。</t>
        </is>
      </c>
      <c r="J125" s="4" t="inlineStr">
        <is>
          <t>苏州国芯科技股份有限公司2025年年度报告</t>
        </is>
      </c>
      <c r="K125" s="4" t="inlineStr">
        <is>
          <t>2026-04-24</t>
        </is>
      </c>
      <c r="L125" s="5" t="inlineStr">
        <is>
          <t>iFinD ifind_get_stock_info + ifind_get_stock_business_segmentation (as of 2026-10-27)；苏州国芯科技股份有限公司2025年年度报告</t>
        </is>
      </c>
      <c r="M125" s="6" t="inlineStr">
        <is>
          <t>http://money.finance.sina.com.cn/corp/view/vCB_AllBulletinDetail.php?stockid=688262&amp;id=12156613</t>
        </is>
      </c>
    </row>
    <row r="126" ht="104" customHeight="1">
      <c r="B126" s="7" t="inlineStr">
        <is>
          <t>688268</t>
        </is>
      </c>
      <c r="C126" s="7" t="inlineStr">
        <is>
          <t>华特气体</t>
        </is>
      </c>
      <c r="D126" s="8" t="inlineStr">
        <is>
          <t>半导体：半导体材料</t>
        </is>
      </c>
      <c r="E126" s="7" t="inlineStr">
        <is>
          <t>纠错</t>
        </is>
      </c>
      <c r="F126" s="7" t="inlineStr">
        <is>
          <t>半导体</t>
        </is>
      </c>
      <c r="G126" s="8" t="inlineStr">
        <is>
          <t>半导体材料-电子特气与湿化学品</t>
        </is>
      </c>
      <c r="H126" s="7" t="inlineStr">
        <is>
          <t>相关</t>
        </is>
      </c>
      <c r="I126" s="8" t="inlineStr">
        <is>
          <t>公司真实产品包括高纯电子特气、稀混光刻气、氟碳类和其他混配气，同时经营普通工业气体、气体设备与工程；特种气体也服务医疗、化工等多个下游，不能将其全部算作半导体收入。2025年特种气体收入9.23617亿元、占营业收入65.1008%，其中光刻及其他混合气体3.12074亿元、约占总收入22.00%；普通工业气体占20.3978%，设备及工程占11.0547%，其他业务占3.4466%。半导体材料已有真实规模供货，但混合气体和多元下游边界明显，因此由核心降为相关更稳妥。综合上述收入结构，旧“半导体材料”过宽，现纠正为“半导体材料-电子特气与湿化学品”，不把普通工业气体纳入概念依据。</t>
        </is>
      </c>
      <c r="J126" s="7" t="inlineStr">
        <is>
          <t>广东华特气体股份有限公司2025年年度报告</t>
        </is>
      </c>
      <c r="K126" s="7" t="inlineStr">
        <is>
          <t>2026-04-10</t>
        </is>
      </c>
      <c r="L126" s="8" t="inlineStr">
        <is>
          <t>iFinD ifind_get_stock_info + ifind_get_stock_business_segmentation (as of 2026-10-27)；广东华特气体股份有限公司2025年年度报告</t>
        </is>
      </c>
      <c r="M126" s="9" t="inlineStr">
        <is>
          <t>https://static.cninfo.com.cn/finalpage/2026-04-10/1225090204.PDF</t>
        </is>
      </c>
    </row>
    <row r="127" ht="104" customHeight="1">
      <c r="B127" s="4" t="inlineStr">
        <is>
          <t>688300</t>
        </is>
      </c>
      <c r="C127" s="4" t="inlineStr">
        <is>
          <t>联瑞新材</t>
        </is>
      </c>
      <c r="D127" s="5" t="inlineStr">
        <is>
          <t>半导体：半导体材料</t>
        </is>
      </c>
      <c r="E127" s="4" t="inlineStr">
        <is>
          <t>纠错</t>
        </is>
      </c>
      <c r="F127" s="4" t="inlineStr">
        <is>
          <t>半导体</t>
        </is>
      </c>
      <c r="G127" s="5" t="inlineStr">
        <is>
          <t>半导体材料-封装材料</t>
        </is>
      </c>
      <c r="H127" s="4" t="inlineStr">
        <is>
          <t>相关</t>
        </is>
      </c>
      <c r="I127" s="5" t="inlineStr">
        <is>
          <t>公司真实产品是角形和球形二氧化硅等无机功能粉体，可用于芯片封装用环氧塑封料，也大量用于高性能覆铜板、积层胶膜和导热材料；同一产品跨半导体封装与PCB应用，不能把全部粉体收入归入半导体。2025年先进无机非金属材料收入11.14134亿元、占营业收入99.8773%，其中球形无机粉体6.51612亿元、约占58.41%，角形无机粉体2.609995亿元、约占23.40%，其他产品2.01523亿元、约占18.07%；年报未单列半导体封装收入，且明确高性能覆铜板销售占比上升。已有真实封装材料应用和规模产品，但下游拆分不足，故由核心降为相关。综合上述收入结构，旧“半导体材料”现细化为“半导体材料-封装材料”，本项不保留PCB标签。</t>
        </is>
      </c>
      <c r="J127" s="4" t="inlineStr">
        <is>
          <t>江苏联瑞新材料股份有限公司2025年年度报告</t>
        </is>
      </c>
      <c r="K127" s="4" t="inlineStr">
        <is>
          <t>2026-04-22</t>
        </is>
      </c>
      <c r="L127" s="5" t="inlineStr">
        <is>
          <t>iFinD ifind_get_stock_info + ifind_get_stock_business_segmentation (as of 2026-10-27)；江苏联瑞新材料股份有限公司2025年年度报告</t>
        </is>
      </c>
      <c r="M127" s="6" t="inlineStr">
        <is>
          <t>https://money.finance.sina.com.cn/corp/view/vCB_AllBulletinDetail.php?stockid=688300&amp;id=12132109</t>
        </is>
      </c>
    </row>
    <row r="128" ht="104" customHeight="1">
      <c r="B128" s="7" t="inlineStr">
        <is>
          <t>688332</t>
        </is>
      </c>
      <c r="C128" s="7" t="inlineStr">
        <is>
          <t>中科蓝讯</t>
        </is>
      </c>
      <c r="D128" s="8" t="inlineStr">
        <is>
          <t>半导体：端侧AI芯片</t>
        </is>
      </c>
      <c r="E128" s="7" t="inlineStr">
        <is>
          <t>纠错</t>
        </is>
      </c>
      <c r="F128" s="7" t="inlineStr">
        <is>
          <t>半导体</t>
        </is>
      </c>
      <c r="G128" s="8" t="inlineStr">
        <is>
          <t>芯片设计-SoC与端侧AI、芯片设计-射频与通信芯片</t>
        </is>
      </c>
      <c r="H128" s="7" t="inlineStr">
        <is>
          <t>核心</t>
        </is>
      </c>
      <c r="I128" s="8" t="inlineStr">
        <is>
          <t>公司真实产品是无线音频SoC，覆盖蓝牙耳机、音箱、智能穿戴、数字音频和AI语音识别等芯片；端侧AI功能真实存在，但传统蓝牙音频仍是收入主体，不能把所有收入解释为AI芯片收入。2025年集成电路收入18.35295亿元、占营业收入99.6590%；蓝牙耳机芯片11.05623亿元、约占60.04%，蓝牙音箱3.37318亿元、约占18.32%，智能穿戴1.42519亿元、约占7.74%，数字音频1.01486亿元、约占5.51%。芯片主业规模明确，故定为核心，评级依据是已披露的主营产品和收入结构，而非概念热度或尚未兑现的潜在用途。综合上述收入结构，旧“端侧AI芯片”范围过窄且易夸大AI占比，现以“芯片设计-SoC与端侧AI”为主并补充“芯片设计-射频与通信芯片”，保留真实产品边界。</t>
        </is>
      </c>
      <c r="J128" s="7" t="inlineStr">
        <is>
          <t>深圳市中科蓝讯科技股份有限公司2025年年度报告</t>
        </is>
      </c>
      <c r="K128" s="7" t="inlineStr">
        <is>
          <t>2026-04-09</t>
        </is>
      </c>
      <c r="L128" s="8" t="inlineStr">
        <is>
          <t>iFinD ifind_get_stock_info + ifind_get_stock_business_segmentation (as of 2026-10-27)；深圳市中科蓝讯科技股份有限公司2025年年度报告</t>
        </is>
      </c>
      <c r="M128" s="9" t="inlineStr">
        <is>
          <t>https://guba.eastmoney.com/news,688332,1690749910.html</t>
        </is>
      </c>
    </row>
    <row r="129" ht="104" customHeight="1">
      <c r="B129" s="4" t="inlineStr">
        <is>
          <t>688361</t>
        </is>
      </c>
      <c r="C129" s="4" t="inlineStr">
        <is>
          <t>中科飞测</t>
        </is>
      </c>
      <c r="D129" s="5" t="inlineStr">
        <is>
          <t>半导体：半导体设备-测试设备</t>
        </is>
      </c>
      <c r="E129" s="4" t="inlineStr">
        <is>
          <t>纠错</t>
        </is>
      </c>
      <c r="F129" s="4" t="inlineStr">
        <is>
          <t>半导体</t>
        </is>
      </c>
      <c r="G129" s="5" t="inlineStr">
        <is>
          <t>半导体设备-量测与检测</t>
        </is>
      </c>
      <c r="H129" s="4" t="inlineStr">
        <is>
          <t>核心</t>
        </is>
      </c>
      <c r="I129" s="5" t="inlineStr">
        <is>
          <t>公司真实产品是晶圆缺陷检测和薄膜、套刻、关键尺寸等量测设备，用于集成电路制造过程控制，不是芯片电性测试机，也不能笼统写成测试设备。2025年半导体行业收入19.83017亿元、占营业收入96.5772%；检测设备收入13.64038亿元、约占总收入66.43%，量测设备6.23282亿元、约占30.36%，软件0.12626亿元、约占0.62%，其他业务和其他行业合计约3.42%。半导体量检测业务已有绝对规模收入，故定为核心，评级依据是已披露的主营产品和收入结构，而非概念热度或尚未兑现的潜在用途。综合上述收入结构，旧“半导体设备-测试设备”混淆后道ATE与前道过程控制，且不在白名单，现纠正为“半导体设备-量测与检测”，并将检测、量测两类收入分别说明。</t>
        </is>
      </c>
      <c r="J129" s="4" t="inlineStr">
        <is>
          <t>中科飞测：2025年年度报告</t>
        </is>
      </c>
      <c r="K129" s="4" t="inlineStr">
        <is>
          <t>2026-04-25</t>
        </is>
      </c>
      <c r="L129" s="5" t="inlineStr">
        <is>
          <t>iFinD ifind_get_stock_info + ifind_get_stock_business_segmentation (as of 2026-10-27)；中科飞测：2025年年度报告</t>
        </is>
      </c>
      <c r="M129" s="6" t="inlineStr">
        <is>
          <t>https://money.finance.sina.com.cn/corp/view/vCB_AllBulletinDetail.php?stockid=688361&amp;id=12185819</t>
        </is>
      </c>
    </row>
    <row r="130" ht="104" customHeight="1">
      <c r="B130" s="7" t="inlineStr">
        <is>
          <t>688368</t>
        </is>
      </c>
      <c r="C130" s="7" t="inlineStr">
        <is>
          <t>晶丰明源</t>
        </is>
      </c>
      <c r="D130" s="8" t="inlineStr">
        <is>
          <t>半导体：功率半导体</t>
        </is>
      </c>
      <c r="E130" s="7" t="inlineStr">
        <is>
          <t>纠错</t>
        </is>
      </c>
      <c r="F130" s="7" t="inlineStr">
        <is>
          <t>半导体</t>
        </is>
      </c>
      <c r="G130" s="8" t="inlineStr">
        <is>
          <t>芯片设计-模拟与电源管理</t>
        </is>
      </c>
      <c r="H130" s="7" t="inlineStr">
        <is>
          <t>核心</t>
        </is>
      </c>
      <c r="I130" s="8" t="inlineStr">
        <is>
          <t>公司真实产品是LED照明驱动、电机控制、AC/DC及DC/DC电源管理芯片，高性能计算电源也属于电源芯片，并非以MOSFET、IGBT等分立功率器件为主。2025年集成电路收入15.69567亿元、占营业收入99.9844%；LED驱动7.77746亿元、约占49.54%，电机控制4.00320亿元、约占25.50%，AC/DC电源2.95647亿元、约占18.83%，DC/DC电源0.95854亿元、约占6.11%，其中高性能计算电源0.958541亿元。公司整体就是模拟及电源管理芯片设计主业，因此由相关升级为核心。综合上述收入结构，旧“功率半导体”把电源IC与功率器件混淆，现纠正为“芯片设计-模拟与电源管理”，并保留LED和高性能计算等真实产品边界。</t>
        </is>
      </c>
      <c r="J130" s="7" t="inlineStr">
        <is>
          <t>上海晶丰明源半导体股份有限公司2025年年度报告</t>
        </is>
      </c>
      <c r="K130" s="7" t="inlineStr">
        <is>
          <t>2026-04-18</t>
        </is>
      </c>
      <c r="L130" s="8" t="inlineStr">
        <is>
          <t>iFinD ifind_get_stock_info + ifind_get_stock_business_segmentation (as of 2026-10-27)；上海晶丰明源半导体股份有限公司2025年年度报告</t>
        </is>
      </c>
      <c r="M130" s="9" t="inlineStr">
        <is>
          <t>https://static.sse.com.cn/disclosure/listedinfo/announcement/c/new/2026-04-18/688368_20260418_B6TB.pdf</t>
        </is>
      </c>
    </row>
    <row r="131" ht="104" customHeight="1">
      <c r="B131" s="4" t="inlineStr">
        <is>
          <t>688376</t>
        </is>
      </c>
      <c r="C131" s="4" t="inlineStr">
        <is>
          <t>美埃科技</t>
        </is>
      </c>
      <c r="D131" s="5" t="inlineStr">
        <is>
          <t>半导体：半导体洁净室</t>
        </is>
      </c>
      <c r="E131" s="4" t="inlineStr">
        <is>
          <t>纠错</t>
        </is>
      </c>
      <c r="F131" s="4" t="inlineStr">
        <is>
          <t>半导体</t>
        </is>
      </c>
      <c r="G131" s="5" t="inlineStr">
        <is>
          <t>洁净室与厂务工程</t>
        </is>
      </c>
      <c r="H131" s="4" t="inlineStr">
        <is>
          <t>相关</t>
        </is>
      </c>
      <c r="I131" s="5" t="inlineStr">
        <is>
          <t>公司真实产品是风机过滤单元、高效及化学过滤器、空气净化设备和洁净室墙板天花系统，服务半导体、生物制药等工业洁净环境；它们属于洁净室配套，不是晶圆工艺设备，也不能将生物医药和其他工业收入视作半导体。2025年洁净室空气净化收入12.30434亿元、占营业收入63.7837%，其他业务占36.2163%，风机过滤单元产品收入15.90500亿元；分部未单列半导体客户收入，故不能按全部洁净空气收入认定半导体主业。公司已有真实半导体项目和规模产品，但跨行业边界明显，因此由核心降为相关。综合上述收入结构，旧“半导体洁净室”不在白名单，现规范为“洁净室与厂务工程”，不升级为半导体专用工艺设备。</t>
        </is>
      </c>
      <c r="J131" s="4" t="inlineStr">
        <is>
          <t>美埃（中国）环境科技股份有限公司2025年年度报告</t>
        </is>
      </c>
      <c r="K131" s="4" t="inlineStr">
        <is>
          <t>2026-04-28</t>
        </is>
      </c>
      <c r="L131" s="5" t="inlineStr">
        <is>
          <t>iFinD ifind_get_stock_info + ifind_get_stock_business_segmentation (as of 2026-10-27)；美埃（中国）环境科技股份有限公司2025年年度报告</t>
        </is>
      </c>
      <c r="M131" s="6" t="inlineStr">
        <is>
          <t>https://vip.stock.finance.sina.com.cn/corp/view/vCB_AllBulletinDetail.php?stockid=688376&amp;id=12227147</t>
        </is>
      </c>
    </row>
    <row r="132" ht="104" customHeight="1">
      <c r="B132" s="7" t="inlineStr">
        <is>
          <t>688383</t>
        </is>
      </c>
      <c r="C132" s="7" t="inlineStr">
        <is>
          <t>新益昌</t>
        </is>
      </c>
      <c r="D132" s="8" t="inlineStr">
        <is>
          <t>半导体：半导体设备-封装设备</t>
        </is>
      </c>
      <c r="E132" s="7" t="inlineStr">
        <is>
          <t>纠错</t>
        </is>
      </c>
      <c r="F132" s="7" t="inlineStr">
        <is>
          <t>半导体</t>
        </is>
      </c>
      <c r="G132" s="8" t="inlineStr">
        <is>
          <t>半导体设备-封装设备</t>
        </is>
      </c>
      <c r="H132" s="7" t="inlineStr">
        <is>
          <t>相关</t>
        </is>
      </c>
      <c r="I132" s="8" t="inlineStr">
        <is>
          <t>公司真实设备包括半导体固晶机、LED及新型显示固晶机、电容器老化测试设备和少量锂电池设备，半导体封装设备已有销售，但固晶机分部同时混合LED与半导体下游，不能全额归入半导体。2025年智能制造装备收入6.93550亿元、占营业收入95.4186%；固晶机收入5.34721亿元、约占73.57%，电容器老化测试设备1.05613亿元、约占14.53%，其他设备0.47780亿元，锂电池设备仅0.05436亿元、约占0.75%。半导体固晶和焊线设备并非潜在用途，但缺少全年独立收入拆分且其他设备并存，因此由核心降为相关。旧标签方向基本正确，现按白名单统一为“半导体设备-封装设备”，明确不以全部固晶机收入佐证。</t>
        </is>
      </c>
      <c r="J132" s="7" t="inlineStr">
        <is>
          <t>深圳新益昌科技股份有限公司2025年年度报告</t>
        </is>
      </c>
      <c r="K132" s="7" t="inlineStr">
        <is>
          <t>2026-04-28</t>
        </is>
      </c>
      <c r="L132" s="8" t="inlineStr">
        <is>
          <t>iFinD ifind_get_stock_info + ifind_get_stock_business_segmentation (as of 2026-10-27)；深圳新益昌科技股份有限公司2025年年度报告</t>
        </is>
      </c>
      <c r="M132" s="9" t="inlineStr">
        <is>
          <t>http://money.finance.sina.com.cn/corp/view/vCB_AllBulletinDetail.php?stockid=688383&amp;id=12218826</t>
        </is>
      </c>
    </row>
    <row r="133" ht="104" customHeight="1">
      <c r="B133" s="4" t="inlineStr">
        <is>
          <t>688385</t>
        </is>
      </c>
      <c r="C133" s="4" t="inlineStr">
        <is>
          <t>复旦微电</t>
        </is>
      </c>
      <c r="D133" s="5" t="inlineStr">
        <is>
          <t>半导体：存储芯片-EEPROM</t>
        </is>
      </c>
      <c r="E133" s="4" t="inlineStr">
        <is>
          <t>纠错</t>
        </is>
      </c>
      <c r="F133" s="4" t="inlineStr">
        <is>
          <t>半导体</t>
        </is>
      </c>
      <c r="G133" s="5" t="inlineStr">
        <is>
          <t>芯片设计-存储芯片、芯片设计-FPGA与特种集成电路</t>
        </is>
      </c>
      <c r="H133" s="4" t="inlineStr">
        <is>
          <t>核心</t>
        </is>
      </c>
      <c r="I133" s="5" t="inlineStr">
        <is>
          <t>公司真实产品包括FPGA及其他芯片、非挥发存储器、安全与识别芯片和智能电表芯片，另有集成电路测试服务，不能仅以EEPROM或FPGA单一产品线概括。2025年设计及销售集成电路收入38.28459亿元、占营业收入96.1378%；FPGA及其他芯片14.13618亿元、约占35.50%，非挥发存储器10.41531亿元、约占26.15%，安全识别8.54862亿元、约占21.47%，智能电表5.18449亿元、约占13.02%，测试服务占3.6129%。各芯片均为规模销售，整体定为核心。综合上述收入结构，旧“存储芯片-EEPROM”过窄且把非挥发存储器简单等同EEPROM，现保留“芯片设计-存储芯片”并新增“芯片设计-FPGA与特种集成电路”；本项只审半导体，不带入军工标签。</t>
        </is>
      </c>
      <c r="J133" s="4" t="inlineStr">
        <is>
          <t>上海复旦微电子集团股份有限公司2025年年度报告</t>
        </is>
      </c>
      <c r="K133" s="4" t="inlineStr">
        <is>
          <t>2026-03-28</t>
        </is>
      </c>
      <c r="L133" s="5" t="inlineStr">
        <is>
          <t>iFinD ifind_get_stock_info + ifind_get_stock_business_segmentation (as of 2026-10-27)；上海复旦微电子集团股份有限公司2025年年度报告</t>
        </is>
      </c>
      <c r="M133" s="6" t="inlineStr">
        <is>
          <t>https://www.fmsh.com/UpLoadFile/20260330/%E5%A4%8D%E6%97%A6%E5%BE%AE%E7%94%B5_2025%E5%B9%B4%E5%B9%B4%E5%BA%A6%E6%8A%A5%E5%91%8A-2026-03-28.pdf</t>
        </is>
      </c>
    </row>
    <row r="134" ht="104" customHeight="1">
      <c r="B134" s="7" t="inlineStr">
        <is>
          <t>688392</t>
        </is>
      </c>
      <c r="C134" s="7" t="inlineStr">
        <is>
          <t>骄成超声</t>
        </is>
      </c>
      <c r="D134" s="8" t="inlineStr">
        <is>
          <t>半导体：半导体设备、半导体设备-后道</t>
        </is>
      </c>
      <c r="E134" s="7" t="inlineStr">
        <is>
          <t>纠错</t>
        </is>
      </c>
      <c r="F134" s="7" t="inlineStr">
        <is>
          <t>半导体</t>
        </is>
      </c>
      <c r="G134" s="8" t="inlineStr">
        <is>
          <t>半导体设备-键合与焊接、半导体设备-量测与检测</t>
        </is>
      </c>
      <c r="H134" s="7" t="inlineStr">
        <is>
          <t>相关</t>
        </is>
      </c>
      <c r="I134" s="8" t="inlineStr">
        <is>
          <t>公司超声波平台同时服务动力电池、线束连接器和半导体，半导体真实产品包括铝线及铜线键合机、端子和Pin针焊接机、超声波扫描显微镜，已与锂电焊接设备形成明确产品和收入区分。2025年半导体超声波设备收入0.963799亿元、约占营业收入12.45%，动力电池超声波焊接设备2.22359亿元、约占28.73%，线束连接器设备1.02516亿元、约占13.24%，配件2.60346亿元、约占33.64%。半导体业务已有近亿元收入和客户交付，不是早期概念，但占比仍低且其他下游更大，故维持相关。综合上述收入结构，旧“半导体设备”和“后道”重复宽泛，现细化为“半导体设备-键合与焊接”及“半导体设备-量测与检测”，严禁将锂电收入并入。</t>
        </is>
      </c>
      <c r="J134" s="7" t="inlineStr">
        <is>
          <t>上海骄成超声波技术股份有限公司2025年年度报告</t>
        </is>
      </c>
      <c r="K134" s="7" t="inlineStr">
        <is>
          <t>2026-03-31</t>
        </is>
      </c>
      <c r="L134" s="8" t="inlineStr">
        <is>
          <t>iFinD ifind_get_stock_info + ifind_get_stock_business_segmentation (as of 2026-10-27)；上海骄成超声波技术股份有限公司2025年年度报告</t>
        </is>
      </c>
      <c r="M134" s="9" t="inlineStr">
        <is>
          <t>https://static.cninfo.com.cn/finalpage/2026-03-31/1225063065.PDF</t>
        </is>
      </c>
    </row>
    <row r="135" ht="104" customHeight="1">
      <c r="B135" s="4" t="inlineStr">
        <is>
          <t>688396</t>
        </is>
      </c>
      <c r="C135" s="4" t="inlineStr">
        <is>
          <t>华润微</t>
        </is>
      </c>
      <c r="D135" s="5" t="inlineStr">
        <is>
          <t>半导体：功率半导体</t>
        </is>
      </c>
      <c r="E135" s="4" t="inlineStr">
        <is>
          <t>纠错</t>
        </is>
      </c>
      <c r="F135" s="4" t="inlineStr">
        <is>
          <t>半导体</t>
        </is>
      </c>
      <c r="G135" s="5" t="inlineStr">
        <is>
          <t>芯片设计-功率半导体、晶圆制造与IDM</t>
        </is>
      </c>
      <c r="H135" s="4" t="inlineStr">
        <is>
          <t>核心</t>
        </is>
      </c>
      <c r="I135" s="5" t="inlineStr">
        <is>
          <t>公司采用设计、晶圆制造、封装测试一体化IDM模式，真实产品包括MOSFET、IGBT、SiC和GaN器件、功率模块、功率IC以及智能传感器和控制产品，功率半导体与制造服务均为实际经营收入。2025年集成电路收入108.20661亿元、占营业收入97.8909%；产品及方案收入60.27878亿元、约占总收入54.53%，制造及服务47.92783亿元、约占43.36%，其他业务仅2.1091%。半导体业务占绝对主体且功率产品规模化，故定为核心，评级依据是已披露的主营产品和收入结构，而非概念热度或尚未兑现的潜在用途。综合上述收入结构，旧“功率半导体”只覆盖产品方案一侧，未体现IDM制造属性，现保留“芯片设计-功率半导体”并补充“晶圆制造与IDM”，同时避免把全部制造服务收入解释为功率器件销售。</t>
        </is>
      </c>
      <c r="J135" s="4" t="inlineStr">
        <is>
          <t>华润微电子有限公司2025年年度报告</t>
        </is>
      </c>
      <c r="K135" s="4" t="inlineStr">
        <is>
          <t>2026-04-25</t>
        </is>
      </c>
      <c r="L135" s="5" t="inlineStr">
        <is>
          <t>iFinD ifind_get_stock_info + ifind_get_stock_business_segmentation (as of 2026-10-27)；华润微电子有限公司2025年年度报告</t>
        </is>
      </c>
      <c r="M135" s="6" t="inlineStr">
        <is>
          <t>http://money.finance.sina.com.cn/corp/view/vCB_AllBulletinDetail.php?stockid=688396&amp;id=12193705</t>
        </is>
      </c>
    </row>
    <row r="136" ht="104" customHeight="1">
      <c r="B136" s="7" t="inlineStr">
        <is>
          <t>688401</t>
        </is>
      </c>
      <c r="C136" s="7" t="inlineStr">
        <is>
          <t>路维光电</t>
        </is>
      </c>
      <c r="D136" s="8" t="inlineStr">
        <is>
          <t>半导体：半导体材料</t>
        </is>
      </c>
      <c r="E136" s="7" t="inlineStr">
        <is>
          <t>纠错</t>
        </is>
      </c>
      <c r="F136" s="7" t="inlineStr">
        <is>
          <t>半导体</t>
        </is>
      </c>
      <c r="G136" s="8" t="inlineStr">
        <is>
          <t>半导体材料-掩膜版</t>
        </is>
      </c>
      <c r="H136" s="7" t="inlineStr">
        <is>
          <t>相关</t>
        </is>
      </c>
      <c r="I136" s="8" t="inlineStr">
        <is>
          <t>公司主营石英和苏打掩膜版，真实下游包括平板显示与半导体，半导体产品已实现150nm量产、130nm小批量量产，90nm及以上成套产品通过验证并供货，40nm和28nm单片完成验证，不能只按研发潜力贴标。2025年掩膜版行业收入11.55076亿元、占营业收入99.9866%，其中石英掩膜版10.58267亿元、约占91.61%，苏打掩膜版0.89909亿元、约占7.78%；年报未给出半导体独立收入，显示掩膜版仍被公司表述为主要收入来源，半导体为第二成长曲线。因此半导体业务真实且已量产，但混合下游和拆分不足使其定为相关，较旧核心结论更审慎。综合上述收入结构，旧“半导体材料”现规范为“半导体材料-掩膜版”。</t>
        </is>
      </c>
      <c r="J136" s="7" t="inlineStr">
        <is>
          <t>深圳市路维光电股份有限公司2025年年度报告</t>
        </is>
      </c>
      <c r="K136" s="7" t="inlineStr">
        <is>
          <t>2026-04-17</t>
        </is>
      </c>
      <c r="L136" s="8" t="inlineStr">
        <is>
          <t>iFinD ifind_get_stock_info + ifind_get_stock_business_segmentation (as of 2026-10-27)；深圳市路维光电股份有限公司2025年年度报告</t>
        </is>
      </c>
      <c r="M136" s="9" t="inlineStr">
        <is>
          <t>https://money.finance.sina.com.cn/corp/view/vCB_AllBulletinDetail.php?stockid=688401&amp;id=12102577</t>
        </is>
      </c>
    </row>
    <row r="137" ht="104" customHeight="1">
      <c r="B137" s="4" t="inlineStr">
        <is>
          <t>688416</t>
        </is>
      </c>
      <c r="C137" s="4" t="inlineStr">
        <is>
          <t>恒烁股份</t>
        </is>
      </c>
      <c r="D137" s="5" t="inlineStr">
        <is>
          <t>半导体：存储芯片-NOR Flash</t>
        </is>
      </c>
      <c r="E137" s="4" t="inlineStr">
        <is>
          <t>纠错</t>
        </is>
      </c>
      <c r="F137" s="4" t="inlineStr">
        <is>
          <t>半导体</t>
        </is>
      </c>
      <c r="G137" s="5" t="inlineStr">
        <is>
          <t>芯片设计-存储芯片、芯片设计-MCU与嵌入式</t>
        </is>
      </c>
      <c r="H137" s="4" t="inlineStr">
        <is>
          <t>核心</t>
        </is>
      </c>
      <c r="I137" s="5" t="inlineStr">
        <is>
          <t>公司真实产品是NOR Flash存储芯片和MCU，均为自主研发设计及销售的集成电路，不是存储模组或单一AI模组企业。2025年集成电路收入4.74511亿元、占营业收入99.9708%；NOR Flash收入4.09627亿元、约占86.30%，MCU收入0.64884亿元、约占13.67%，其他业务仅0.0292%。NOR已形成主要规模收入，MCU也有数千万元销售，二者共同构成清晰主业，因此定为核心。综合上述收入结构，旧“存储芯片-NOR Flash”虽抓住最大产品，却遗漏已占约13.67%的MCU业务且不合白名单，现以“芯片设计-存储芯片”为主并补充“芯片设计-MCU与嵌入式”；AI算法模组不作为本项半导体收入或概念依据。</t>
        </is>
      </c>
      <c r="J137" s="4" t="inlineStr">
        <is>
          <t>恒烁半导体（合肥）股份有限公司2025年年度报告摘要</t>
        </is>
      </c>
      <c r="K137" s="4" t="inlineStr">
        <is>
          <t>2026-04-18</t>
        </is>
      </c>
      <c r="L137" s="5" t="inlineStr">
        <is>
          <t>iFinD ifind_get_stock_info + ifind_get_stock_business_segmentation (as of 2026-10-27)；恒烁半导体（合肥）股份有限公司2025年年度报告摘要</t>
        </is>
      </c>
      <c r="M137" s="6" t="inlineStr">
        <is>
          <t>https://guba.eastmoney.com/news,688416,1695339414.html</t>
        </is>
      </c>
    </row>
    <row r="138" ht="104" customHeight="1">
      <c r="B138" s="7" t="inlineStr">
        <is>
          <t>688419</t>
        </is>
      </c>
      <c r="C138" s="7" t="inlineStr">
        <is>
          <t>耐科装备</t>
        </is>
      </c>
      <c r="D138" s="8" t="inlineStr">
        <is>
          <t>半导体：半导体设备-封装设备</t>
        </is>
      </c>
      <c r="E138" s="7" t="inlineStr">
        <is>
          <t>纠错</t>
        </is>
      </c>
      <c r="F138" s="7" t="inlineStr">
        <is>
          <t>半导体</t>
        </is>
      </c>
      <c r="G138" s="8" t="inlineStr">
        <is>
          <t>半导体设备-封装设备</t>
        </is>
      </c>
      <c r="H138" s="7" t="inlineStr">
        <is>
          <t>相关</t>
        </is>
      </c>
      <c r="I138" s="8" t="inlineStr">
        <is>
          <t>公司同时经营半导体封装装备与塑料挤出成型装备，半导体真实产品为封装设备和封装模具，已形成批量交付，不是借助封装概念延伸的潜在业务。2025年半导体封装设备及模具收入1.19834亿元、占营业收入40.6342%，其中封装设备0.97218亿元、约占32.97%，封装模具0.22616亿元、约占7.67%；塑料挤出成型模具、装置及下游设备收入1.67901亿元、占56.9333%，仍高于半导体板块。半导体业务规模真实且占比较高，但公司收入多数来自另一装备主业，因此由核心降为相关。综合上述收入结构，旧“半导体设备-封装设备”方向正确，现按白名单保留该精确标签，并明确塑料挤出业务不得混入半导体口径。</t>
        </is>
      </c>
      <c r="J138" s="7" t="inlineStr">
        <is>
          <t>安徽耐科装备科技股份有限公司2025年年度报告</t>
        </is>
      </c>
      <c r="K138" s="7" t="inlineStr">
        <is>
          <t>2026-03-21</t>
        </is>
      </c>
      <c r="L138" s="8" t="inlineStr">
        <is>
          <t>iFinD ifind_get_stock_info + ifind_get_stock_business_segmentation (as of 2026-10-27)；安徽耐科装备科技股份有限公司2025年年度报告</t>
        </is>
      </c>
      <c r="M138" s="9" t="inlineStr">
        <is>
          <t>http://dataclouds.cninfo.com.cn/shgonggao/hsomarket/2026/20260320/807e3b3912724608b0bb3c54a201cf64.PDF</t>
        </is>
      </c>
    </row>
    <row r="139" ht="104" customHeight="1">
      <c r="B139" s="4" t="inlineStr">
        <is>
          <t>688449</t>
        </is>
      </c>
      <c r="C139" s="4" t="inlineStr">
        <is>
          <t>联芸科技</t>
        </is>
      </c>
      <c r="D139" s="5" t="inlineStr">
        <is>
          <t>半导体：存储主控</t>
        </is>
      </c>
      <c r="E139" s="4" t="inlineStr">
        <is>
          <t>纠错</t>
        </is>
      </c>
      <c r="F139" s="4" t="inlineStr">
        <is>
          <t>半导体</t>
        </is>
      </c>
      <c r="G139" s="5" t="inlineStr">
        <is>
          <t>芯片设计-存储主控与接口</t>
        </is>
      </c>
      <c r="H139" s="4" t="inlineStr">
        <is>
          <t>核心</t>
        </is>
      </c>
      <c r="I139" s="5" t="inlineStr">
        <is>
          <t>公司真实产品是固态硬盘等数据存储主控芯片以及AIoT信号处理和传输芯片，存储主控是控制闪存读写的芯片设计业务，不是NAND晶圆、存储模组或SSD整机制造。2025年集成电路收入12.95928亿元、占营业收入97.6489%；数据存储主控芯片收入11.63097亿元、约占总收入87.64%，AIoT信号处理及传输芯片1.32831亿元、约占10.01%，其他业务2.3511%。存储主控已形成绝对规模收入，混合产品线边界清楚，故定为核心，评级依据是已披露的主营产品和收入结构，而非概念热度或尚未兑现的潜在用途。综合上述收入结构，旧“存储主控”方向正确但不在白名单，现规范为“芯片设计-存储主控与接口”，同时明确不能因公司服务存储产业链就把全部业务误写成存储芯片设计。</t>
        </is>
      </c>
      <c r="J139" s="4" t="inlineStr">
        <is>
          <t>联芸科技（杭州）股份有限公司2025年年度报告摘要</t>
        </is>
      </c>
      <c r="K139" s="4" t="inlineStr">
        <is>
          <t>2026-04-10</t>
        </is>
      </c>
      <c r="L139" s="5" t="inlineStr">
        <is>
          <t>iFinD ifind_get_stock_info + ifind_get_stock_business_segmentation (as of 2026-10-27)；联芸科技（杭州）股份有限公司2025年年度报告摘要</t>
        </is>
      </c>
      <c r="M139" s="6" t="inlineStr">
        <is>
          <t>https://guba.eastmoney.com/news,832982,1691378870.html</t>
        </is>
      </c>
    </row>
    <row r="140" ht="104" customHeight="1">
      <c r="B140" s="7" t="inlineStr">
        <is>
          <t>688469</t>
        </is>
      </c>
      <c r="C140" s="7" t="inlineStr">
        <is>
          <t>芯联集成-U</t>
        </is>
      </c>
      <c r="D140" s="8" t="inlineStr">
        <is>
          <t>半导体：功率半导体</t>
        </is>
      </c>
      <c r="E140" s="7" t="inlineStr">
        <is>
          <t>纠错</t>
        </is>
      </c>
      <c r="F140" s="7" t="inlineStr">
        <is>
          <t>半导体</t>
        </is>
      </c>
      <c r="G140" s="8" t="inlineStr">
        <is>
          <t>晶圆制造与IDM、芯片设计-功率半导体、封装测试</t>
        </is>
      </c>
      <c r="H140" s="7" t="inlineStr">
        <is>
          <t>核心</t>
        </is>
      </c>
      <c r="I140" s="8" t="inlineStr">
        <is>
          <t>公司真实业务是功率器件、模拟IC及MEMS的系统代工，产品覆盖IGBT、MOSFET、SiC MOSFET芯片与模组，同时提供晶圆制造和模组封测，并非单纯功率芯片设计商。2025年晶圆代工收入59.8321亿元，占总收入约81.7973亿元的73.15%；封装测试收入15.0785亿元，占18.43%，研发服务和其他业务另计，不能把全部晶圆代工收入都归为功率半导体，因为其中还含MEMS和模拟等混合口径。规模化制造与封测收入足以定为半导体核心，旧标签只写“功率半导体”过窄，应补上晶圆制造与IDM、封装测试，并保留功率器件这一真实技术主线。</t>
        </is>
      </c>
      <c r="J140" s="7" t="inlineStr">
        <is>
          <t>芯联集成电路制造股份有限公司2025年年度报告</t>
        </is>
      </c>
      <c r="K140" s="7" t="inlineStr">
        <is>
          <t>2026-04-21</t>
        </is>
      </c>
      <c r="L140" s="8" t="inlineStr">
        <is>
          <t>iFinD ifind_get_stock_info + ifind_get_stock_business_segmentation (as of 2026-10-27)；芯联集成电路制造股份有限公司2025年年度报告</t>
        </is>
      </c>
      <c r="M140" s="9" t="inlineStr">
        <is>
          <t>http://static.cninfo.com.cn/finalpage/2026-04-21/1225128269.PDF</t>
        </is>
      </c>
    </row>
    <row r="141" ht="104" customHeight="1">
      <c r="B141" s="4" t="inlineStr">
        <is>
          <t>688503</t>
        </is>
      </c>
      <c r="C141" s="4" t="inlineStr">
        <is>
          <t>聚和材料</t>
        </is>
      </c>
      <c r="D141" s="5" t="inlineStr">
        <is>
          <t>半导体：半导体材料</t>
        </is>
      </c>
      <c r="E141" s="4" t="inlineStr">
        <is>
          <t>摘除</t>
        </is>
      </c>
      <c r="F141" s="4" t="inlineStr">
        <is>
          <t>—</t>
        </is>
      </c>
      <c r="G141" s="5" t="inlineStr">
        <is>
          <t>—</t>
        </is>
      </c>
      <c r="H141" s="4" t="inlineStr">
        <is>
          <t>摘除</t>
        </is>
      </c>
      <c r="I141" s="5" t="inlineStr">
        <is>
          <t>公司2025年的真实规模化收入仍来自光伏导电银浆，主要产品为TOPCon、HJT、X-BC等太阳能电池用浆料，不能因经营范围出现“半导体材料”或后来布局空白掩膜版，就把既有收入改写为半导体收入。2025年正面银浆收入144.2219亿元，约占总收入145.9270亿元的98.83%；电子专用材料行业收入145.1504亿元同样是包含光伏浆料的宽口径，并非半导体材料收入。年报虽讨论空白掩膜版国产替代，但未披露其2025年形成可识别规模收入，属于新业务培育和潜在用途边界，不能与成熟主业等量齐观。因此本次摘除旧“半导体材料”标签，不保留任何半导体概念。</t>
        </is>
      </c>
      <c r="J141" s="4" t="inlineStr">
        <is>
          <t>聚和材料：2025年年度报告</t>
        </is>
      </c>
      <c r="K141" s="4" t="inlineStr">
        <is>
          <t>2026-03-31</t>
        </is>
      </c>
      <c r="L141" s="5" t="inlineStr">
        <is>
          <t>iFinD ifind_get_stock_info + ifind_get_stock_business_segmentation (as of 2026-10-27)；聚和材料：2025年年度报告</t>
        </is>
      </c>
      <c r="M141" s="6" t="inlineStr">
        <is>
          <t>http://money.finance.sina.com.cn/corp/view/vCB_AllBulletinDetail.php?stockid=688503&amp;id=12044269</t>
        </is>
      </c>
    </row>
    <row r="142" ht="104" customHeight="1">
      <c r="B142" s="7" t="inlineStr">
        <is>
          <t>688516</t>
        </is>
      </c>
      <c r="C142" s="7" t="inlineStr">
        <is>
          <t>奥特维</t>
        </is>
      </c>
      <c r="D142" s="8" t="inlineStr">
        <is>
          <t>半导体：半导体设备-封装设备</t>
        </is>
      </c>
      <c r="E142" s="7" t="inlineStr">
        <is>
          <t>纠错</t>
        </is>
      </c>
      <c r="F142" s="7" t="inlineStr">
        <is>
          <t>半导体</t>
        </is>
      </c>
      <c r="G142" s="8" t="inlineStr">
        <is>
          <t>半导体设备-封装设备、半导体设备-划片与切割、半导体设备-键合与焊接、半导体设备-量测与检测</t>
        </is>
      </c>
      <c r="H142" s="7" t="inlineStr">
        <is>
          <t>相关</t>
        </is>
      </c>
      <c r="I142" s="8" t="inlineStr">
        <is>
          <t>公司确有半导体封测设备产品和订单，铝线键合机、半导体AOI检测设备取得批量订单，划片机、装片机通过客户验证并取得小批量订单，因而不是凭光伏设备潜在迁移用途贴标签。2025年半导体产品收入1.4600亿元，仅占总收入约63.9718亿元的2.28%；光伏设备收入44.4357亿元，锂电及储能设备、改造服务另列，说明公司收入基本盘仍明显在光伏。半导体业务已经商业化但占比低，应定为“相关”而非核心。旧“半导体封装设备”方向可保留，但须按真实产品细化到划片切割、键合焊接和检测，并明确1.4600亿元是混合半导体设备口径，不能虚构各机型收入。</t>
        </is>
      </c>
      <c r="J142" s="7" t="inlineStr">
        <is>
          <t>无锡奥特维科技股份有限公司2025年年度报告</t>
        </is>
      </c>
      <c r="K142" s="7" t="inlineStr">
        <is>
          <t>2026-04-23</t>
        </is>
      </c>
      <c r="L142" s="8" t="inlineStr">
        <is>
          <t>iFinD ifind_get_stock_info + ifind_get_stock_business_segmentation (as of 2026-10-27)；无锡奥特维科技股份有限公司2025年年度报告</t>
        </is>
      </c>
      <c r="M142" s="9" t="inlineStr">
        <is>
          <t>http://static.cninfo.com.cn/finalpage/2026-04-23/1225145661.PDF</t>
        </is>
      </c>
    </row>
    <row r="143" ht="104" customHeight="1">
      <c r="B143" s="4" t="inlineStr">
        <is>
          <t>688521</t>
        </is>
      </c>
      <c r="C143" s="4" t="inlineStr">
        <is>
          <t>芯原股份</t>
        </is>
      </c>
      <c r="D143" s="5" t="inlineStr">
        <is>
          <t>半导体：端侧AI芯片</t>
        </is>
      </c>
      <c r="E143" s="4" t="inlineStr">
        <is>
          <t>纠错</t>
        </is>
      </c>
      <c r="F143" s="4" t="inlineStr">
        <is>
          <t>半导体</t>
        </is>
      </c>
      <c r="G143" s="5" t="inlineStr">
        <is>
          <t>EDA/IP与设计服务</t>
        </is>
      </c>
      <c r="H143" s="4" t="inlineStr">
        <is>
          <t>核心</t>
        </is>
      </c>
      <c r="I143" s="5" t="inlineStr">
        <is>
          <t>公司依托自主半导体IP提供一站式芯片定制和IP授权，真实交付包括芯片设计、由设计导入的量产服务、知识产权授权及特许权使用，不应被简单等同为销售自有端侧AI芯片的品牌芯片公司。2025年量产业务收入14.8968亿元，占总收入约31.5244亿元的47.25%；芯片设计业务8.7656亿元，占27.81%；知识产权授权使用费6.7125亿元，占21.29%，特许权使用费1.1091亿元另计。各业务均围绕集成电路设计和IP展开，核心定级有完整收入基础，但量产业务也含客户定制产品制造交付，不能全算IP收入。此次纠错以“EDA/IP与设计服务”替代旧“端侧AI芯片”，保留其AI、SoC设计能力作为应用边界而非虚构自有芯片收入。</t>
        </is>
      </c>
      <c r="J143" s="4" t="inlineStr">
        <is>
          <t>芯原股份：2025年年度报告</t>
        </is>
      </c>
      <c r="K143" s="4" t="inlineStr">
        <is>
          <t>2026-03-31</t>
        </is>
      </c>
      <c r="L143" s="5" t="inlineStr">
        <is>
          <t>iFinD ifind_get_stock_info + ifind_get_stock_business_segmentation (as of 2026-10-27)；芯原股份：2025年年度报告</t>
        </is>
      </c>
      <c r="M143" s="6" t="inlineStr">
        <is>
          <t>http://money.finance.sina.com.cn/corp/view/vCB_AllBulletinDetail.php?stockid=688521&amp;id=12043598</t>
        </is>
      </c>
    </row>
    <row r="144" ht="104" customHeight="1">
      <c r="B144" s="7" t="inlineStr">
        <is>
          <t>688525</t>
        </is>
      </c>
      <c r="C144" s="7" t="inlineStr">
        <is>
          <t>佰维存储</t>
        </is>
      </c>
      <c r="D144" s="8" t="inlineStr">
        <is>
          <t>半导体：存储模组</t>
        </is>
      </c>
      <c r="E144" s="7" t="inlineStr">
        <is>
          <t>纠错</t>
        </is>
      </c>
      <c r="F144" s="7" t="inlineStr">
        <is>
          <t>半导体</t>
        </is>
      </c>
      <c r="G144" s="8" t="inlineStr">
        <is>
          <t>存储模组与系统、封装测试</t>
        </is>
      </c>
      <c r="H144" s="7" t="inlineStr">
        <is>
          <t>核心</t>
        </is>
      </c>
      <c r="I144" s="8" t="inlineStr">
        <is>
          <t>公司是独立半导体存储解决方案提供商，真实产品包括嵌入式存储、消费级和工业级存储模组，并配套先进封装测试；其研发设计、固件、封测和模组制造能力不等于拥有DRAM或NAND存储晶圆设计制造主业。2025年三类存储产品合计收入约108.5048亿元，占总收入约113.0245亿元的96.00%，其中嵌入式68.7848亿元、消费级36.9454亿元、工业级2.7746亿元；先进封装及测试收入1.6951亿元，占1.50%，规模相对较小且不能与模组收入混算。存储业务足以定为核心，旧标签应落到“存储模组与系统”，并按真实服务补充“封装测试”，明确摘除任何把模组厂误写成存储晶圆厂的映射。</t>
        </is>
      </c>
      <c r="J144" s="7" t="inlineStr">
        <is>
          <t>佰维存储：2025年年度报告</t>
        </is>
      </c>
      <c r="K144" s="7" t="inlineStr">
        <is>
          <t>2026-03-20</t>
        </is>
      </c>
      <c r="L144" s="8" t="inlineStr">
        <is>
          <t>iFinD ifind_get_stock_info + ifind_get_stock_business_segmentation (as of 2026-10-27)；佰维存储：2025年年度报告</t>
        </is>
      </c>
      <c r="M144" s="9" t="inlineStr">
        <is>
          <t>https://money.finance.sina.com.cn/corp/view/vCB_AllBulletinDetail.php?stockid=688525&amp;id=12005837</t>
        </is>
      </c>
    </row>
    <row r="145" ht="104" customHeight="1">
      <c r="B145" s="4" t="inlineStr">
        <is>
          <t>688535</t>
        </is>
      </c>
      <c r="C145" s="4" t="inlineStr">
        <is>
          <t>华海诚科</t>
        </is>
      </c>
      <c r="D145" s="5" t="inlineStr">
        <is>
          <t>半导体：半导体材料-HBM塑封料</t>
        </is>
      </c>
      <c r="E145" s="4" t="inlineStr">
        <is>
          <t>纠错</t>
        </is>
      </c>
      <c r="F145" s="4" t="inlineStr">
        <is>
          <t>半导体</t>
        </is>
      </c>
      <c r="G145" s="5" t="inlineStr">
        <is>
          <t>半导体材料-封装材料</t>
        </is>
      </c>
      <c r="H145" s="4" t="inlineStr">
        <is>
          <t>核心</t>
        </is>
      </c>
      <c r="I145" s="5" t="inlineStr">
        <is>
          <t>公司规模化主业是半导体封装用环氧塑封料和电子胶黏剂，产品直接用于芯片封装，属于封装材料而非泛化的HBM单一概念。2025年环氧塑封料收入4.2839亿元，占总收入约4.5806亿元的93.52%；胶黏剂收入0.2781亿元，清润模材料收入0.0161亿元，收入边界清晰。年报披露先进封装、GMC及HBM相关材料的研发验证进展，但没有单独给出HBM塑封料收入，不能把全部环氧塑封料收入视作HBM收入，也不能把验证阶段产品写成已经规模放量。公司传统封装材料主业规模充分，定为半导体核心；此次纠错将过窄且容易夸大收入口径的旧“HBM塑封料”改为白名单“半导体材料-封装材料”。</t>
        </is>
      </c>
      <c r="J145" s="4" t="inlineStr">
        <is>
          <t>江苏华海诚科新材料股份有限公司2025年年度报告</t>
        </is>
      </c>
      <c r="K145" s="4" t="inlineStr">
        <is>
          <t>2026-03-18</t>
        </is>
      </c>
      <c r="L145" s="5" t="inlineStr">
        <is>
          <t>iFinD ifind_get_stock_info + ifind_get_stock_business_segmentation (as of 2026-10-27)；江苏华海诚科新材料股份有限公司2025年年度报告</t>
        </is>
      </c>
      <c r="M145" s="6" t="inlineStr">
        <is>
          <t>http://file.finance.sina.com.cn/211.154.219.97:9494/MRGG/CNSESH_STOCK/2026/2026-3/2026-03-18/12000695.PDF</t>
        </is>
      </c>
    </row>
    <row r="146" ht="104" customHeight="1">
      <c r="B146" s="7" t="inlineStr">
        <is>
          <t>688545</t>
        </is>
      </c>
      <c r="C146" s="7" t="inlineStr">
        <is>
          <t>兴福电子</t>
        </is>
      </c>
      <c r="D146" s="8" t="inlineStr">
        <is>
          <t>半导体：半导体材料</t>
        </is>
      </c>
      <c r="E146" s="7" t="inlineStr">
        <is>
          <t>纠错</t>
        </is>
      </c>
      <c r="F146" s="7" t="inlineStr">
        <is>
          <t>半导体</t>
        </is>
      </c>
      <c r="G146" s="8" t="inlineStr">
        <is>
          <t>半导体材料-电子特气与湿化学品</t>
        </is>
      </c>
      <c r="H146" s="7" t="inlineStr">
        <is>
          <t>核心</t>
        </is>
      </c>
      <c r="I146" s="8" t="inlineStr">
        <is>
          <t>公司真实产品是电子级磷酸、硫酸、双氧水等通用湿电子化学品以及功能湿电子化学品，直接服务集成电路制造清洗、蚀刻等工艺，属于已有规模收入的半导体关键材料。2025年集成电路行业收入12.4758亿元，占总收入约14.7498亿元的84.58%；通用型产品收入10.9347亿元、功能型产品2.4475亿元，但产品口径还覆盖显示面板等下游，并另有回收综合利用和代工收入，不能把两类产品收入全部当成半导体收入。以集成电路行业口径衡量，主营规模和下游纯度均支持核心定级。旧“半导体材料”粗标签应纠正为“电子特气与湿化学品”，同时保留混合下游边界，不追加光刻胶或电子特气中并无依据的具体产品。</t>
        </is>
      </c>
      <c r="J146" s="7" t="inlineStr">
        <is>
          <t>湖北兴福电子材料股份有限公司2025年年度报告</t>
        </is>
      </c>
      <c r="K146" s="7" t="inlineStr">
        <is>
          <t>2026-03-31</t>
        </is>
      </c>
      <c r="L146" s="8" t="inlineStr">
        <is>
          <t>iFinD ifind_get_stock_info + ifind_get_stock_business_segmentation (as of 2026-10-27)；湖北兴福电子材料股份有限公司2025年年度报告</t>
        </is>
      </c>
      <c r="M146" s="9" t="inlineStr">
        <is>
          <t>http://static.cninfo.com.cn/finalpage/2026-03-31/1225059665.PDF</t>
        </is>
      </c>
    </row>
    <row r="147" ht="104" customHeight="1">
      <c r="B147" s="4" t="inlineStr">
        <is>
          <t>688591</t>
        </is>
      </c>
      <c r="C147" s="4" t="inlineStr">
        <is>
          <t>泰凌微</t>
        </is>
      </c>
      <c r="D147" s="5" t="inlineStr">
        <is>
          <t>半导体：端侧AI芯片</t>
        </is>
      </c>
      <c r="E147" s="4" t="inlineStr">
        <is>
          <t>纠错</t>
        </is>
      </c>
      <c r="F147" s="4" t="inlineStr">
        <is>
          <t>半导体</t>
        </is>
      </c>
      <c r="G147" s="5" t="inlineStr">
        <is>
          <t>芯片设计-SoC与端侧AI、芯片设计-射频与通信芯片</t>
        </is>
      </c>
      <c r="H147" s="4" t="inlineStr">
        <is>
          <t>核心</t>
        </is>
      </c>
      <c r="I147" s="5" t="inlineStr">
        <is>
          <t>公司真实主业为低功耗无线物联网系统级芯片，产品包括IoT芯片和音频芯片，覆盖蓝牙、多协议无线连接及端侧智能应用，既有无线通信芯片属性，也有SoC和端侧AI延伸，不能只贴一个泛化的AI标签。2025年IoT芯片收入8.9843亿元，占总收入约10.1503亿元的88.51%；音频芯片收入1.1454亿元，占11.28%，集成电路收入基本构成全部主营。上述收入证明芯片设计主业已规模化，支持核心定级，但IoT和音频收入并不全部等于端侧AI收入，年报所述端侧AI新品放量预期不能倒推为2025年既有收入。此次纠错保留SoC与端侧AI方向，同时补回射频与通信芯片的真实基本盘并明确混合产品边界。</t>
        </is>
      </c>
      <c r="J147" s="4" t="inlineStr">
        <is>
          <t>泰凌微电子（上海）股份有限公司2025年年度报告</t>
        </is>
      </c>
      <c r="K147" s="4" t="inlineStr">
        <is>
          <t>2026-04-10</t>
        </is>
      </c>
      <c r="L147" s="5" t="inlineStr">
        <is>
          <t>iFinD ifind_get_stock_info + ifind_get_stock_business_segmentation (as of 2026-10-27)；泰凌微电子（上海）股份有限公司2025年年度报告</t>
        </is>
      </c>
      <c r="M147" s="6" t="inlineStr">
        <is>
          <t>http://file.finance.sina.com.cn/211.154.219.97:9494/MRGG/CNSESH_STOCK/2026/2026-4/2026-04-10/12073254.PDF</t>
        </is>
      </c>
    </row>
    <row r="148" ht="104" customHeight="1">
      <c r="B148" s="7" t="inlineStr">
        <is>
          <t>688595</t>
        </is>
      </c>
      <c r="C148" s="7" t="inlineStr">
        <is>
          <t>芯海科技</t>
        </is>
      </c>
      <c r="D148" s="8" t="inlineStr">
        <is>
          <t>半导体：端侧AI芯片</t>
        </is>
      </c>
      <c r="E148" s="7" t="inlineStr">
        <is>
          <t>纠错</t>
        </is>
      </c>
      <c r="F148" s="7" t="inlineStr">
        <is>
          <t>半导体</t>
        </is>
      </c>
      <c r="G148" s="8" t="inlineStr">
        <is>
          <t>芯片设计-MCU与嵌入式、芯片设计-模拟与电源管理、芯片设计-SoC与端侧AI</t>
        </is>
      </c>
      <c r="H148" s="7" t="inlineStr">
        <is>
          <t>核心</t>
        </is>
      </c>
      <c r="I148" s="8" t="inlineStr">
        <is>
          <t>公司真实产品矩阵由模拟信号链、MCU和健康测量AIoT芯片构成，不能把全部业务简化为端侧AI，也不能只凭“信号链MCU”忽略各产品线的独立收入。2025年MCU芯片收入3.3986亿元，占总收入约8.4856亿元的40.05%；模拟信号链芯片2.9945亿元，占35.29%；健康测量AIoT芯片1.8317亿元，占21.59%，其余为其他产品和技术开发服务。三条主要产品线均已形成实际销售，集成电路主业足以定为半导体核心，但AIoT收入仅为其中一个分部，不能将MCU和模拟芯片收入也包装成AI收入。此次纠错把旧单一“端侧AI芯片”拆成MCU与嵌入式、模拟与电源管理、SoC与端侧AI三个白名单方向。</t>
        </is>
      </c>
      <c r="J148" s="7" t="inlineStr">
        <is>
          <t>芯海科技：2025年年度报告</t>
        </is>
      </c>
      <c r="K148" s="7" t="inlineStr">
        <is>
          <t>2026-03-31</t>
        </is>
      </c>
      <c r="L148" s="8" t="inlineStr">
        <is>
          <t>iFinD ifind_get_stock_info + ifind_get_stock_business_segmentation (as of 2026-10-27)；芯海科技：2025年年度报告</t>
        </is>
      </c>
      <c r="M148" s="9" t="inlineStr">
        <is>
          <t>http://money.finance.sina.com.cn/corp/view/vCB_AllBulletinDetail.php?stockid=688595&amp;id=12048712</t>
        </is>
      </c>
    </row>
    <row r="149" ht="104" customHeight="1">
      <c r="B149" s="4" t="inlineStr">
        <is>
          <t>688605</t>
        </is>
      </c>
      <c r="C149" s="4" t="inlineStr">
        <is>
          <t>先锋精科</t>
        </is>
      </c>
      <c r="D149" s="5" t="inlineStr">
        <is>
          <t>半导体：半导体设备-前道</t>
        </is>
      </c>
      <c r="E149" s="4" t="inlineStr">
        <is>
          <t>纠错</t>
        </is>
      </c>
      <c r="F149" s="4" t="inlineStr">
        <is>
          <t>半导体</t>
        </is>
      </c>
      <c r="G149" s="5" t="inlineStr">
        <is>
          <t>设备核心零部件</t>
        </is>
      </c>
      <c r="H149" s="4" t="inlineStr">
        <is>
          <t>核心</t>
        </is>
      </c>
      <c r="I149" s="5" t="inlineStr">
        <is>
          <t>公司实际从事半导体刻蚀、薄膜沉积设备关键零部件的精密制造，主要产品是腔体、内衬、加热器、匀气盘等工艺和结构部件，并不生产完整刻蚀机或薄膜沉积设备。2025年半导体行业收入11.9432亿元，占总收入约12.3773亿元的96.49%；其中工艺部件8.9409亿元、结构部件2.3785亿元，模组、其他部件及表面处理分别披露，半导体收入纯度和规模均很高，定为半导体核心没有疑问。但核心定级不改变其供应商层级，不能把零部件收入写成前道整机收入。此次纠错应将旧“半导体设备-前道”改为“设备核心零部件”，并保留刻蚀和薄膜沉积只是下游设备应用方向的边界。</t>
        </is>
      </c>
      <c r="J149" s="4" t="inlineStr">
        <is>
          <t>江苏先锋精密科技股份有限公司2025年年度报告</t>
        </is>
      </c>
      <c r="K149" s="4" t="inlineStr">
        <is>
          <t>2026-04-10</t>
        </is>
      </c>
      <c r="L149" s="5" t="inlineStr">
        <is>
          <t>iFinD ifind_get_stock_info + ifind_get_stock_business_segmentation (as of 2026-10-27)；江苏先锋精密科技股份有限公司2025年年度报告</t>
        </is>
      </c>
      <c r="M149" s="6" t="inlineStr">
        <is>
          <t>https://static.sse.com.cn/disclosure/listedinfo/announcement/c/new/2026-04-10/688605_20260410_L559.pdf</t>
        </is>
      </c>
    </row>
    <row r="150" ht="104" customHeight="1">
      <c r="B150" s="7" t="inlineStr">
        <is>
          <t>688608</t>
        </is>
      </c>
      <c r="C150" s="7" t="inlineStr">
        <is>
          <t>恒玄科技</t>
        </is>
      </c>
      <c r="D150" s="8" t="inlineStr">
        <is>
          <t>半导体：端侧AI芯片</t>
        </is>
      </c>
      <c r="E150" s="7" t="inlineStr">
        <is>
          <t>纠错</t>
        </is>
      </c>
      <c r="F150" s="7" t="inlineStr">
        <is>
          <t>半导体</t>
        </is>
      </c>
      <c r="G150" s="8" t="inlineStr">
        <is>
          <t>芯片设计-SoC与端侧AI、芯片设计-射频与通信芯片</t>
        </is>
      </c>
      <c r="H150" s="7" t="inlineStr">
        <is>
          <t>核心</t>
        </is>
      </c>
      <c r="I150" s="8" t="inlineStr">
        <is>
          <t>公司真实产品为智能无线音频、智能可穿戴和智能硬件SoC，集成低功耗无线连接、音频处理和计算能力，广泛用于耳机、手表、智能眼镜等终端，属于端侧SoC与无线通信芯片设计公司。2025年集成电路行业收入35.2389亿元，占总收入约35.2478亿元的99.97%；其中智能蓝牙音频芯片14.4351亿元、普通蓝牙音频芯片4.2874亿元，“其他”产品16.5164亿元还混合包含可穿戴和智能硬件等，不能将全部“其他”收入单列为某一AI产品。芯片收入规模及纯度支持核心定级，但端侧AI是SoC能力与应用方向，并非所有收入的同义词。此次纠错在保留SoC与端侧AI的同时补充射频与通信芯片，纠正旧标签过窄的问题。</t>
        </is>
      </c>
      <c r="J150" s="7" t="inlineStr">
        <is>
          <t>恒玄科技（上海）股份有限公司2025年年度报告</t>
        </is>
      </c>
      <c r="K150" s="7" t="inlineStr">
        <is>
          <t>2026-03-27</t>
        </is>
      </c>
      <c r="L150" s="8" t="inlineStr">
        <is>
          <t>iFinD ifind_get_stock_info + ifind_get_stock_business_segmentation (as of 2026-10-27)；恒玄科技（上海）股份有限公司2025年年度报告</t>
        </is>
      </c>
      <c r="M150" s="9" t="inlineStr">
        <is>
          <t>https://static.cninfo.com.cn/finalpage/2026-03-27/1225037702.PDF</t>
        </is>
      </c>
    </row>
    <row r="151" ht="104" customHeight="1">
      <c r="B151" s="4" t="inlineStr">
        <is>
          <t>688610</t>
        </is>
      </c>
      <c r="C151" s="4" t="inlineStr">
        <is>
          <t>埃科光电</t>
        </is>
      </c>
      <c r="D151" s="5" t="inlineStr">
        <is>
          <t>半导体：半导体设备</t>
        </is>
      </c>
      <c r="E151" s="4" t="inlineStr">
        <is>
          <t>纠错</t>
        </is>
      </c>
      <c r="F151" s="4" t="inlineStr">
        <is>
          <t>半导体</t>
        </is>
      </c>
      <c r="G151" s="5" t="inlineStr">
        <is>
          <t>设备核心零部件、半导体设备-量测与检测</t>
        </is>
      </c>
      <c r="H151" s="4" t="inlineStr">
        <is>
          <t>相关</t>
        </is>
      </c>
      <c r="I151" s="5" t="inlineStr">
        <is>
          <t>公司主营工业线扫描、面扫描相机、图像采集卡和智能光学单元，在半导体领域用于晶圆表面缺陷、宏观晶圆及封测检测，属于机器视觉核心硬件和检测方案供应商，不能笼统计为前道工艺设备。2025年总收入4.4031亿元，其中电子制造1.4371亿元、新型显示1.0216亿元、新能源0.8010亿元，其他行业0.8668亿元，年报没有单列半导体收入；这些行业收入还包含PCB、显示和锂电用途，不能混合归入半导体。正式互动亦说明半导体整体收入规模较小，部分产品为小批量导入，因此定为“相关”而非核心。旧“半导体设备”应细化并降格为检测及核心部件映射，明确真实应用已落地但收入占比低。</t>
        </is>
      </c>
      <c r="J151" s="4" t="inlineStr">
        <is>
          <t>合肥埃科光电科技股份有限公司2025年年度报告</t>
        </is>
      </c>
      <c r="K151" s="4" t="inlineStr">
        <is>
          <t>2026-03-31</t>
        </is>
      </c>
      <c r="L151" s="5" t="inlineStr">
        <is>
          <t>iFinD ifind_get_stock_info + ifind_get_stock_business_segmentation (as of 2026-10-27)；合肥埃科光电科技股份有限公司2025年年度报告</t>
        </is>
      </c>
      <c r="M151" s="6" t="inlineStr">
        <is>
          <t>https://static.cninfo.com.cn/finalpage/2026-03-31/1225059687.PDF</t>
        </is>
      </c>
    </row>
    <row r="152" ht="104" customHeight="1">
      <c r="B152" s="7" t="inlineStr">
        <is>
          <t>688620</t>
        </is>
      </c>
      <c r="C152" s="7" t="inlineStr">
        <is>
          <t>安凯微</t>
        </is>
      </c>
      <c r="D152" s="8" t="inlineStr">
        <is>
          <t>半导体：端侧AI芯片</t>
        </is>
      </c>
      <c r="E152" s="7" t="inlineStr">
        <is>
          <t>纠错</t>
        </is>
      </c>
      <c r="F152" s="7" t="inlineStr">
        <is>
          <t>半导体</t>
        </is>
      </c>
      <c r="G152" s="8" t="inlineStr">
        <is>
          <t>芯片设计-SoC与端侧AI</t>
        </is>
      </c>
      <c r="H152" s="7" t="inlineStr">
        <is>
          <t>核心</t>
        </is>
      </c>
      <c r="I152" s="8" t="inlineStr">
        <is>
          <t>公司实际研发和销售物联网摄像机芯片、物联网应用处理器芯片，产品属于面向智能摄像、视觉处理和物联网终端的SoC，具备端侧智能计算应用基础，而不是泛化的算力芯片或存储芯片标的。2025年芯片销售收入5.3282亿元，占总收入约5.3696亿元的99.23%；其中物联网摄像机芯片4.3337亿元，约占80.71%，物联网应用处理器芯片0.8984亿元，约占16.73%，其他芯片和其他业务占比较小。芯片产品销售规模和收入纯度均支持核心定级，但摄像机SoC收入不能全部解释为AI加速芯片收入，终端AI能力应与产品分部口径区分。此次纠错将旧“端侧AI芯片”规范为“SoC与端侧AI”，保留真实产品边界。</t>
        </is>
      </c>
      <c r="J152" s="7" t="inlineStr">
        <is>
          <t>广州安凯微电子股份有限公司2025年年度报告</t>
        </is>
      </c>
      <c r="K152" s="7" t="inlineStr">
        <is>
          <t>2026-04-23</t>
        </is>
      </c>
      <c r="L152" s="8" t="inlineStr">
        <is>
          <t>iFinD ifind_get_stock_info + ifind_get_stock_business_segmentation (as of 2026-10-27)；广州安凯微电子股份有限公司2025年年度报告</t>
        </is>
      </c>
      <c r="M152" s="9" t="inlineStr">
        <is>
          <t>http://file.finance.sina.com.cn/211.154.219.97:9494/MRGG/CNSESH_STOCK/2026/2026-4/2026-04-23/12151647.PDF</t>
        </is>
      </c>
    </row>
    <row r="153" ht="104" customHeight="1">
      <c r="B153" s="4" t="inlineStr">
        <is>
          <t>688627</t>
        </is>
      </c>
      <c r="C153" s="4" t="inlineStr">
        <is>
          <t>精智达</t>
        </is>
      </c>
      <c r="D153" s="5" t="inlineStr">
        <is>
          <t>半导体：半导体设备-存储测试</t>
        </is>
      </c>
      <c r="E153" s="4" t="inlineStr">
        <is>
          <t>纠错</t>
        </is>
      </c>
      <c r="F153" s="4" t="inlineStr">
        <is>
          <t>半导体</t>
        </is>
      </c>
      <c r="G153" s="5" t="inlineStr">
        <is>
          <t>半导体设备-测试机与分选机</t>
        </is>
      </c>
      <c r="H153" s="4" t="inlineStr">
        <is>
          <t>核心</t>
        </is>
      </c>
      <c r="I153" s="5" t="inlineStr">
        <is>
          <t>公司真实半导体产品包括存储器晶圆测试、老化测试及修复、封装测试设备，直接对应存储芯片测试环节，不是存储芯片制造商，也不能把其显示检测设备收入一并计入半导体。2025年半导体存储器件测试设备收入6.2452亿元，占总收入约11.2806亿元的55.36%；新型显示器件检测设备收入5.0061亿元，占44.38%，其他业务另列。半导体测试设备已经取代单一显示业务成为重要收入支柱，规模和独立性均足以支持核心定级，但公司仍是双主业结构，不能宣称全部收入来自存储测试。此次纠错把旧“半导体设备-存储测试”规范到白名单“测试机与分选机”，并明确保留显示业务混合收入边界。</t>
        </is>
      </c>
      <c r="J153" s="4" t="inlineStr">
        <is>
          <t>深圳精智达技术股份有限公司2025年年度报告</t>
        </is>
      </c>
      <c r="K153" s="4" t="inlineStr">
        <is>
          <t>2026-04-11</t>
        </is>
      </c>
      <c r="L153" s="5" t="inlineStr">
        <is>
          <t>iFinD ifind_get_stock_info + ifind_get_stock_business_segmentation (as of 2026-10-27)；深圳精智达技术股份有限公司2025年年度报告</t>
        </is>
      </c>
      <c r="M153" s="6" t="inlineStr">
        <is>
          <t>http://file.finance.sina.com.cn/211.154.219.97:9494/MRGG/CNSESH_STOCK/2026/2026-4/2026-04-11/12081335.PDF</t>
        </is>
      </c>
    </row>
    <row r="154" ht="104" customHeight="1">
      <c r="B154" s="7" t="inlineStr">
        <is>
          <t>688630</t>
        </is>
      </c>
      <c r="C154" s="7" t="inlineStr">
        <is>
          <t>芯碁微装</t>
        </is>
      </c>
      <c r="D154" s="8" t="inlineStr">
        <is>
          <t>半导体：半导体设备、半导体设备-前道</t>
        </is>
      </c>
      <c r="E154" s="7" t="inlineStr">
        <is>
          <t>纠错</t>
        </is>
      </c>
      <c r="F154" s="7" t="inlineStr">
        <is>
          <t>半导体</t>
        </is>
      </c>
      <c r="G154" s="8" t="inlineStr">
        <is>
          <t>半导体设备-其他专用设备</t>
        </is>
      </c>
      <c r="H154" s="7" t="inlineStr">
        <is>
          <t>相关</t>
        </is>
      </c>
      <c r="I154" s="8" t="inlineStr">
        <is>
          <t>公司以微纳直写光刻为技术核心，真实产品同时覆盖PCB直接成像和泛半导体直写光刻设备，后者可服务先进封装、掩膜版及泛半导体制造，但不能将PCB曝光设备或全部泛半导体设备直接写成晶圆前道光刻机。2025年泛半导体系列收入2.3342亿元，占总收入约14.0812亿元的16.58%；PCB系列收入10.7993亿元，占76.69%，另有维护租赁和其他收入。半导体方向已经形成亿元级真实收入，故不应摘除，但占比和混合应用口径不足以把公司整体定为半导体核心，宜列为“相关”。此次纠错删除旧“半导体设备-前道”的过度映射，改为“其他专用设备”，并保留PCB主业与泛半导体混合边界。</t>
        </is>
      </c>
      <c r="J154" s="7" t="inlineStr">
        <is>
          <t>芯碁微装：2025年年度报告</t>
        </is>
      </c>
      <c r="K154" s="7" t="inlineStr">
        <is>
          <t>2026-03-14</t>
        </is>
      </c>
      <c r="L154" s="8" t="inlineStr">
        <is>
          <t>iFinD ifind_get_stock_info + ifind_get_stock_business_segmentation (as of 2026-10-27)；芯碁微装：2025年年度报告</t>
        </is>
      </c>
      <c r="M154" s="9" t="inlineStr">
        <is>
          <t>https://money.finance.sina.com.cn/corp/view/vCB_AllBulletinDetail.php?stockid=688630&amp;id=11993950</t>
        </is>
      </c>
    </row>
    <row r="155" ht="104" customHeight="1">
      <c r="B155" s="4" t="inlineStr">
        <is>
          <t>688661</t>
        </is>
      </c>
      <c r="C155" s="4" t="inlineStr">
        <is>
          <t>和林微纳</t>
        </is>
      </c>
      <c r="D155" s="5" t="inlineStr">
        <is>
          <t>半导体：半导体材料</t>
        </is>
      </c>
      <c r="E155" s="4" t="inlineStr">
        <is>
          <t>纠错</t>
        </is>
      </c>
      <c r="F155" s="4" t="inlineStr">
        <is>
          <t>半导体</t>
        </is>
      </c>
      <c r="G155" s="5" t="inlineStr">
        <is>
          <t>半导体设备-探针台与测试接口</t>
        </is>
      </c>
      <c r="H155" s="4" t="inlineStr">
        <is>
          <t>核心</t>
        </is>
      </c>
      <c r="I155" s="5" t="inlineStr">
        <is>
          <t>公司真实半导体产品是芯片测试探针，用于测试设备与晶圆或芯片之间的精密电性连接，属于测试接口及耗材，不是硅片、化学品等半导体材料，也不是完整测试机。2025年半导体芯片测试探针收入2.5878亿元，占总收入约8.6756亿元的29.83%；精密结构件收入3.6749亿元、精微屏蔽罩1.6106亿元主要属于通信及其他电子零部件，不能随探针一起并入半导体收入。探针已经形成独立且规模化的第二主业，足以保留半导体核心定级，但公司整体仍是混合产品结构，不能宣称全部精密零部件都服务半导体。此次纠错删除旧“半导体材料”，改归“探针台与测试接口”，准确反映其产品层级和收入边界。</t>
        </is>
      </c>
      <c r="J155" s="4" t="inlineStr">
        <is>
          <t>苏州和林微纳科技股份有限公司2025年年度报告</t>
        </is>
      </c>
      <c r="K155" s="4" t="inlineStr">
        <is>
          <t>2026-03-31</t>
        </is>
      </c>
      <c r="L155" s="5" t="inlineStr">
        <is>
          <t>iFinD ifind_get_stock_info + ifind_get_stock_business_segmentation (as of 2026-10-27)；苏州和林微纳科技股份有限公司2025年年度报告</t>
        </is>
      </c>
      <c r="M155" s="6" t="inlineStr">
        <is>
          <t>http://static.cninfo.com.cn/finalpage/2026-03-31/1225060336.PDF</t>
        </is>
      </c>
    </row>
    <row r="156" ht="104" customHeight="1">
      <c r="B156" s="7" t="inlineStr">
        <is>
          <t>688665</t>
        </is>
      </c>
      <c r="C156" s="7" t="inlineStr">
        <is>
          <t>四方光电</t>
        </is>
      </c>
      <c r="D156" s="8" t="inlineStr">
        <is>
          <t>半导体：半导体设备</t>
        </is>
      </c>
      <c r="E156" s="7" t="inlineStr">
        <is>
          <t>纠错</t>
        </is>
      </c>
      <c r="F156" s="7" t="inlineStr">
        <is>
          <t>半导体</t>
        </is>
      </c>
      <c r="G156" s="8" t="inlineStr">
        <is>
          <t>设备核心零部件</t>
        </is>
      </c>
      <c r="H156" s="7" t="inlineStr">
        <is>
          <t>相关</t>
        </is>
      </c>
      <c r="I156" s="8" t="inlineStr">
        <is>
          <t>公司主营气体传感器和气体分析仪器，半导体业务的真实落点是向设备厂商提供腔室气体监测、洁净环境检测等传感部件和方案，并非生产刻蚀、沉积等半导体工艺整机。2025年气体传感器收入7.3740亿元，占总收入约10.2605亿元的71.87%，气体分析仪器收入1.1250亿元，但两项均广泛服务汽车、暖通、工业安全和环保等领域，不能全部算成半导体收入。正式投资者关系记录显示相关红外气体传感器自2025年起获得国内主要半导体设备厂商采购并批量供货，证明不是纯潜在用途，但未单列半导体收入，现阶段仍属低可见度延伸业务，故定为“相关”，旧“半导体设备”改纠为设备核心零部件。</t>
        </is>
      </c>
      <c r="J156" s="7" t="inlineStr">
        <is>
          <t>四方光电股份有限公司投资者关系活动记录表</t>
        </is>
      </c>
      <c r="K156" s="7" t="inlineStr">
        <is>
          <t>2026-06-17</t>
        </is>
      </c>
      <c r="L156" s="8" t="inlineStr">
        <is>
          <t>iFinD ifind_get_stock_info + ifind_get_stock_business_segmentation (as of 2026-10-27)；四方光电股份有限公司投资者关系活动记录表</t>
        </is>
      </c>
      <c r="M156" s="9" t="inlineStr">
        <is>
          <t>https://pdf.dfcfw.com/pdf/H2_AN202606171823634863_1.pdf</t>
        </is>
      </c>
    </row>
    <row r="157" ht="104" customHeight="1">
      <c r="B157" s="4" t="inlineStr">
        <is>
          <t>688691</t>
        </is>
      </c>
      <c r="C157" s="4" t="inlineStr">
        <is>
          <t>灿芯股份</t>
        </is>
      </c>
      <c r="D157" s="5" t="inlineStr">
        <is>
          <t>半导体：算力芯片</t>
        </is>
      </c>
      <c r="E157" s="4" t="inlineStr">
        <is>
          <t>纠错</t>
        </is>
      </c>
      <c r="F157" s="4" t="inlineStr">
        <is>
          <t>半导体</t>
        </is>
      </c>
      <c r="G157" s="5" t="inlineStr">
        <is>
          <t>EDA/IP与设计服务</t>
        </is>
      </c>
      <c r="H157" s="4" t="inlineStr">
        <is>
          <t>核心</t>
        </is>
      </c>
      <c r="I157" s="5" t="inlineStr">
        <is>
          <t>公司提供一站式芯片定制服务，按客户需求完成芯片设计，并承接由设计服务导入的量产交付，拥有IP和平台能力，但不等于销售自有品牌GPU或通用算力芯片。2025年芯片设计业务收入3.6733亿元，占总收入约7.2445亿元的50.70%；芯片量产业务收入3.5712亿元，占49.30%，两项共同构成全部集成电路收入。主营业务与半导体设计服务直接相关，规模足以定为半导体核心，不过量产业务包含客户定制芯片的供应链和制造交付，不能全部视为高毛利IP授权，也不能按终端用途把全部收入贴成算力。此次纠错以“EDA/IP与设计服务”替换旧“算力芯片”，保留定制ASIC可覆盖多种应用但不虚构自有产品的边界。</t>
        </is>
      </c>
      <c r="J157" s="4" t="inlineStr">
        <is>
          <t>灿芯半导体（上海）股份有限公司2025年年度报告</t>
        </is>
      </c>
      <c r="K157" s="4" t="inlineStr">
        <is>
          <t>2026-04-17</t>
        </is>
      </c>
      <c r="L157" s="5" t="inlineStr">
        <is>
          <t>iFinD ifind_get_stock_info + ifind_get_stock_business_segmentation (as of 2026-10-27)；灿芯半导体（上海）股份有限公司2025年年度报告</t>
        </is>
      </c>
      <c r="M157" s="6" t="inlineStr">
        <is>
          <t>http://file.finance.sina.com.cn/211.154.219.97:9494/MRGG/CNSESH_STOCK/2026/2026-4/2026-04-17/12101550.PDF</t>
        </is>
      </c>
    </row>
    <row r="158" ht="104" customHeight="1">
      <c r="B158" s="7" t="inlineStr">
        <is>
          <t>688693</t>
        </is>
      </c>
      <c r="C158" s="7" t="inlineStr">
        <is>
          <t>锴威特</t>
        </is>
      </c>
      <c r="D158" s="8" t="inlineStr">
        <is>
          <t>半导体：功率半导体</t>
        </is>
      </c>
      <c r="E158" s="7" t="inlineStr">
        <is>
          <t>纠错</t>
        </is>
      </c>
      <c r="F158" s="7" t="inlineStr">
        <is>
          <t>半导体</t>
        </is>
      </c>
      <c r="G158" s="8" t="inlineStr">
        <is>
          <t>芯片设计-功率半导体、芯片设计-模拟与电源管理</t>
        </is>
      </c>
      <c r="H158" s="7" t="inlineStr">
        <is>
          <t>核心</t>
        </is>
      </c>
      <c r="I158" s="8" t="inlineStr">
        <is>
          <t>公司真实产品包括平面及超结MOSFET、SiC MOSFET和SiC SBD等功率器件，以及PWM控制、电机驱动、DC-DC等功率IC，采用设计研发和销售模式并提供技术服务，属于功率半导体与电源管理芯片公司。2025年功率器件收入1.1023亿元，占总收入约2.5457亿元的43.30%；功率IC及其他收入1.3523亿元，占53.12%，集成电路行业收入合计约2.4938亿元，另有少量技术服务和其他业务。全部主业围绕功率及配套控制芯片展开，核心定级合理，但“功率IC及其他”是混合口径，不能把其中每一项都虚构为某一具体产品收入。此次纠错保留功率半导体，并补充模拟与电源管理，明确公司不是晶圆代工或IDM制造标签。</t>
        </is>
      </c>
      <c r="J158" s="7" t="inlineStr">
        <is>
          <t>苏州锴威特半导体股份有限公司2025年年度报告</t>
        </is>
      </c>
      <c r="K158" s="7" t="inlineStr">
        <is>
          <t>2026-04-09</t>
        </is>
      </c>
      <c r="L158" s="8" t="inlineStr">
        <is>
          <t>iFinD ifind_get_stock_info + ifind_get_stock_business_segmentation (as of 2026-10-27)；苏州锴威特半导体股份有限公司2025年年度报告</t>
        </is>
      </c>
      <c r="M158" s="9" t="inlineStr">
        <is>
          <t>http://dataclouds.cninfo.com.cn/shgonggao/hsomarket/2026/20260409/18faea5a4a3f4c8c8ada1122c5707c8a.PDF</t>
        </is>
      </c>
    </row>
    <row r="159" ht="104" customHeight="1">
      <c r="B159" s="4" t="inlineStr">
        <is>
          <t>688711</t>
        </is>
      </c>
      <c r="C159" s="4" t="inlineStr">
        <is>
          <t>宏微科技</t>
        </is>
      </c>
      <c r="D159" s="5" t="inlineStr">
        <is>
          <t>半导体：功率半导体</t>
        </is>
      </c>
      <c r="E159" s="4" t="inlineStr">
        <is>
          <t>纠错</t>
        </is>
      </c>
      <c r="F159" s="4" t="inlineStr">
        <is>
          <t>半导体</t>
        </is>
      </c>
      <c r="G159" s="5" t="inlineStr">
        <is>
          <t>芯片设计-功率半导体</t>
        </is>
      </c>
      <c r="H159" s="4" t="inlineStr">
        <is>
          <t>核心</t>
        </is>
      </c>
      <c r="I159" s="5" t="inlineStr">
        <is>
          <t>公司真实产品以IGBT、FRED以及SiC、GaN功率半导体芯片、单管和模块为主，并提供功率器件解决方案，模块封装和受托加工服务于其功率产品体系，不能因此扩写成独立通用封测代工企业。2025年功率半导体器件收入13.3367亿元，占总收入约13.4771亿元的98.96%；其中模块10.3429亿元，占76.74%，单管2.5486亿元，芯片0.1953亿元，受托加工0.2498亿元，其他业务另列。功率产品收入占比和绝对规模均充分，定为半导体核心明确。此次纠错将旧“IGBT模块”扩展为白名单“芯片设计-功率半导体”，同时保留模块为主、芯片和单管混合销售的真实结构，不把模块收入误当作晶圆制造收入。</t>
        </is>
      </c>
      <c r="J159" s="4" t="inlineStr">
        <is>
          <t>江苏宏微科技股份有限公司2025年年度报告</t>
        </is>
      </c>
      <c r="K159" s="4" t="inlineStr">
        <is>
          <t>2026-04-30</t>
        </is>
      </c>
      <c r="L159" s="5" t="inlineStr">
        <is>
          <t>iFinD ifind_get_stock_info + ifind_get_stock_business_segmentation (as of 2026-10-27)；江苏宏微科技股份有限公司2025年年度报告</t>
        </is>
      </c>
      <c r="M159" s="6" t="inlineStr">
        <is>
          <t>http://file.finance.sina.com.cn/211.154.219.97:9494/MRGG/CNSESH_STOCK/2026/2026-4/2026-04-30/12286103.PDF</t>
        </is>
      </c>
    </row>
    <row r="160" ht="104" customHeight="1">
      <c r="B160" s="7" t="inlineStr">
        <is>
          <t>688729</t>
        </is>
      </c>
      <c r="C160" s="7" t="inlineStr">
        <is>
          <t>屹唐股份</t>
        </is>
      </c>
      <c r="D160" s="8" t="inlineStr">
        <is>
          <t>半导体：半导体设备-前道</t>
        </is>
      </c>
      <c r="E160" s="7" t="inlineStr">
        <is>
          <t>纠错</t>
        </is>
      </c>
      <c r="F160" s="7" t="inlineStr">
        <is>
          <t>半导体</t>
        </is>
      </c>
      <c r="G160" s="8" t="inlineStr">
        <is>
          <t>半导体设备-热处理与去胶、半导体设备-刻蚀</t>
        </is>
      </c>
      <c r="H160" s="7" t="inlineStr">
        <is>
          <t>核心</t>
        </is>
      </c>
      <c r="I160" s="8" t="inlineStr">
        <is>
          <t>公司直接研发、生产和销售晶圆加工设备，真实产品包括Suprema、Optima干法去胶设备，Helios快速热处理、Millios毫秒退火设备，以及paradigmE、RENA-E等离子体刻蚀设备，属于规模化半导体前道专用设备供应商。2025年销售专用设备收入49.6424亿元，占总收入约50.7632亿元的97.79%；服务收入1.0931亿元，特许权使用费0.0277亿元，业务纯度极高，核心定级没有争议。年报产品分部没有把专用设备收入进一步拆成去胶、热处理和刻蚀各自金额，因此不能按产品线虚构收入占比。此次纠错将旧笼统“前道设备”细化为“热处理与去胶”和“刻蚀”，不追加公司没有明确规模产品证据的其他设备概念。</t>
        </is>
      </c>
      <c r="J160" s="7" t="inlineStr">
        <is>
          <t>屹唐股份：2025年年度报告</t>
        </is>
      </c>
      <c r="K160" s="7" t="inlineStr">
        <is>
          <t>2026-04-29</t>
        </is>
      </c>
      <c r="L160" s="8" t="inlineStr">
        <is>
          <t>iFinD ifind_get_stock_info + ifind_get_stock_business_segmentation (as of 2026-10-27)；屹唐股份：2025年年度报告</t>
        </is>
      </c>
      <c r="M160" s="9" t="inlineStr">
        <is>
          <t>http://vip.stock.finance.sina.com.cn/corp/view/vCB_AllBulletinDetail.php?stockid=688729&amp;id=12261296</t>
        </is>
      </c>
    </row>
    <row r="161" ht="104" customHeight="1">
      <c r="B161" s="4" t="inlineStr">
        <is>
          <t>688766</t>
        </is>
      </c>
      <c r="C161" s="4" t="inlineStr">
        <is>
          <t>普冉股份</t>
        </is>
      </c>
      <c r="D161" s="5" t="inlineStr">
        <is>
          <t>半导体：存储芯片-NOR Flash</t>
        </is>
      </c>
      <c r="E161" s="4" t="inlineStr">
        <is>
          <t>纠错</t>
        </is>
      </c>
      <c r="F161" s="4" t="inlineStr">
        <is>
          <t>半导体</t>
        </is>
      </c>
      <c r="G161" s="5" t="inlineStr">
        <is>
          <t>芯片设计-存储芯片、芯片设计-MCU与嵌入式、芯片设计-模拟与电源管理</t>
        </is>
      </c>
      <c r="H161" s="4" t="inlineStr">
        <is>
          <t>核心</t>
        </is>
      </c>
      <c r="I161" s="5" t="inlineStr">
        <is>
          <t>公司真实主业为非易失性存储器芯片设计，产品包括NOR Flash、EEPROM、SLC NAND及衍生产品，同时经营MCU和VCM Driver等模拟产品，属于芯片设计而非存储模组或晶圆代工企业。2025年存储芯片收入17.8736亿元，占总收入约23.1975亿元的77.05%；微控制器及其他收入5.3227亿元，占22.94%，但该分部混合包含MCU和其他产品，不能进一步虚构MCU或模拟芯片各自金额。存储设计收入占绝对主导，辅以已经销售的新产品线，整体定为半导体核心。此次纠错将旧“NOR Flash”扩展并规范为“存储芯片”，同时按真实产品补充MCU与嵌入式、模拟与电源管理，保留混合分部边界。</t>
        </is>
      </c>
      <c r="J161" s="4" t="inlineStr">
        <is>
          <t>普冉股份：2025年年度报告</t>
        </is>
      </c>
      <c r="K161" s="4" t="inlineStr">
        <is>
          <t>2026-03-21</t>
        </is>
      </c>
      <c r="L161" s="5" t="inlineStr">
        <is>
          <t>iFinD ifind_get_stock_info + ifind_get_stock_business_segmentation (as of 2026-10-27)；普冉股份：2025年年度报告</t>
        </is>
      </c>
      <c r="M161" s="6" t="inlineStr">
        <is>
          <t>https://money.finance.sina.com.cn/corp/view/vCB_AllBulletinDetail.php?stockid=688766&amp;id=12009745</t>
        </is>
      </c>
    </row>
    <row r="162" ht="104" customHeight="1">
      <c r="B162" s="7" t="inlineStr">
        <is>
          <t>688795</t>
        </is>
      </c>
      <c r="C162" s="7" t="inlineStr">
        <is>
          <t>摩尔线程-U</t>
        </is>
      </c>
      <c r="D162" s="8" t="inlineStr">
        <is>
          <t>半导体：算力芯片</t>
        </is>
      </c>
      <c r="E162" s="7" t="inlineStr">
        <is>
          <t>纠错</t>
        </is>
      </c>
      <c r="F162" s="7" t="inlineStr">
        <is>
          <t>半导体</t>
        </is>
      </c>
      <c r="G162" s="8" t="inlineStr">
        <is>
          <t>芯片设计-CPU/GPU/AI计算</t>
        </is>
      </c>
      <c r="H162" s="7" t="inlineStr">
        <is>
          <t>核心</t>
        </is>
      </c>
      <c r="I162" s="8" t="inlineStr">
        <is>
          <t>公司围绕全功能GPU开展研发设计和销售，真实产品包括云端智算板卡、智算一体机和集群，以及桌面图形加速、专业视觉、边缘AI模组等，GPU既覆盖人工智能训练推理，也覆盖图形渲染和通用计算，不能收窄成单一AI概念。2025年云端产品收入14.6097亿元，占总收入约15.0553亿元的97.04%；边缘与终端产品0.2551亿元，其他产品0.1905亿元，已形成明显规模化销售，核心定级充分。需要注意云端产品口径混合包含板卡、服务器或集群等系统交付，不能全部写成GPU芯片裸片收入，也不等于自有晶圆制造。此次纠错将旧“算力芯片”规范为“CPU/GPU/AI计算”，保留全功能GPU和系统级产品的真实边界。</t>
        </is>
      </c>
      <c r="J162" s="7" t="inlineStr">
        <is>
          <t>摩尔线程智能科技（北京）股份有限公司2025年年度报告</t>
        </is>
      </c>
      <c r="K162" s="7" t="inlineStr">
        <is>
          <t>2026-04-27</t>
        </is>
      </c>
      <c r="L162" s="8" t="inlineStr">
        <is>
          <t>iFinD ifind_get_stock_info + ifind_get_stock_business_segmentation (as of 2026-10-27)；摩尔线程智能科技（北京）股份有限公司2025年年度报告</t>
        </is>
      </c>
      <c r="M162" s="9" t="inlineStr">
        <is>
          <t>http://file.finance.sina.com.cn/211.154.219.97:9494/MRGG/CNSESH_STOCK/2026/2026-4/2026-04-27/12200843.PDF</t>
        </is>
      </c>
    </row>
    <row r="163" ht="104" customHeight="1">
      <c r="B163" s="4" t="inlineStr">
        <is>
          <t>688802</t>
        </is>
      </c>
      <c r="C163" s="4" t="inlineStr">
        <is>
          <t>沐曦股份-U</t>
        </is>
      </c>
      <c r="D163" s="5" t="inlineStr">
        <is>
          <t>半导体：算力芯片</t>
        </is>
      </c>
      <c r="E163" s="4" t="inlineStr">
        <is>
          <t>纠错</t>
        </is>
      </c>
      <c r="F163" s="4" t="inlineStr">
        <is>
          <t>半导体</t>
        </is>
      </c>
      <c r="G163" s="5" t="inlineStr">
        <is>
          <t>芯片设计-CPU/GPU/AI计算</t>
        </is>
      </c>
      <c r="H163" s="4" t="inlineStr">
        <is>
          <t>核心</t>
        </is>
      </c>
      <c r="I163" s="5" t="inlineStr">
        <is>
          <t>公司研发设计全栈GPU及配套软件栈和计算平台，真实产品覆盖训推一体GPU、智算推理GPU和图形渲染GPU，服务人工智能训练推理、通用计算与图形渲染，不是仅有研发管线或潜在用途的概念标的。2025年GPU产品及配件收入16.3075亿元，占总收入约16.4409亿元的99.19%；IP、技术服务及其他收入0.1334亿元，占0.81%，主营收入和GPU产品高度一致，核心定级依据充分。与此同时，GPU产品及配件是芯片、板卡和配件的混合销售口径，不能全部解释为GPU裸片收入，也不能据此增加晶圆制造标签。此次纠错把旧泛化“算力芯片”落到白名单“CPU/GPU/AI计算”，明确其GPU设计和系统交付边界。</t>
        </is>
      </c>
      <c r="J163" s="4" t="inlineStr">
        <is>
          <t>沐曦股份：2025年年度报告</t>
        </is>
      </c>
      <c r="K163" s="4" t="inlineStr">
        <is>
          <t>2026-03-27</t>
        </is>
      </c>
      <c r="L163" s="5" t="inlineStr">
        <is>
          <t>iFinD ifind_get_stock_info + ifind_get_stock_business_segmentation (as of 2026-10-27)；沐曦股份：2025年年度报告</t>
        </is>
      </c>
      <c r="M163" s="6" t="inlineStr">
        <is>
          <t>http://vip.stock.finance.sina.com.cn/corp/view/vCB_AllBulletinDetail.php?stockid=688802&amp;id=12022866</t>
        </is>
      </c>
    </row>
    <row r="164" ht="104" customHeight="1">
      <c r="B164" s="7" t="inlineStr">
        <is>
          <t>688825</t>
        </is>
      </c>
      <c r="C164" s="7" t="inlineStr">
        <is>
          <t>长鑫科技</t>
        </is>
      </c>
      <c r="D164" s="8" t="inlineStr">
        <is>
          <t>半导体：存储芯片-DRAM</t>
        </is>
      </c>
      <c r="E164" s="7" t="inlineStr">
        <is>
          <t>纠错</t>
        </is>
      </c>
      <c r="F164" s="7" t="inlineStr">
        <is>
          <t>半导体</t>
        </is>
      </c>
      <c r="G164" s="8" t="inlineStr">
        <is>
          <t>芯片设计-存储芯片、晶圆制造与IDM</t>
        </is>
      </c>
      <c r="H164" s="7" t="inlineStr">
        <is>
          <t>核心</t>
        </is>
      </c>
      <c r="I164" s="8" t="inlineStr">
        <is>
          <t>公司是DRAM研发、设计、生产及销售一体化企业，真实产品覆盖DDR4、DDR5、LPDDR4X、LPDDR5/5X以及DRAM晶圆和多类内存模组，与仅采购晶圆后组装模组的厂商有本质区别，必须同时体现存储芯片设计和IDM制造属性。2025年LPDDR系列收入407.0355亿元，占总收入约617.9938亿元的65.86%；DDR系列195.3129亿元，占31.60%，其他产品及服务10.4054亿元，其他业务5.2395亿元。两大DRAM系列构成绝对主体，核心定级明确，但系列收入包含不同产品形态，不能拆出晶圆和模组各自收入，也不能把模组分销口径替代自主DRAM制造事实。此次纠错将旧“DRAM”规范为存储芯片并补充晶圆制造与IDM。</t>
        </is>
      </c>
      <c r="J164" s="7" t="inlineStr">
        <is>
          <t>长鑫科技集团股份有限公司首次公开发行股票并在科创板上市招股说明书（注册稿）</t>
        </is>
      </c>
      <c r="K164" s="7" t="inlineStr">
        <is>
          <t>2026-05-27</t>
        </is>
      </c>
      <c r="L164" s="8" t="inlineStr">
        <is>
          <t>iFinD ifind_get_stock_info + ifind_get_stock_business_segmentation (as of 2026-10-27)；长鑫科技集团股份有限公司首次公开发行股票并在科创板上市招股说明书（注册稿）</t>
        </is>
      </c>
      <c r="M164" s="9" t="inlineStr">
        <is>
          <t>https://static.sse.com.cn/stock/disclosure/announcement/c/202605/002170_20260527_23QQ.pdf</t>
        </is>
      </c>
    </row>
    <row r="165" ht="104" customHeight="1">
      <c r="B165" s="4" t="inlineStr">
        <is>
          <t>600745</t>
        </is>
      </c>
      <c r="C165" s="4" t="inlineStr">
        <is>
          <t>闻泰科技</t>
        </is>
      </c>
      <c r="D165" s="5" t="inlineStr">
        <is>
          <t>半导体：功率半导体</t>
        </is>
      </c>
      <c r="E165" s="4" t="inlineStr">
        <is>
          <t>纠错</t>
        </is>
      </c>
      <c r="F165" s="4" t="inlineStr">
        <is>
          <t>半导体</t>
        </is>
      </c>
      <c r="G165" s="5" t="inlineStr">
        <is>
          <t>芯片设计-功率半导体、晶圆制造与IDM</t>
        </is>
      </c>
      <c r="H165" s="4" t="inlineStr">
        <is>
          <t>核心</t>
        </is>
      </c>
      <c r="I165" s="5" t="inlineStr">
        <is>
          <t>公司半导体业务以安世半导体为主体，真实产品包括二极管、双极性晶体管、ESD保护器件、MOSFET、GaN FET、SiC二极管、IGBT以及模拟和逻辑IC，具备设计、晶圆制造、封装测试一体的IDM属性，不只是功率模块组装厂。2025年半导体产品收入133.4755亿元，占总收入约312.5253亿元的42.71%；半导体行业分部收入136.1616亿元，产品集成业务收入175.2470亿元，占56.07%，两者不能混算。尽管当年产品集成收入更大，半导体产品收入绝对规模巨大且构成核心主业，故仍定为半导体核心。此次纠错保留功率半导体并补充晶圆制造与IDM，同时明确功率器件之外还有模拟、逻辑等混合产品边界。</t>
        </is>
      </c>
      <c r="J165" s="4" t="inlineStr">
        <is>
          <t>闻泰科技：2025年年度报告</t>
        </is>
      </c>
      <c r="K165" s="4" t="inlineStr">
        <is>
          <t>2026-04-30</t>
        </is>
      </c>
      <c r="L165" s="5" t="inlineStr">
        <is>
          <t>iFinD ifind_get_stock_info + ifind_get_stock_business_segmentation (as of 2026-10-27)；闻泰科技：2025年年度报告</t>
        </is>
      </c>
      <c r="M165" s="6" t="inlineStr">
        <is>
          <t>http://money.finance.sina.com.cn/corp/view/vCB_AllBulletinDetail.php?stockid=600745&amp;id=12289135</t>
        </is>
      </c>
    </row>
  </sheetData>
  <autoFilter ref="B4:M165"/>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1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半导体 · 清洗后158只股池</t>
        </is>
      </c>
    </row>
    <row r="3">
      <c r="B3" s="2" t="inlineStr">
        <is>
          <t>核心111只、相关42只；按卫星、火箭、地面系统、运营服务和产业配套细化为43个二级概念。</t>
        </is>
      </c>
    </row>
    <row r="4">
      <c r="B4" s="3" t="inlineStr">
        <is>
          <t>代码</t>
        </is>
      </c>
      <c r="C4" s="3" t="inlineStr">
        <is>
          <t>名称</t>
        </is>
      </c>
      <c r="D4" s="3" t="inlineStr">
        <is>
          <t>旧半导体概念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000021</t>
        </is>
      </c>
      <c r="C5" s="4" t="inlineStr">
        <is>
          <t>深科技</t>
        </is>
      </c>
      <c r="D5" s="5" t="inlineStr">
        <is>
          <t>半导体：存储封测</t>
        </is>
      </c>
      <c r="E5" s="4" t="inlineStr">
        <is>
          <t>纠错</t>
        </is>
      </c>
      <c r="F5" s="4" t="inlineStr">
        <is>
          <t>半导体</t>
        </is>
      </c>
      <c r="G5" s="5" t="inlineStr">
        <is>
          <t>封装测试</t>
        </is>
      </c>
      <c r="H5" s="4" t="inlineStr">
        <is>
          <t>核心</t>
        </is>
      </c>
      <c r="I5" s="5" t="inlineStr">
        <is>
          <t>公司真实半导体业务是存储芯片封装测试及高端制造中的相关制造服务，具备存储封测量产与客户交付基础，并非存储晶圆设计或存储颗粒制造。iFinD二〇二五年分部显示，存储半导体收入四十点九一亿元，占营业收入百分之二十五点九八；高端制造收入八十五点三五亿元，占百分之五十四点二零，后者还含其他电子制造，不能全部并入半导体口径。收入规模和独立分部足以支持核心定级，但必须保留混合业务边界。旧标签若把公司泛化为芯片设计、晶圆制造或全部高端制造均属半导体，均应纠正为封装测试，仅以已披露的存储封测主业作为归类依据。</t>
        </is>
      </c>
      <c r="J5" s="4" t="inlineStr">
        <is>
          <t>深科技：2025年年度报告</t>
        </is>
      </c>
      <c r="K5" s="4" t="inlineStr">
        <is>
          <t>2026-04-29</t>
        </is>
      </c>
      <c r="L5" s="5" t="inlineStr">
        <is>
          <t>iFinD ifind_get_stock_info + ifind_get_stock_business_segmentation (as of 2026-10-27)；深科技：2025年年度报告</t>
        </is>
      </c>
      <c r="M5" s="6" t="inlineStr">
        <is>
          <t>https://money.finance.sina.com.cn/corp/view/vCB_AllBulletinDetail.php?stockid=000021&amp;id=12247178</t>
        </is>
      </c>
    </row>
    <row r="6" ht="104" customHeight="1">
      <c r="B6" s="7" t="inlineStr">
        <is>
          <t>000032</t>
        </is>
      </c>
      <c r="C6" s="7" t="inlineStr">
        <is>
          <t>深桑达A</t>
        </is>
      </c>
      <c r="D6" s="8" t="inlineStr">
        <is>
          <t>半导体：半导体洁净室</t>
        </is>
      </c>
      <c r="E6" s="7" t="inlineStr">
        <is>
          <t>纠错</t>
        </is>
      </c>
      <c r="F6" s="7" t="inlineStr">
        <is>
          <t>半导体</t>
        </is>
      </c>
      <c r="G6" s="8" t="inlineStr">
        <is>
          <t>洁净室与厂务工程</t>
        </is>
      </c>
      <c r="H6" s="7" t="inlineStr">
        <is>
          <t>核心</t>
        </is>
      </c>
      <c r="I6" s="8" t="inlineStr">
        <is>
          <t>公司通过高科技产业工程业务提供洁净室、机电安装和厂务系统建设，年报披露的真实项目覆盖半导体等高科技厂房，因此对应的是工程服务而非半导体设备或芯片制造。iFinD二〇二五年洁净室相关整体收入三百九十八点四五亿元，占营业收入百分之八十一点零四，专业化产品收入四十七点零八亿元，占百分之九点五七；但洁净室下游还包括生物医药、算力、新能源及其他电子行业，不能把上述收入全算作半导体。考虑业务体量、独立分部及真实半导体项目经验，定为核心具有依据，同时须明确这是混合下游口径。旧标签若写成半导体工艺设备、洁净设备制造或纯半导体收入，应统一纠正为洁净室与厂务工程。</t>
        </is>
      </c>
      <c r="J6" s="7" t="inlineStr">
        <is>
          <t>深桑达A：2025年年度报告</t>
        </is>
      </c>
      <c r="K6" s="7" t="inlineStr">
        <is>
          <t>2026-04-28</t>
        </is>
      </c>
      <c r="L6" s="8" t="inlineStr">
        <is>
          <t>iFinD ifind_get_stock_info + ifind_get_stock_business_segmentation (as of 2026-10-27)；深桑达A：2025年年度报告</t>
        </is>
      </c>
      <c r="M6" s="9" t="inlineStr">
        <is>
          <t>http://money.finance.sina.com.cn/corp/view/vCB_AllBulletinDetail.php?stockid=000032&amp;id=12226663</t>
        </is>
      </c>
    </row>
    <row r="7" ht="104" customHeight="1">
      <c r="B7" s="4" t="inlineStr">
        <is>
          <t>000062</t>
        </is>
      </c>
      <c r="C7" s="4" t="inlineStr">
        <is>
          <t>深圳华强</t>
        </is>
      </c>
      <c r="D7" s="5" t="inlineStr">
        <is>
          <t>半导体：存储分销</t>
        </is>
      </c>
      <c r="E7" s="4" t="inlineStr">
        <is>
          <t>纠错</t>
        </is>
      </c>
      <c r="F7" s="4" t="inlineStr">
        <is>
          <t>半导体</t>
        </is>
      </c>
      <c r="G7" s="5" t="inlineStr">
        <is>
          <t>半导体分销与供应链</t>
        </is>
      </c>
      <c r="H7" s="4" t="inlineStr">
        <is>
          <t>核心</t>
        </is>
      </c>
      <c r="I7" s="5" t="inlineStr">
        <is>
          <t>公司的真实定位是电子元器件授权分销、交易及供应链服务，向客户销售存储、处理器等器件并提供技术与物流支持，不从事这些芯片的设计或晶圆制造。iFinD二〇二五年电子元器件交易收入二百四十点八零亿元，占营业收入百分之九十六点六七，交易服务收入五点五六亿元，占百分之二点二三，存储产品未单独披露收入，故不能把全部交易额机械归入某一芯片品类。鉴于分销是收入绝对主体且规模突出，可列半导体核心分销标的，但核心是主营重要性和规模判断，不代表自研芯片。旧标签若出现芯片设计、存储芯片制造或把分销收入等同于半导体产品收入，均应纠正为半导体分销与供应链。</t>
        </is>
      </c>
      <c r="J7" s="4" t="inlineStr">
        <is>
          <t>深圳华强：2025年年度报告摘要</t>
        </is>
      </c>
      <c r="K7" s="4" t="inlineStr">
        <is>
          <t>2026-03-27</t>
        </is>
      </c>
      <c r="L7" s="5" t="inlineStr">
        <is>
          <t>iFinD ifind_get_stock_info + ifind_get_stock_business_segmentation (as of 2026-10-27)；深圳华强：2025年年度报告摘要</t>
        </is>
      </c>
      <c r="M7" s="6" t="inlineStr">
        <is>
          <t>http://static.cninfo.com.cn/finalpage/2026-03-27/1225034926.PDF</t>
        </is>
      </c>
    </row>
    <row r="8" ht="104" customHeight="1">
      <c r="B8" s="7" t="inlineStr">
        <is>
          <t>000063</t>
        </is>
      </c>
      <c r="C8" s="7" t="inlineStr">
        <is>
          <t>中兴通讯</t>
        </is>
      </c>
      <c r="D8" s="8" t="inlineStr">
        <is>
          <t>半导体：算力芯片</t>
        </is>
      </c>
      <c r="E8" s="7" t="inlineStr">
        <is>
          <t>纠错</t>
        </is>
      </c>
      <c r="F8" s="7" t="inlineStr">
        <is>
          <t>半导体</t>
        </is>
      </c>
      <c r="G8" s="8" t="inlineStr">
        <is>
          <t>芯片设计-CPU/GPU/AI计算</t>
        </is>
      </c>
      <c r="H8" s="7" t="inlineStr">
        <is>
          <t>相关</t>
        </is>
      </c>
      <c r="I8" s="8" t="inlineStr">
        <is>
          <t>公司具备自研芯片能力，真实产品边界包括服务器及数据中心相关的中央处理器、人工智能计算等芯片研发，并服务于自身通信和算力产品体系；这与单纯采购芯片组装服务器不同，但也不能把整机或方案收入当作芯片收入。iFinD二〇二五年运营商网络收入六百二十八点五七亿元，占百分之四十六点九四，政企业务三百七十二点二二亿元，占百分之二十七点八零，消费者业务三百三十八点一六亿元，占百分之二十五点二六，芯片没有独立收入分部。半导体能力真实存在，但从上市公司收入结构看仍依附于通信设备与算力系统主业，因此定为相关而非核心。旧标签若把整个公司归为AI芯片核心股、晶圆制造或虚构独立芯片收入，均需纠正。</t>
        </is>
      </c>
      <c r="J8" s="7" t="inlineStr">
        <is>
          <t>中兴通讯：2025年年度报告</t>
        </is>
      </c>
      <c r="K8" s="7" t="inlineStr">
        <is>
          <t>2026-03-07</t>
        </is>
      </c>
      <c r="L8" s="8" t="inlineStr">
        <is>
          <t>iFinD ifind_get_stock_info + ifind_get_stock_business_segmentation (as of 2026-10-27)；中兴通讯：2025年年度报告</t>
        </is>
      </c>
      <c r="M8" s="9" t="inlineStr">
        <is>
          <t>https://www.zte.com.cn/content/dam/zte-site/investorrelations/cn_annual_report/2025%E5%B9%B4%E5%B9%B4%E5%BA%A6%E6%8A%A5%E5%91%8A.pdf</t>
        </is>
      </c>
    </row>
    <row r="9" ht="104" customHeight="1">
      <c r="B9" s="4" t="inlineStr">
        <is>
          <t>000066</t>
        </is>
      </c>
      <c r="C9" s="4" t="inlineStr">
        <is>
          <t>中国长城</t>
        </is>
      </c>
      <c r="D9" s="5" t="inlineStr">
        <is>
          <t>半导体：算力芯片</t>
        </is>
      </c>
      <c r="E9" s="4" t="inlineStr">
        <is>
          <t>纠错</t>
        </is>
      </c>
      <c r="F9" s="4" t="inlineStr">
        <is>
          <t>半导体</t>
        </is>
      </c>
      <c r="G9" s="5" t="inlineStr">
        <is>
          <t>半导体股权与产业投资</t>
        </is>
      </c>
      <c r="H9" s="4" t="inlineStr">
        <is>
          <t>相关</t>
        </is>
      </c>
      <c r="I9" s="5" t="inlineStr">
        <is>
          <t>公司与半导体的真实联系主要是持有飞腾等产业链企业股权，整机产品采购或搭载飞腾处理器并不等同于中国长城自身设计中央处理器。iFinD二〇二五年网络安全与信息化收入一百一十九点零五亿元，占营业收入百分之七十五点三一，高新电子收入三十点八七亿元，占百分之十九点五三，芯片未形成独立经营分部；飞腾收入二十五点三四亿元属于参股公司，不能并入上市公司半导体收入。基于股权联系而非自身芯片产品收入，定为相关更恰当。旧标签若写芯片设计、国产CPU制造或把飞腾全部业绩并表，均应纠正为半导体股权与产业投资，并保留整机业务与参股芯片企业的边界。</t>
        </is>
      </c>
      <c r="J9" s="4" t="inlineStr">
        <is>
          <t>中国长城：2025年年度报告</t>
        </is>
      </c>
      <c r="K9" s="4" t="inlineStr">
        <is>
          <t>2026-04-29</t>
        </is>
      </c>
      <c r="L9" s="5" t="inlineStr">
        <is>
          <t>iFinD ifind_get_stock_info + ifind_get_stock_business_segmentation (as of 2026-10-27)；中国长城：2025年年度报告</t>
        </is>
      </c>
      <c r="M9" s="6" t="inlineStr">
        <is>
          <t>https://money.finance.sina.com.cn/corp/view/vCB_AllBulletinDetail.php?stockid=000066&amp;id=12262295</t>
        </is>
      </c>
    </row>
    <row r="10" ht="104" customHeight="1">
      <c r="B10" s="7" t="inlineStr">
        <is>
          <t>000551</t>
        </is>
      </c>
      <c r="C10" s="7" t="inlineStr">
        <is>
          <t>创元科技</t>
        </is>
      </c>
      <c r="D10" s="8" t="inlineStr">
        <is>
          <t>半导体：半导体洁净室</t>
        </is>
      </c>
      <c r="E10" s="7" t="inlineStr">
        <is>
          <t>纠错</t>
        </is>
      </c>
      <c r="F10" s="7" t="inlineStr">
        <is>
          <t>半导体</t>
        </is>
      </c>
      <c r="G10" s="8" t="inlineStr">
        <is>
          <t>洁净室与厂务工程</t>
        </is>
      </c>
      <c r="H10" s="7" t="inlineStr">
        <is>
          <t>相关</t>
        </is>
      </c>
      <c r="I10" s="8" t="inlineStr">
        <is>
          <t>公司洁净环保板块提供洁净室工程、空气净化及相关系统服务，具备高科技洁净环境建设能力，可按已有半导体项目经验归入厂务工程，而不是半导体工艺设备或芯片制造。iFinD二〇二五年洁净设备及工程收入二十点七四亿元，占营业收入百分之四十九点一二，是重要业务板块，但半导体下游收入未单独拆分，不能把该分部全部认定为半导体收入，其他洁净应用仍须排除。考虑业务具有真实关联、收入体量重要但终端口径混合且缺乏半导体独立规模证据，定为相关而非核心。旧标签若概括为半导体设备核心企业、洁净设备全部用于晶圆厂或虚构芯片收入，应纠正为洁净室与厂务工程。</t>
        </is>
      </c>
      <c r="J10" s="7" t="inlineStr">
        <is>
          <t>创元科技：2025年年度报告摘要</t>
        </is>
      </c>
      <c r="K10" s="7" t="inlineStr">
        <is>
          <t>2026-04-08</t>
        </is>
      </c>
      <c r="L10" s="8" t="inlineStr">
        <is>
          <t>iFinD ifind_get_stock_info + ifind_get_stock_business_segmentation (as of 2026-10-27)；创元科技：2025年年度报告摘要</t>
        </is>
      </c>
      <c r="M10" s="9" t="inlineStr">
        <is>
          <t>https://www.000551.cn/uploads/admin/202604/69d5ad4e77b58.pdf</t>
        </is>
      </c>
    </row>
    <row r="11" ht="104" customHeight="1">
      <c r="B11" s="4" t="inlineStr">
        <is>
          <t>001287</t>
        </is>
      </c>
      <c r="C11" s="4" t="inlineStr">
        <is>
          <t>中电港</t>
        </is>
      </c>
      <c r="D11" s="5" t="inlineStr">
        <is>
          <t>半导体：存储分销</t>
        </is>
      </c>
      <c r="E11" s="4" t="inlineStr">
        <is>
          <t>纠错</t>
        </is>
      </c>
      <c r="F11" s="4" t="inlineStr">
        <is>
          <t>半导体</t>
        </is>
      </c>
      <c r="G11" s="5" t="inlineStr">
        <is>
          <t>半导体分销与供应链</t>
        </is>
      </c>
      <c r="H11" s="4" t="inlineStr">
        <is>
          <t>核心</t>
        </is>
      </c>
      <c r="I11" s="5" t="inlineStr">
        <is>
          <t>公司主营电子元器件分销和供应链协同服务，真实业务包括存储器、处理器等产品的销售、技术支持与交付，不拥有相应芯片设计或晶圆制造收入。iFinD二〇二五年分销业务约占营业收入百分之九十九点九零，其中存储器收入二百五十一点五零亿元，占百分之三十八点三八，处理器收入一百八十八点六五亿元，占百分之二十八点七九，半导体分销的主营地位和规模均有直接数据支撑，因此列为核心。这里的核心仅指分销产业环节，不可延伸为自研存储或处理器。旧标签若写芯片设计、存储晶圆制造、CPU制造，或遗漏分销属性而按产品名称归入设计端，均应纠正为半导体分销与供应链。</t>
        </is>
      </c>
      <c r="J11" s="4" t="inlineStr">
        <is>
          <t>中电港：2025年年度报告</t>
        </is>
      </c>
      <c r="K11" s="4" t="inlineStr">
        <is>
          <t>2026-04-28</t>
        </is>
      </c>
      <c r="L11" s="5" t="inlineStr">
        <is>
          <t>iFinD ifind_get_stock_info + ifind_get_stock_business_segmentation (as of 2026-10-27)；中电港：2025年年度报告</t>
        </is>
      </c>
      <c r="M11" s="6" t="inlineStr">
        <is>
          <t>http://file.finance.sina.com.cn/211.154.219.97:9494/MRGG/CNSESZ_STOCK/2026/2026-4/2026-04-28/12211650.PDF</t>
        </is>
      </c>
    </row>
    <row r="12" ht="104" customHeight="1">
      <c r="B12" s="7" t="inlineStr">
        <is>
          <t>001309</t>
        </is>
      </c>
      <c r="C12" s="7" t="inlineStr">
        <is>
          <t>德明利</t>
        </is>
      </c>
      <c r="D12" s="8" t="inlineStr">
        <is>
          <t>半导体：存储模组</t>
        </is>
      </c>
      <c r="E12" s="7" t="inlineStr">
        <is>
          <t>纠错</t>
        </is>
      </c>
      <c r="F12" s="7" t="inlineStr">
        <is>
          <t>半导体</t>
        </is>
      </c>
      <c r="G12" s="8" t="inlineStr">
        <is>
          <t>存储模组与系统、芯片设计-存储主控与接口</t>
        </is>
      </c>
      <c r="H12" s="7" t="inlineStr">
        <is>
          <t>核心</t>
        </is>
      </c>
      <c r="I12" s="8" t="inlineStr">
        <is>
          <t>公司真实产品包括固态硬盘、嵌入式存储、移动存储和内存条，并已有自研存储主控芯片量产应用；因此兼具存储模组与主控设计属性，但不等于开展NAND或DRAM存储晶圆设计制造。iFinD二〇二五年固态硬盘收入四十五点八二亿元，占百分之四十二点四六，嵌入式存储三十六点六三亿元，占百分之三十三点九五，移动存储十四点七四亿元，占百分之十三点六六，内存条十点五一亿元，占百分之九点七四，自研主控收入未单列。模组收入占绝对主体，核心定级明确，但主控标签仅对应真实设计能力。旧标签若写成存储芯片、存储晶圆或把模组全部视作芯片设计收入，必须按上述边界纠正。</t>
        </is>
      </c>
      <c r="J12" s="7" t="inlineStr">
        <is>
          <t>德明利：2025年年度报告</t>
        </is>
      </c>
      <c r="K12" s="7" t="inlineStr">
        <is>
          <t>2026-02-28</t>
        </is>
      </c>
      <c r="L12" s="8" t="inlineStr">
        <is>
          <t>iFinD ifind_get_stock_info + ifind_get_stock_business_segmentation (as of 2026-10-27)；德明利：2025年年度报告</t>
        </is>
      </c>
      <c r="M12" s="9" t="inlineStr">
        <is>
          <t>https://money.finance.sina.com.cn/corp/view/vCB_AllBulletinDetail.php?stockid=001309&amp;id=11976038</t>
        </is>
      </c>
    </row>
    <row r="13" ht="104" customHeight="1">
      <c r="B13" s="4" t="inlineStr">
        <is>
          <t>002119</t>
        </is>
      </c>
      <c r="C13" s="4" t="inlineStr">
        <is>
          <t>康强电子</t>
        </is>
      </c>
      <c r="D13" s="5" t="inlineStr">
        <is>
          <t>半导体：半导体材料</t>
        </is>
      </c>
      <c r="E13" s="4" t="inlineStr">
        <is>
          <t>纠错</t>
        </is>
      </c>
      <c r="F13" s="4" t="inlineStr">
        <is>
          <t>半导体</t>
        </is>
      </c>
      <c r="G13" s="5" t="inlineStr">
        <is>
          <t>半导体材料-封装材料</t>
        </is>
      </c>
      <c r="H13" s="4" t="inlineStr">
        <is>
          <t>核心</t>
        </is>
      </c>
      <c r="I13" s="5" t="inlineStr">
        <is>
          <t>公司真实产品为半导体封装用引线框架和键合丝，分别承担芯片封装中的承载互连与电气连接功能，属于封装关键材料，不是封装设备、芯片设计或晶圆制造。iFinD二〇二五年引线框架收入十三点二二亿元，占营业收入百分之六十点一二，键合丝收入五点四四亿元，占百分之二十四点七四，两项合计占绝大部分收入，产品用途和收入结构均直接支持半导体核心定级。引线框架、键合丝内部还可能有不同规格与应用，但不改变其封装材料属性，亦不应虚构为前道材料。旧标签若把公司归入封装测试服务、半导体设备或泛化为全部金属材料，应纠正为半导体封装材料，并以两项实际产品收入为边界。</t>
        </is>
      </c>
      <c r="J13" s="4" t="inlineStr">
        <is>
          <t>康强电子：2025年年度报告</t>
        </is>
      </c>
      <c r="K13" s="4" t="inlineStr">
        <is>
          <t>2026-03-31</t>
        </is>
      </c>
      <c r="L13" s="5" t="inlineStr">
        <is>
          <t>iFinD ifind_get_stock_info + ifind_get_stock_business_segmentation (as of 2026-10-27)；康强电子：2025年年度报告</t>
        </is>
      </c>
      <c r="M13" s="6" t="inlineStr">
        <is>
          <t>https://money.finance.sina.com.cn/corp/view/vCB_AllBulletinDetail.php?stockid=002119&amp;id=12039120</t>
        </is>
      </c>
    </row>
    <row r="14" ht="104" customHeight="1">
      <c r="B14" s="7" t="inlineStr">
        <is>
          <t>002129</t>
        </is>
      </c>
      <c r="C14" s="7" t="inlineStr">
        <is>
          <t>TCL中环</t>
        </is>
      </c>
      <c r="D14" s="8" t="inlineStr">
        <is>
          <t>半导体：半导体材料</t>
        </is>
      </c>
      <c r="E14" s="7" t="inlineStr">
        <is>
          <t>纠错</t>
        </is>
      </c>
      <c r="F14" s="7" t="inlineStr">
        <is>
          <t>半导体</t>
        </is>
      </c>
      <c r="G14" s="8" t="inlineStr">
        <is>
          <t>半导体材料-硅片与硅部件</t>
        </is>
      </c>
      <c r="H14" s="7" t="inlineStr">
        <is>
          <t>核心</t>
        </is>
      </c>
      <c r="I14" s="8" t="inlineStr">
        <is>
          <t>公司半导体业务的真实产品是半导体硅片等硅材料，服务集成电路及功率器件等制造环节；光伏硅片虽然也属硅材料，却不能与半导体硅片混为同一终端口径。iFinD二〇二五年半导体材料收入五十七点零七亿元，占营业收入百分之十九点六四，光伏硅片收入一百二十二点三八亿元，占百分之四十二点一三，组件收入九十三点二四亿元，占百分之三十二点一零，显示公司仍是混合业务结构。半导体材料已达到重要收入规模，故可由一般相关提升为核心，但核心不代表全部营收来自半导体。旧标签若只列光伏、把全部硅片收入归入半导体，或误写为芯片制造，应纠正为半导体硅片与硅部件并明确光伏边界。</t>
        </is>
      </c>
      <c r="J14" s="7" t="inlineStr">
        <is>
          <t>TCL中环：2025年年度报告</t>
        </is>
      </c>
      <c r="K14" s="7" t="inlineStr">
        <is>
          <t>2026-03-24</t>
        </is>
      </c>
      <c r="L14" s="8" t="inlineStr">
        <is>
          <t>iFinD ifind_get_stock_info + ifind_get_stock_business_segmentation (as of 2026-10-27)；TCL中环：2025年年度报告</t>
        </is>
      </c>
      <c r="M14" s="9" t="inlineStr">
        <is>
          <t>https://money.finance.sina.com.cn/corp/view/vCB_AllBulletinDetail.php?stockid=002129&amp;id=12015974</t>
        </is>
      </c>
    </row>
    <row r="15" ht="104" customHeight="1">
      <c r="B15" s="4" t="inlineStr">
        <is>
          <t>002156</t>
        </is>
      </c>
      <c r="C15" s="4" t="inlineStr">
        <is>
          <t>通富微电</t>
        </is>
      </c>
      <c r="D15" s="5" t="inlineStr">
        <is>
          <t>半导体：封测</t>
        </is>
      </c>
      <c r="E15" s="4" t="inlineStr">
        <is>
          <t>纠错</t>
        </is>
      </c>
      <c r="F15" s="4" t="inlineStr">
        <is>
          <t>半导体</t>
        </is>
      </c>
      <c r="G15" s="5" t="inlineStr">
        <is>
          <t>封装测试</t>
        </is>
      </c>
      <c r="H15" s="4" t="inlineStr">
        <is>
          <t>核心</t>
        </is>
      </c>
      <c r="I15" s="5" t="inlineStr">
        <is>
          <t>公司真实业务是为集成电路企业提供封装与测试代工服务，覆盖多种封装形式和先进封装制造环节，不承担客户芯片产品设计，也不等同于上游晶圆制造。iFinD二〇二五年集成电路封装测试收入二百七十二点四八亿元，占营业收入百分之九十七点五九，主营集中度和收入规模均十分明确，半导体核心定级不存在依赖概念推演的问题。少量其他业务不能扩大解释为芯片设计，客户产品涉及中央处理器或人工智能芯片时，也应只确认公司提供封测服务。旧标签若出现芯片设计、晶圆代工、半导体设备，或把客户芯片收入归为公司产品收入，均应纠正为封装测试，并以独立封测分部收入作为归类依据。</t>
        </is>
      </c>
      <c r="J15" s="4" t="inlineStr">
        <is>
          <t>通富微电：2025年年度报告</t>
        </is>
      </c>
      <c r="K15" s="4" t="inlineStr">
        <is>
          <t>2026-04-17</t>
        </is>
      </c>
      <c r="L15" s="5" t="inlineStr">
        <is>
          <t>iFinD ifind_get_stock_info + ifind_get_stock_business_segmentation (as of 2026-10-27)；通富微电：2025年年度报告</t>
        </is>
      </c>
      <c r="M15" s="6" t="inlineStr">
        <is>
          <t>https://static.cninfo.com.cn/finalpage/2026-04-17/1225112762.PDF</t>
        </is>
      </c>
    </row>
    <row r="16" ht="104" customHeight="1">
      <c r="B16" s="7" t="inlineStr">
        <is>
          <t>002185</t>
        </is>
      </c>
      <c r="C16" s="7" t="inlineStr">
        <is>
          <t>华天科技</t>
        </is>
      </c>
      <c r="D16" s="8" t="inlineStr">
        <is>
          <t>半导体：封测</t>
        </is>
      </c>
      <c r="E16" s="7" t="inlineStr">
        <is>
          <t>纠错</t>
        </is>
      </c>
      <c r="F16" s="7" t="inlineStr">
        <is>
          <t>半导体</t>
        </is>
      </c>
      <c r="G16" s="8" t="inlineStr">
        <is>
          <t>封装测试</t>
        </is>
      </c>
      <c r="H16" s="7" t="inlineStr">
        <is>
          <t>核心</t>
        </is>
      </c>
      <c r="I16" s="8" t="inlineStr">
        <is>
          <t>公司真实产品与服务是集成电路封装、测试及相关先进封装加工，处于芯片制造后道，不是芯片设计、晶圆代工或封装材料供应。iFinD二〇二五年集成电路封装收入约一百七十二点一一亿元，占营业收入约百分之九十九点九八；年报审计主营口径另列封装收入一百六十八点二二亿元、占百分之九十七点七二，两者统计范围不同但均证明封测为绝对主业，不能混用造成虚假差异。公司收入结构足以支持核心定级，客户芯片类型不改变公司自身产业位置。旧标签若把其归入芯片设计、半导体设备、材料或把全部先进封装概念延伸为自研芯片，均应统一纠正为封装测试。</t>
        </is>
      </c>
      <c r="J16" s="7" t="inlineStr">
        <is>
          <t>华天科技：2025年年度报告摘要</t>
        </is>
      </c>
      <c r="K16" s="7" t="inlineStr">
        <is>
          <t>2026-03-31</t>
        </is>
      </c>
      <c r="L16" s="8" t="inlineStr">
        <is>
          <t>iFinD ifind_get_stock_info + ifind_get_stock_business_segmentation (as of 2026-10-27)；华天科技：2025年年度报告摘要</t>
        </is>
      </c>
      <c r="M16" s="9" t="inlineStr">
        <is>
          <t>http://static.cninfo.com.cn/finalpage/2026-03-31/1225059982.PDF</t>
        </is>
      </c>
    </row>
    <row r="17" ht="104" customHeight="1">
      <c r="B17" s="4" t="inlineStr">
        <is>
          <t>002213</t>
        </is>
      </c>
      <c r="C17" s="4" t="inlineStr">
        <is>
          <t>大为股份</t>
        </is>
      </c>
      <c r="D17" s="5" t="inlineStr">
        <is>
          <t>半导体：存储模组</t>
        </is>
      </c>
      <c r="E17" s="4" t="inlineStr">
        <is>
          <t>纠错</t>
        </is>
      </c>
      <c r="F17" s="4" t="inlineStr">
        <is>
          <t>半导体</t>
        </is>
      </c>
      <c r="G17" s="5" t="inlineStr">
        <is>
          <t>存储模组与系统</t>
        </is>
      </c>
      <c r="H17" s="4" t="inlineStr">
        <is>
          <t>核心</t>
        </is>
      </c>
      <c r="I17" s="5" t="inlineStr">
        <is>
          <t>公司半导体板块的真实业务为存储模组及相关存储产品销售，包括固态硬盘、嵌入式存储等应用形态，不属于NAND或DRAM晶圆设计制造，也不能因产品含存储芯片便自称芯片设计企业。iFinD二〇二五年半导体存储收入十点九八亿元，占营业收入百分之八十九点八一，已成为收入和经营的绝对主体，故核心定级有主营和规模依据；其余汽车零部件、锂电等业务不应并入半导体收入。模组中采购的存储颗粒、主控等器件仍须与自研产品区分，年报未单列芯片设计收入即不能虚构。旧标签若写存储芯片设计、晶圆制造或泛化为半导体全链条，应纠正为存储模组与系统。</t>
        </is>
      </c>
      <c r="J17" s="4" t="inlineStr">
        <is>
          <t>大为股份：2025年年度报告</t>
        </is>
      </c>
      <c r="K17" s="4" t="inlineStr">
        <is>
          <t>2026-03-06</t>
        </is>
      </c>
      <c r="L17" s="5" t="inlineStr">
        <is>
          <t>iFinD ifind_get_stock_info + ifind_get_stock_business_segmentation (as of 2026-10-27)；大为股份：2025年年度报告</t>
        </is>
      </c>
      <c r="M17" s="6" t="inlineStr">
        <is>
          <t>http://money.finance.sina.com.cn/corp/view/vCB_AllBulletinDetail.php?stockid=002213&amp;id=11983412</t>
        </is>
      </c>
    </row>
    <row r="18" ht="104" customHeight="1">
      <c r="B18" s="7" t="inlineStr">
        <is>
          <t>002338</t>
        </is>
      </c>
      <c r="C18" s="7" t="inlineStr">
        <is>
          <t>奥普光电</t>
        </is>
      </c>
      <c r="D18" s="8" t="inlineStr">
        <is>
          <t>半导体：半导体设备-前道</t>
        </is>
      </c>
      <c r="E18" s="7" t="inlineStr">
        <is>
          <t>纠错</t>
        </is>
      </c>
      <c r="F18" s="7" t="inlineStr">
        <is>
          <t>半导体</t>
        </is>
      </c>
      <c r="G18" s="8" t="inlineStr">
        <is>
          <t>半导体股权与产业投资</t>
        </is>
      </c>
      <c r="H18" s="7" t="inlineStr">
        <is>
          <t>相关</t>
        </is>
      </c>
      <c r="I18" s="8" t="inlineStr">
        <is>
          <t>二次复核认为初审将公司整体摘除过度。公司2025年收入仍来自光电测控仪器、光栅编码器及复合材料，本地分部复算分别为3.0050亿元、1.6888亿元和3.0510亿元，占总收入7.9964亿元的37.58%、21.12%和38.15%；未见公司自身半导体精密部件形成可独立确认的收入，超光滑特种反射元件仍处研制阶段，半导体核心光学、机械部组件及光栅尺属于2026年能力建设、验证和订单目标，因此不能恢复半导体设备前道或设备核心零部件产品标签。另一方面，2025年年报明确披露公司参股长光辰芯，后者主营光电芯片及传感器，2025年实现收入8.5651亿元、净利润2.9314亿元，构成真实的半导体股权与产业投资关系；参股公司收入不得并入奥普光电营业收入，也不据此把奥普光电自身定为核心。综合自身产品边界与参股证据，建议由摘除改为相关，仅保留半导体股权与产业投资标签。</t>
        </is>
      </c>
      <c r="J18" s="7" t="inlineStr">
        <is>
          <t>奥普光电：2025年年度报告</t>
        </is>
      </c>
      <c r="K18" s="7" t="inlineStr">
        <is>
          <t>2026-04-21</t>
        </is>
      </c>
      <c r="L18" s="8" t="inlineStr">
        <is>
          <t>iFinD ifind_get_stock_info + ifind_get_stock_business_segmentation (as of 2026-10-27)；奥普光电：2025年年度报告</t>
        </is>
      </c>
      <c r="M18" s="9" t="inlineStr">
        <is>
          <t>https://money.finance.sina.com.cn/corp/view/vCB_AllBulletinDetail.php?stockid=002338&amp;id=12117384</t>
        </is>
      </c>
    </row>
    <row r="19" ht="104" customHeight="1">
      <c r="B19" s="4" t="inlineStr">
        <is>
          <t>002371</t>
        </is>
      </c>
      <c r="C19" s="4" t="inlineStr">
        <is>
          <t>北方华创</t>
        </is>
      </c>
      <c r="D19" s="5" t="inlineStr">
        <is>
          <t>半导体：半导体设备-前道</t>
        </is>
      </c>
      <c r="E19" s="4" t="inlineStr">
        <is>
          <t>纠错</t>
        </is>
      </c>
      <c r="F19" s="4" t="inlineStr">
        <is>
          <t>半导体</t>
        </is>
      </c>
      <c r="G19" s="5" t="inlineStr">
        <is>
          <t>半导体设备-刻蚀、半导体设备-薄膜沉积、半导体设备-热处理与去胶、半导体设备-清洗、半导体设备-离子注入、半导体设备-涂胶显影、半导体设备-键合与焊接</t>
        </is>
      </c>
      <c r="H19" s="4" t="inlineStr">
        <is>
          <t>核心</t>
        </is>
      </c>
      <c r="I19" s="5" t="inlineStr">
        <is>
          <t>公司真实半导体装备覆盖刻蚀、物理及化学气相沉积等薄膜设备、氧化扩散与快速热处理、清洗、离子注入、涂胶显影以及键合焊接等工艺环节，均有明确产品平台支撑，不是以泛半导体概念拼接待定设备。iFinD二〇二五年电子工艺装备收入三百六十七点三一亿元，占营业收入百分之九十三点三四，核心定级由主营规模直接支持；但该分部还含真空及新能源等装备，不能把三百六十七点三一亿元全部认作半导体收入，各设备收入也未逐项独立披露。旧标签若仅保留单一刻蚀或薄膜环节会遗漏真实产品，若写芯片制造则越过设备边界，应按已证实设备类别纠正并排除未经核实的设备概念。</t>
        </is>
      </c>
      <c r="J19" s="4" t="inlineStr">
        <is>
          <t>北方华创：2025年年度报告</t>
        </is>
      </c>
      <c r="K19" s="4" t="inlineStr">
        <is>
          <t>2026-04-18</t>
        </is>
      </c>
      <c r="L19" s="5" t="inlineStr">
        <is>
          <t>iFinD ifind_get_stock_info + ifind_get_stock_business_segmentation (as of 2026-10-27)；北方华创：2025年年度报告</t>
        </is>
      </c>
      <c r="M19" s="6" t="inlineStr">
        <is>
          <t>http://static.cninfo.com.cn/finalpage/2026-04-18/1225122918.PDF</t>
        </is>
      </c>
    </row>
    <row r="20" ht="104" customHeight="1">
      <c r="B20" s="7" t="inlineStr">
        <is>
          <t>002388</t>
        </is>
      </c>
      <c r="C20" s="7" t="inlineStr">
        <is>
          <t>新亚制程</t>
        </is>
      </c>
      <c r="D20" s="8" t="inlineStr">
        <is>
          <t>半导体：半导体材料</t>
        </is>
      </c>
      <c r="E20" s="7" t="inlineStr">
        <is>
          <t>纠错</t>
        </is>
      </c>
      <c r="F20" s="7" t="inlineStr">
        <is>
          <t>半导体</t>
        </is>
      </c>
      <c r="G20" s="8" t="inlineStr">
        <is>
          <t>半导体材料-封装材料</t>
        </is>
      </c>
      <c r="H20" s="7" t="inlineStr">
        <is>
          <t>相关</t>
        </is>
      </c>
      <c r="I20" s="8" t="inlineStr">
        <is>
          <t>公司真实半导体相关产品包括用于集成电路封装的底部填充胶、聚氨酯反应型热熔胶以及适配IGBT等功率器件的灌封凝胶，属于封装保护和互连辅助材料，不是芯片设计或封装设备。iFinD二〇二五年胶粘剂收入二点八六亿元，占营业收入百分之十四点八四，半导体应用收入没有独立拆分，胶粘剂还服务消费电子及其他工业场景，因此不能把整个胶粘剂分部或公司电子制程业务都算作半导体。考虑已有明确产品用途但收入占比和半导体规模尚不透明，定为相关而非核心。旧标签若泛化为半导体核心材料、电子化学品全部用于芯片，或忽略具体封装用途，应纠正为半导体封装材料。</t>
        </is>
      </c>
      <c r="J20" s="7" t="inlineStr">
        <is>
          <t>新亚制程：2025年年度报告摘要</t>
        </is>
      </c>
      <c r="K20" s="7" t="inlineStr">
        <is>
          <t>2026-04-28</t>
        </is>
      </c>
      <c r="L20" s="8" t="inlineStr">
        <is>
          <t>iFinD ifind_get_stock_info + ifind_get_stock_business_segmentation (as of 2026-10-27)；新亚制程：2025年年度报告摘要</t>
        </is>
      </c>
      <c r="M20" s="9" t="inlineStr">
        <is>
          <t>https://static.cninfo.com.cn/finalpage/2026-04-28/1225219790.PDF</t>
        </is>
      </c>
    </row>
    <row r="21" ht="104" customHeight="1">
      <c r="B21" s="4" t="inlineStr">
        <is>
          <t>002407</t>
        </is>
      </c>
      <c r="C21" s="4" t="inlineStr">
        <is>
          <t>多氟多</t>
        </is>
      </c>
      <c r="D21" s="5" t="inlineStr">
        <is>
          <t>半导体：半导体材料</t>
        </is>
      </c>
      <c r="E21" s="4" t="inlineStr">
        <is>
          <t>纠错</t>
        </is>
      </c>
      <c r="F21" s="4" t="inlineStr">
        <is>
          <t>半导体</t>
        </is>
      </c>
      <c r="G21" s="5" t="inlineStr">
        <is>
          <t>半导体材料-电子特气与湿化学品</t>
        </is>
      </c>
      <c r="H21" s="4" t="inlineStr">
        <is>
          <t>相关</t>
        </is>
      </c>
      <c r="I21" s="5" t="inlineStr">
        <is>
          <t>公司真实半导体材料是电子级氢氟酸等超净高纯湿电子化学品，可用于晶圆清洗和蚀刻环节；传统氟化工、锂电材料及六氟磷酸锂不能因同属氟化学便归入半导体。iFinD二〇二五年电子信息材料收入四点零九亿元，占营业收入百分之四点三三，而半导体级氢氟酸销售额不足公司总营收百分之二，电子信息材料口径也不能全部视作半导体收入。产品及应用真实存在，但收入贡献较小且与新能源材料混合，故定为相关而非核心。旧标签若把公司整体归为半导体核心、把全部电子材料或氟化工收入并入半导体，或误写为芯片制造，应纠正为电子特气与湿化学品中的湿电子化学品。</t>
        </is>
      </c>
      <c r="J21" s="4" t="inlineStr">
        <is>
          <t>多氟多：2025年年度报告</t>
        </is>
      </c>
      <c r="K21" s="4" t="inlineStr">
        <is>
          <t>2026-04-16</t>
        </is>
      </c>
      <c r="L21" s="5" t="inlineStr">
        <is>
          <t>iFinD ifind_get_stock_info + ifind_get_stock_business_segmentation (as of 2026-10-27)；多氟多：2025年年度报告</t>
        </is>
      </c>
      <c r="M21" s="6" t="inlineStr">
        <is>
          <t>https://money.finance.sina.com.cn/corp/view/vCB_AllBulletinDetail.php?stockid=002407&amp;id=12095675</t>
        </is>
      </c>
    </row>
    <row r="22" ht="104" customHeight="1">
      <c r="B22" s="7" t="inlineStr">
        <is>
          <t>002409</t>
        </is>
      </c>
      <c r="C22" s="7" t="inlineStr">
        <is>
          <t>雅克科技</t>
        </is>
      </c>
      <c r="D22" s="8" t="inlineStr">
        <is>
          <t>半导体：半导体材料</t>
        </is>
      </c>
      <c r="E22" s="7" t="inlineStr">
        <is>
          <t>纠错</t>
        </is>
      </c>
      <c r="F22" s="7" t="inlineStr">
        <is>
          <t>半导体</t>
        </is>
      </c>
      <c r="G22" s="8" t="inlineStr">
        <is>
          <t>半导体材料-其他关键材料、半导体材料-光刻胶与配套试剂、半导体材料-电子特气与湿化学品、半导体材料-封装材料</t>
        </is>
      </c>
      <c r="H22" s="7" t="inlineStr">
        <is>
          <t>核心</t>
        </is>
      </c>
      <c r="I22" s="8" t="inlineStr">
        <is>
          <t>公司真实产品包括半导体前驱体、光刻胶及配套材料、电子特种气体、硅微粉和球形氧化铝等封装材料；前驱体归入其他关键材料，不应为凑分类写成光刻胶或特气。iFinD二〇二五年半导体化学材料收入二十一点一一亿元，占百分之二十四点五一，光刻胶十九点六零亿元，占百分之二十二点七六，特气四点一七亿元，占百分之四点八五，硅微粉二点八八亿元、LDS三点零四亿元，电子材料合计约五十点八零亿元、占约百分之五十九，支持核心定级。但光刻胶包含显示用途，相关合计也有非半导体边界，不能全算半导体。旧标签若遗漏前驱体、特气和封装材料或混淆收入口径，应逐项纠正。</t>
        </is>
      </c>
      <c r="J22" s="7" t="inlineStr">
        <is>
          <t>雅克科技：2025年年度报告</t>
        </is>
      </c>
      <c r="K22" s="7" t="inlineStr">
        <is>
          <t>2026-04-28</t>
        </is>
      </c>
      <c r="L22" s="8" t="inlineStr">
        <is>
          <t>iFinD ifind_get_stock_info + ifind_get_stock_business_segmentation (as of 2026-10-27)；雅克科技：2025年年度报告</t>
        </is>
      </c>
      <c r="M22" s="9" t="inlineStr">
        <is>
          <t>https://vip.stock.finance.sina.com.cn/corp/view/vCB_AllBulletinDetail.php?stockid=002409&amp;id=12232855</t>
        </is>
      </c>
    </row>
    <row r="23" ht="104" customHeight="1">
      <c r="B23" s="4" t="inlineStr">
        <is>
          <t>002436</t>
        </is>
      </c>
      <c r="C23" s="4" t="inlineStr">
        <is>
          <t>兴森科技</t>
        </is>
      </c>
      <c r="D23" s="5" t="inlineStr">
        <is>
          <t>半导体：半导体材料</t>
        </is>
      </c>
      <c r="E23" s="4" t="inlineStr">
        <is>
          <t>纠错</t>
        </is>
      </c>
      <c r="F23" s="4" t="inlineStr">
        <is>
          <t>半导体</t>
        </is>
      </c>
      <c r="G23" s="5" t="inlineStr">
        <is>
          <t>IC载板</t>
        </is>
      </c>
      <c r="H23" s="4" t="inlineStr">
        <is>
          <t>核心</t>
        </is>
      </c>
      <c r="I23" s="5" t="inlineStr">
        <is>
          <t>公司真实半导体产品是IC封装基板，包括面向芯片封装的高端有机载板，并经营半导体测试板；普通印制电路板虽同属公司主业，却不能因服务电子客户而自动归入IC载板。iFinD二〇二五年IC封装基板收入十六点七零亿元，占营业收入百分之二十三点二二，半导体测试板收入二点三九亿元，占百分之三点三三，PCB收入四十八点九七亿元，占百分之六十八点零七，反映封装基板已有重要独立规模但仍属混合业务。基于真实载板产品、收入体量与持续产业化地位列为核心，核心不表示全部PCB收入均属半导体。旧标签若只写普通PCB、误写芯片封装测试或把测试板收入并入载板，应纠正为IC载板并保留测试板边界。</t>
        </is>
      </c>
      <c r="J23" s="4" t="inlineStr">
        <is>
          <t>兴森科技：2025年年度报告</t>
        </is>
      </c>
      <c r="K23" s="4" t="inlineStr">
        <is>
          <t>2026-04-25</t>
        </is>
      </c>
      <c r="L23" s="5" t="inlineStr">
        <is>
          <t>iFinD ifind_get_stock_info + ifind_get_stock_business_segmentation (as of 2026-10-27)；兴森科技：2025年年度报告</t>
        </is>
      </c>
      <c r="M23" s="6" t="inlineStr">
        <is>
          <t>https://money.finance.sina.com.cn/corp/view/vCB_AllBulletinDetail.php?stockid=002436&amp;id=12191019</t>
        </is>
      </c>
    </row>
    <row r="24" ht="104" customHeight="1">
      <c r="B24" s="7" t="inlineStr">
        <is>
          <t>002453</t>
        </is>
      </c>
      <c r="C24" s="7" t="inlineStr">
        <is>
          <t>华软科技</t>
        </is>
      </c>
      <c r="D24" s="8" t="inlineStr">
        <is>
          <t>半导体：半导体材料</t>
        </is>
      </c>
      <c r="E24" s="7" t="inlineStr">
        <is>
          <t>纠错</t>
        </is>
      </c>
      <c r="F24" s="7" t="inlineStr">
        <is>
          <t>半导体</t>
        </is>
      </c>
      <c r="G24" s="8" t="inlineStr">
        <is>
          <t>半导体材料-封装材料</t>
        </is>
      </c>
      <c r="H24" s="7" t="inlineStr">
        <is>
          <t>相关</t>
        </is>
      </c>
      <c r="I24" s="8" t="inlineStr">
        <is>
          <t>公司电子化学品中的B28、B29等产品具有芯片封装用途，可归入封装材料；另一产品ML-8面向显示材料，说明电子化学品并非天然全部属于半导体，必须逐产品区分。iFinD二〇二五年电子化学品收入约零点三八一亿元，占营业收入百分之十点二三，其中半导体产品收入未单独披露，不能把该分部全部视作半导体，也不能根据少量封装用途推导为芯片设计或封装服务。考虑真实产品和应用证据存在，但规模较小、半导体收入不可拆分，定为相关而非核心。旧标签若将公司整体列为半导体核心材料、把显示化学品混入半导体或泛化为精细化工全部相关，均应纠正为具体的半导体封装材料。</t>
        </is>
      </c>
      <c r="J24" s="7" t="inlineStr">
        <is>
          <t>华软科技：2026年半年度报告</t>
        </is>
      </c>
      <c r="K24" s="7" t="inlineStr">
        <is>
          <t>2026-08-27</t>
        </is>
      </c>
      <c r="L24" s="8" t="inlineStr">
        <is>
          <t>iFinD ifind_get_stock_info + ifind_get_stock_business_segmentation (as of 2026-10-27)；华软科技：2026年半年度报告</t>
        </is>
      </c>
      <c r="M24" s="9" t="inlineStr">
        <is>
          <t>https://money.finance.sina.com.cn/corp/view/vCB_AllBulletinDetail.php?stockid=002453&amp;id=12549023</t>
        </is>
      </c>
    </row>
    <row r="25" ht="104" customHeight="1">
      <c r="B25" s="4" t="inlineStr">
        <is>
          <t>002549</t>
        </is>
      </c>
      <c r="C25" s="4" t="inlineStr">
        <is>
          <t>凯美特气</t>
        </is>
      </c>
      <c r="D25" s="5" t="inlineStr">
        <is>
          <t>半导体：半导体材料</t>
        </is>
      </c>
      <c r="E25" s="4" t="inlineStr">
        <is>
          <t>纠错</t>
        </is>
      </c>
      <c r="F25" s="4" t="inlineStr">
        <is>
          <t>半导体</t>
        </is>
      </c>
      <c r="G25" s="5" t="inlineStr">
        <is>
          <t>半导体材料-电子特气与湿化学品</t>
        </is>
      </c>
      <c r="H25" s="4" t="inlineStr">
        <is>
          <t>相关</t>
        </is>
      </c>
      <c r="I25" s="5" t="inlineStr">
        <is>
          <t>公司真实半导体关联产品是光刻工艺用电子特种气体，相关光刻气已通过Cymer及GIGAPHOTON等认证，认证说明具备进入供应链的技术条件，但不等于形成大额半导体收入，更不代表公司生产光刻机。iFinD二〇二五年特种气体收入约零点一二九亿元，占营业收入百分之二点零六，传统二氧化碳和氢气业务各占约百分之三十四，主营仍以大宗及食品级等气体为主，不能把全部气体收入归入半导体。基于真实产品认证与供货方向保留电子特气标签，但因当前收入贡献很小定为相关，旧核心定级应下调；若旧标签还包含光刻设备、芯片制造或把特种气体全部视为半导体收入，也一并纠正。</t>
        </is>
      </c>
      <c r="J25" s="4" t="inlineStr">
        <is>
          <t>凯美特气：2025年年度报告</t>
        </is>
      </c>
      <c r="K25" s="4" t="inlineStr">
        <is>
          <t>2026-04-22</t>
        </is>
      </c>
      <c r="L25" s="5" t="inlineStr">
        <is>
          <t>iFinD ifind_get_stock_info + ifind_get_stock_business_segmentation (as of 2026-10-27)；凯美特气：2025年年度报告</t>
        </is>
      </c>
      <c r="M25" s="6" t="inlineStr">
        <is>
          <t>https://money.finance.sina.com.cn/corp/view/vCB_AllBulletinDetail.php?stockid=002549&amp;id=12128544</t>
        </is>
      </c>
    </row>
    <row r="26" ht="104" customHeight="1">
      <c r="B26" s="7" t="inlineStr">
        <is>
          <t>002916</t>
        </is>
      </c>
      <c r="C26" s="7" t="inlineStr">
        <is>
          <t>深南电路</t>
        </is>
      </c>
      <c r="D26" s="8" t="inlineStr">
        <is>
          <t>半导体：半导体材料</t>
        </is>
      </c>
      <c r="E26" s="7" t="inlineStr">
        <is>
          <t>纠错</t>
        </is>
      </c>
      <c r="F26" s="7" t="inlineStr">
        <is>
          <t>半导体</t>
        </is>
      </c>
      <c r="G26" s="8" t="inlineStr">
        <is>
          <t>IC载板</t>
        </is>
      </c>
      <c r="H26" s="7" t="inlineStr">
        <is>
          <t>核心</t>
        </is>
      </c>
      <c r="I26" s="8" t="inlineStr">
        <is>
          <t>公司真实半导体产品为封装基板，承担芯片与印制电路板之间的高密度互连和封装承载功能，属于IC载板制造，不是芯片封装测试服务，也不因生产PCB就全部成为半导体企业。iFinD二〇二五年封装基板收入四十一点四八亿元，占营业收入百分之十七点五四，PCB收入一百四十三点五九亿元，占百分之六十点七二，表明封装基板具有重要独立规模，但上市公司仍以混合产品结构为主。结合真实产品、收入体量及封装基板产业地位可列核心，不能把普通PCB收入并入半导体口径。旧标签若仅写PCB、误写封装测试或芯片设计，或把全部营收视为半导体，均应纠正为IC载板并保留两类产品边界。</t>
        </is>
      </c>
      <c r="J26" s="7" t="inlineStr">
        <is>
          <t>深南电路：2025年年度报告</t>
        </is>
      </c>
      <c r="K26" s="7" t="inlineStr">
        <is>
          <t>2026-03-13</t>
        </is>
      </c>
      <c r="L26" s="8" t="inlineStr">
        <is>
          <t>iFinD ifind_get_stock_info + ifind_get_stock_business_segmentation (as of 2026-10-27)；深南电路：2025年年度报告</t>
        </is>
      </c>
      <c r="M26" s="9" t="inlineStr">
        <is>
          <t>https://money.finance.sina.com.cn/corp/view/vCB_AllBulletinDetail.php?stockid=002916&amp;id=11992852</t>
        </is>
      </c>
    </row>
    <row r="27" ht="104" customHeight="1">
      <c r="B27" s="4" t="inlineStr">
        <is>
          <t>002971</t>
        </is>
      </c>
      <c r="C27" s="4" t="inlineStr">
        <is>
          <t>和远气体</t>
        </is>
      </c>
      <c r="D27" s="5" t="inlineStr">
        <is>
          <t>半导体：半导体材料</t>
        </is>
      </c>
      <c r="E27" s="4" t="inlineStr">
        <is>
          <t>纠错</t>
        </is>
      </c>
      <c r="F27" s="4" t="inlineStr">
        <is>
          <t>半导体</t>
        </is>
      </c>
      <c r="G27" s="5" t="inlineStr">
        <is>
          <t>半导体材料-电子特气与湿化学品</t>
        </is>
      </c>
      <c r="H27" s="4" t="inlineStr">
        <is>
          <t>相关</t>
        </is>
      </c>
      <c r="I27" s="5" t="inlineStr">
        <is>
          <t>公司真实半导体相关产品包括电子特种气体及电子化学品，可服务晶圆制造和电子工业的清洗、刻蚀、沉积等场景；其大宗氧氮氩、氢气等气体则广泛服务多个行业，不能整体映射为半导体材料。iFinD二〇二五年电子特气及电子化学品收入约零点六八九亿元，占营业收入百分之四点一四，大宗气体收入七点九一亿元，占百分之四十七点五三，显示电子类业务已有收入但占比仍低，且分部还可能含非半导体电子应用。基于真实产品与已确认收入保留标签，但定为相关而非核心，待半导体收入和占比显著提升再调整。旧标签若把公司全部气体业务列为半导体核心、混淆电子特气与大宗气体或误写设备制造，应纠正为电子特气与湿化学品。</t>
        </is>
      </c>
      <c r="J27" s="4" t="inlineStr">
        <is>
          <t>和远气体：2025年年度报告</t>
        </is>
      </c>
      <c r="K27" s="4" t="inlineStr">
        <is>
          <t>2026-04-16</t>
        </is>
      </c>
      <c r="L27" s="5" t="inlineStr">
        <is>
          <t>iFinD ifind_get_stock_info + ifind_get_stock_business_segmentation (as of 2026-10-27)；和远气体：2025年年度报告</t>
        </is>
      </c>
      <c r="M27" s="6" t="inlineStr">
        <is>
          <t>https://money.finance.sina.com.cn/corp/view/vCB_AllBulletinDetail.php?stockid=002971&amp;id=12096035</t>
        </is>
      </c>
    </row>
    <row r="28" ht="104" customHeight="1">
      <c r="B28" s="7" t="inlineStr">
        <is>
          <t>003026</t>
        </is>
      </c>
      <c r="C28" s="7" t="inlineStr">
        <is>
          <t>中晶科技</t>
        </is>
      </c>
      <c r="D28" s="8" t="inlineStr">
        <is>
          <t>半导体：半导体材料</t>
        </is>
      </c>
      <c r="E28" s="7" t="inlineStr">
        <is>
          <t>纠错</t>
        </is>
      </c>
      <c r="F28" s="7" t="inlineStr">
        <is>
          <t>半导体</t>
        </is>
      </c>
      <c r="G28" s="8" t="inlineStr">
        <is>
          <t>半导体材料-硅片与硅部件、芯片设计-功率半导体</t>
        </is>
      </c>
      <c r="H28" s="7" t="inlineStr">
        <is>
          <t>核心</t>
        </is>
      </c>
      <c r="I28" s="8" t="inlineStr">
        <is>
          <t>公司真实产品包括半导体硅棒、硅片以及功率芯片和器件，前者属于上游硅材料，后者对应功率半导体设计或器件业务，不能笼统写成存储芯片或晶圆代工。iFinD二〇二五年硅片收入二点二五亿元，占营业收入百分之五十二点四八，硅棒收入零点五五六亿元，占百分之十二点九七，功率芯片及器件收入一点四零六亿元，占百分之三十二点七八，三类业务合计构成主要收入，核心定级有直接数据支持。功率器件与硅材料虽存在产业链协同，仍须分别保留产品和收入边界，不能把全部硅片用途再扩张为其他芯片设计。旧标签若仅保留材料而遗漏功率业务，或误标晶圆制造、存储设计，应按两类真实标签纠正。</t>
        </is>
      </c>
      <c r="J28" s="7" t="inlineStr">
        <is>
          <t>中晶科技：2025年年度报告</t>
        </is>
      </c>
      <c r="K28" s="7" t="inlineStr">
        <is>
          <t>2026-04-29</t>
        </is>
      </c>
      <c r="L28" s="8" t="inlineStr">
        <is>
          <t>iFinD ifind_get_stock_info + ifind_get_stock_business_segmentation (as of 2026-10-27)；中晶科技：2025年年度报告</t>
        </is>
      </c>
      <c r="M28" s="9" t="inlineStr">
        <is>
          <t>https://vip.stock.finance.sina.com.cn/corp/view/vCB_AllBulletinDetail.php?stockid=003026&amp;id=12238908</t>
        </is>
      </c>
    </row>
    <row r="29" ht="104" customHeight="1">
      <c r="B29" s="4" t="inlineStr">
        <is>
          <t>003031</t>
        </is>
      </c>
      <c r="C29" s="4" t="inlineStr">
        <is>
          <t>中瓷电子</t>
        </is>
      </c>
      <c r="D29" s="5" t="inlineStr">
        <is>
          <t>半导体：半导体材料</t>
        </is>
      </c>
      <c r="E29" s="4" t="inlineStr">
        <is>
          <t>纠错</t>
        </is>
      </c>
      <c r="F29" s="4" t="inlineStr">
        <is>
          <t>半导体</t>
        </is>
      </c>
      <c r="G29" s="5" t="inlineStr">
        <is>
          <t>半导体材料-封装材料、芯片设计-射频与通信芯片、芯片设计-功率半导体、半导体材料-石英与陶瓷部件、晶圆制造与IDM</t>
        </is>
      </c>
      <c r="H29" s="4" t="inlineStr">
        <is>
          <t>核心</t>
        </is>
      </c>
      <c r="I29" s="5" t="inlineStr">
        <is>
          <t>公司电子陶瓷外壳、氮化镓通信基站射频芯片和碳化硅功率器件均有真实业务基础，核心定级不变。本地2025年分部复算显示，电子陶瓷收入20.1113亿元、第三代半导体收入13.0360亿元、内部抵销-4.3666亿元，合并营业收入28.7807亿元。初审所述60.67%和39.33%是年报以抵销前两类收入合计33.1473亿元为分母的披露占比，不是占合并营业收入的比例；若机械除以合并收入会得到69.88%和45.29%，但因存在内部抵销，也不应将其表述为外部收入占比。年报同时明确陶瓷加热盘已批量用于国产半导体设备、静电卡盘已通过头部设备公司上机验证，故补充半导体材料-石英与陶瓷部件；氮化镓芯片覆盖生产制造、碳化硅8英寸工艺线已通线，支持补充晶圆制造与IDM，但不代表全部电子陶瓷收入均属半导体，混合下游边界仍须保留。</t>
        </is>
      </c>
      <c r="J29" s="4" t="inlineStr">
        <is>
          <t>中瓷电子：2025年年度报告</t>
        </is>
      </c>
      <c r="K29" s="4" t="inlineStr">
        <is>
          <t>2026-04-29</t>
        </is>
      </c>
      <c r="L29" s="5" t="inlineStr">
        <is>
          <t>iFinD ifind_get_stock_info + ifind_get_stock_business_segmentation (as of 2026-10-27)；中瓷电子：2025年年度报告</t>
        </is>
      </c>
      <c r="M29" s="6" t="inlineStr">
        <is>
          <t>https://money.finance.sina.com.cn/corp/view/vCB_AllBulletinDetail.php?stockid=003031&amp;id=12242150</t>
        </is>
      </c>
    </row>
    <row r="30" ht="104" customHeight="1">
      <c r="B30" s="7" t="inlineStr">
        <is>
          <t>300037</t>
        </is>
      </c>
      <c r="C30" s="7" t="inlineStr">
        <is>
          <t>新宙邦</t>
        </is>
      </c>
      <c r="D30" s="8" t="inlineStr">
        <is>
          <t>半导体：半导体材料</t>
        </is>
      </c>
      <c r="E30" s="7" t="inlineStr">
        <is>
          <t>纠错</t>
        </is>
      </c>
      <c r="F30" s="7" t="inlineStr">
        <is>
          <t>半导体</t>
        </is>
      </c>
      <c r="G30" s="8" t="inlineStr">
        <is>
          <t>半导体材料-电子特气与湿化学品</t>
        </is>
      </c>
      <c r="H30" s="7" t="inlineStr">
        <is>
          <t>相关</t>
        </is>
      </c>
      <c r="I30" s="8" t="inlineStr">
        <is>
          <t>公司真实半导体关联产品为电子信息化学品中的高纯湿电子化学品及相关电子材料，可用于集成电路制造的清洗等工艺；电池化学品、电容化学品及有机氟化学品不能因为同属精细化工便全部归入半导体。iFinD二〇二五年电子信息化学品收入十四点六五亿元，占营业收入百分之十五点一九，其中还包含电容化学品等非半导体产品，电池化学品收入六十六点七九亿元，占百分之六十九点二九，是公司主要收入来源。半导体应用真实存在，但对应收入没有独立拆分且公司主营仍以电池材料为主，因此定为相关而非核心。旧标签若把全部电子化学品或氟化工收入视作半导体、误写芯片制造，应纠正为电子特气与湿化学品并明确不可拆分边界。</t>
        </is>
      </c>
      <c r="J30" s="7" t="inlineStr">
        <is>
          <t>新宙邦：2025年年度报告</t>
        </is>
      </c>
      <c r="K30" s="7" t="inlineStr">
        <is>
          <t>2026-03-24</t>
        </is>
      </c>
      <c r="L30" s="8" t="inlineStr">
        <is>
          <t>iFinD ifind_get_stock_info + ifind_get_stock_business_segmentation (as of 2026-10-27)；新宙邦：2025年年度报告</t>
        </is>
      </c>
      <c r="M30" s="9" t="inlineStr">
        <is>
          <t>https://money.finance.sina.com.cn/corp/view/vCB_AllBulletinDetail.php?stockid=300037&amp;id=12012843</t>
        </is>
      </c>
    </row>
    <row r="31" ht="104" customHeight="1">
      <c r="B31" s="4" t="inlineStr">
        <is>
          <t>300042</t>
        </is>
      </c>
      <c r="C31" s="4" t="inlineStr">
        <is>
          <t>朗科科技</t>
        </is>
      </c>
      <c r="D31" s="5" t="inlineStr">
        <is>
          <t>半导体：存储模组</t>
        </is>
      </c>
      <c r="E31" s="4" t="inlineStr">
        <is>
          <t>纠错</t>
        </is>
      </c>
      <c r="F31" s="4" t="inlineStr">
        <is>
          <t>半导体</t>
        </is>
      </c>
      <c r="G31" s="5" t="inlineStr">
        <is>
          <t>存储模组与系统</t>
        </is>
      </c>
      <c r="H31" s="4" t="inlineStr">
        <is>
          <t>核心</t>
        </is>
      </c>
      <c r="I31" s="5" t="inlineStr">
        <is>
          <t>公司真实产品是固态硬盘、DRAM内存条、嵌入式存储及移动存储，属于存储模组和系统产品的研发生产，并非NAND或DRAM存储晶圆设计。2025年闪存应用产品收入8.7884亿元，约占总收入12.3979亿元的70.89%，移动存储收入0.0697亿元、约占0.56%，闪存控制芯片及其他收入3.3757亿元、约占27.23%，主营规模足以维持核心定级。边界上，“闪存控制芯片及其他”是控制芯片与其他业务的合并口径，不可拆分为全部自研芯片收入，更不能据此加贴存储芯片设计标签；模组收入也不能上溯为晶圆收入。此次纠错将旧“存储模组”规范为白名单“存储模组与系统”，保留核心而纠正产业环节表述。</t>
        </is>
      </c>
      <c r="J31" s="4" t="inlineStr">
        <is>
          <t>朗科科技：2025年年度报告</t>
        </is>
      </c>
      <c r="K31" s="4" t="inlineStr">
        <is>
          <t>2026-04-10</t>
        </is>
      </c>
      <c r="L31" s="5" t="inlineStr">
        <is>
          <t>iFinD ifind_get_stock_info + ifind_get_stock_business_segmentation (as of 2026-10-27)；朗科科技：2025年年度报告</t>
        </is>
      </c>
      <c r="M31" s="6" t="inlineStr">
        <is>
          <t>http://money.finance.sina.com.cn/corp/view/vCB_AllBulletinDetail.php?stockid=300042&amp;id=12071203</t>
        </is>
      </c>
    </row>
    <row r="32" ht="104" customHeight="1">
      <c r="B32" s="7" t="inlineStr">
        <is>
          <t>300054</t>
        </is>
      </c>
      <c r="C32" s="7" t="inlineStr">
        <is>
          <t>鼎龙股份</t>
        </is>
      </c>
      <c r="D32" s="8" t="inlineStr">
        <is>
          <t>半导体：半导体材料</t>
        </is>
      </c>
      <c r="E32" s="7" t="inlineStr">
        <is>
          <t>纠错</t>
        </is>
      </c>
      <c r="F32" s="7" t="inlineStr">
        <is>
          <t>半导体</t>
        </is>
      </c>
      <c r="G32" s="8" t="inlineStr">
        <is>
          <t>半导体材料-CMP材料、半导体材料-光刻胶与配套试剂、半导体材料-封装材料</t>
        </is>
      </c>
      <c r="H32" s="7" t="inlineStr">
        <is>
          <t>核心</t>
        </is>
      </c>
      <c r="I32" s="8" t="inlineStr">
        <is>
          <t>公司已形成CMP抛光垫、抛光液、清洗液，先进封装PI、临时键合胶以及ArF、KrF光刻胶等真实产品体系，均直接对应晶圆制造或先进封装材料环节。2025年半导体材料及芯片收入20.8607亿元，占总收入57.00%，传统打印复印通用耗材收入15.5895亿元，半导体板块已成为第一大收入来源，核心定级有规模和经营实质支撑。边界上，20.8607亿元同时包含半导体材料、芯片及部分显示材料，属于不可拆混合口径，不能全部归为CMP，也不能把打印耗材并入半导体。此次纠错把笼统旧“半导体材料”细分为CMP材料、光刻胶与配套试剂、封装材料三个白名单概念，不额外扩张到未单列验证的设备或芯片设计类别。</t>
        </is>
      </c>
      <c r="J32" s="7" t="inlineStr">
        <is>
          <t>鼎龙股份：2025年年度报告</t>
        </is>
      </c>
      <c r="K32" s="7" t="inlineStr">
        <is>
          <t>2026-03-27</t>
        </is>
      </c>
      <c r="L32" s="8" t="inlineStr">
        <is>
          <t>iFinD ifind_get_stock_info + ifind_get_stock_business_segmentation (as of 2026-10-27)；鼎龙股份：2025年年度报告</t>
        </is>
      </c>
      <c r="M32" s="9" t="inlineStr">
        <is>
          <t>https://money.finance.sina.com.cn/corp/view/vCB_AllBulletinDetail.php?stockid=300054&amp;id=12023258</t>
        </is>
      </c>
    </row>
    <row r="33" ht="104" customHeight="1">
      <c r="B33" s="4" t="inlineStr">
        <is>
          <t>300223</t>
        </is>
      </c>
      <c r="C33" s="4" t="inlineStr">
        <is>
          <t>北京君正</t>
        </is>
      </c>
      <c r="D33" s="5" t="inlineStr">
        <is>
          <t>半导体：存储芯片-车规存储</t>
        </is>
      </c>
      <c r="E33" s="4" t="inlineStr">
        <is>
          <t>纠错</t>
        </is>
      </c>
      <c r="F33" s="4" t="inlineStr">
        <is>
          <t>半导体</t>
        </is>
      </c>
      <c r="G33" s="5" t="inlineStr">
        <is>
          <t>芯片设计-存储芯片、芯片设计-SoC与端侧AI、芯片设计-模拟与电源管理</t>
        </is>
      </c>
      <c r="H33" s="4" t="inlineStr">
        <is>
          <t>核心</t>
        </is>
      </c>
      <c r="I33" s="5" t="inlineStr">
        <is>
          <t>公司从事存储、计算、模拟与互联芯片设计，真实产品覆盖车规及工业存储器、智能视频与嵌入式处理器以及模拟互联器件，不是仅靠汽车电子概念形成的间接标的。2025年集成电路设计收入47.3238亿元，占总收入99.8181%；其中存储芯片29.1125亿元、计算芯片12.9341亿元、模拟与互联芯片5.0564亿元，各产品线均有明确规模，核心定级充分。边界上，存储、计算和模拟分部可以分别映射，但不能把全部收入都写成车规存储，也不能将处理器的终端应用等同于下游整机收入。此次纠错将过窄的旧“存储芯片-车规存储”改为“芯片设计-存储芯片”，并补充SoC与端侧AI、模拟与电源管理，使标签与已披露收入结构一致。</t>
        </is>
      </c>
      <c r="J33" s="4" t="inlineStr">
        <is>
          <t>北京君正：2025年年度报告</t>
        </is>
      </c>
      <c r="K33" s="4" t="inlineStr">
        <is>
          <t>2026-03-28</t>
        </is>
      </c>
      <c r="L33" s="5" t="inlineStr">
        <is>
          <t>iFinD ifind_get_stock_info + ifind_get_stock_business_segmentation (as of 2026-10-27)；北京君正：2025年年度报告</t>
        </is>
      </c>
      <c r="M33" s="6" t="inlineStr">
        <is>
          <t>https://money.finance.sina.com.cn/corp/view/vCB_AllBulletinDetail.php?stockid=300223&amp;id=12032491</t>
        </is>
      </c>
    </row>
    <row r="34" ht="104" customHeight="1">
      <c r="B34" s="7" t="inlineStr">
        <is>
          <t>300236</t>
        </is>
      </c>
      <c r="C34" s="7" t="inlineStr">
        <is>
          <t>上海新阳</t>
        </is>
      </c>
      <c r="D34" s="8" t="inlineStr">
        <is>
          <t>半导体：半导体材料</t>
        </is>
      </c>
      <c r="E34" s="7" t="inlineStr">
        <is>
          <t>纠错</t>
        </is>
      </c>
      <c r="F34" s="7" t="inlineStr">
        <is>
          <t>半导体</t>
        </is>
      </c>
      <c r="G34" s="8" t="inlineStr">
        <is>
          <t>半导体材料-电子特气与湿化学品、半导体材料-光刻胶与配套试剂、半导体材料-CMP材料</t>
        </is>
      </c>
      <c r="H34" s="7" t="inlineStr">
        <is>
          <t>核心</t>
        </is>
      </c>
      <c r="I34" s="8" t="inlineStr">
        <is>
          <t>公司真实半导体产品包括晶圆制造用电镀液、清洗液、刻蚀液、光刻胶及CMP相关材料，直接服务集成电路工艺，不是把普通电子涂料泛化为芯片材料。2025年半导体行业收入15.1685亿元，占总收入78.3220%；电子化学材料收入14.7860亿元，配套设备收入0.3425亿元，另有涂料收入4.1983亿元，半导体主业占比和绝对规模均支持核心定级。边界上，涂料业务明确排除；电子化学材料可能覆盖不同具体产品，不能把该分部全部重复归入光刻胶或CMP，设备收入也不与材料收入重复计算。此次纠错将笼统旧“半导体材料”规范为湿化学品、光刻胶与配套试剂、CMP材料三类，保留有产品依据的边界而不借混合分部放大单一品类收入。</t>
        </is>
      </c>
      <c r="J34" s="7" t="inlineStr">
        <is>
          <t>上海新阳：2025年年度报告</t>
        </is>
      </c>
      <c r="K34" s="7" t="inlineStr">
        <is>
          <t>2026-03-13</t>
        </is>
      </c>
      <c r="L34" s="8" t="inlineStr">
        <is>
          <t>iFinD ifind_get_stock_info + ifind_get_stock_business_segmentation (as of 2026-10-27)；上海新阳：2025年年度报告</t>
        </is>
      </c>
      <c r="M34" s="9" t="inlineStr">
        <is>
          <t>https://vip.stock.finance.sina.com.cn/corp/view/vCB_AllBulletinDetail.php?stockid=300236&amp;id=11992858</t>
        </is>
      </c>
    </row>
    <row r="35" ht="104" customHeight="1">
      <c r="B35" s="4" t="inlineStr">
        <is>
          <t>300260</t>
        </is>
      </c>
      <c r="C35" s="4" t="inlineStr">
        <is>
          <t>新莱应材</t>
        </is>
      </c>
      <c r="D35" s="5" t="inlineStr">
        <is>
          <t>半导体：半导体洁净室</t>
        </is>
      </c>
      <c r="E35" s="4" t="inlineStr">
        <is>
          <t>纠错</t>
        </is>
      </c>
      <c r="F35" s="4" t="inlineStr">
        <is>
          <t>半导体</t>
        </is>
      </c>
      <c r="G35" s="5" t="inlineStr">
        <is>
          <t>设备核心零部件</t>
        </is>
      </c>
      <c r="H35" s="4" t="inlineStr">
        <is>
          <t>核心</t>
        </is>
      </c>
      <c r="I35" s="5" t="inlineStr">
        <is>
          <t>公司面向半导体提供高纯及超高纯应用材料、真空与气体传输系统及工艺组件，实质是半导体设备专用管路、阀门、真空和工艺零部件，并非承接一般洁净室建设。2025年泛半导体业务收入9.5582亿元，占总收入31.8851%，食品业务占58.9719%，医药业务占9.0128%；泛半导体接近十亿元且为重要增长板块，具备规模化产品和客户基础，维持核心定级。边界上，“泛半导体”可能同时包含平板显示等下游，属于不可完全拆成集成电路的口径，食品和医药收入更不得并入。此次纠错删除不准确的旧“半导体洁净室”，改挂“设备核心零部件”，既不误归为厂务工程，也不把全部洁净应用材料都视作半导体收入。</t>
        </is>
      </c>
      <c r="J35" s="4" t="inlineStr">
        <is>
          <t>新莱应材：2025年年度报告</t>
        </is>
      </c>
      <c r="K35" s="4" t="inlineStr">
        <is>
          <t>2026-04-28</t>
        </is>
      </c>
      <c r="L35" s="5" t="inlineStr">
        <is>
          <t>iFinD ifind_get_stock_info + ifind_get_stock_business_segmentation (as of 2026-10-27)；新莱应材：2025年年度报告</t>
        </is>
      </c>
      <c r="M35" s="6" t="inlineStr">
        <is>
          <t>https://money.finance.sina.com.cn/corp/view/vCB_AllBulletinDetail.php?stockid=300260&amp;id=12235701</t>
        </is>
      </c>
    </row>
    <row r="36" ht="104" customHeight="1">
      <c r="B36" s="7" t="inlineStr">
        <is>
          <t>300302</t>
        </is>
      </c>
      <c r="C36" s="7" t="inlineStr">
        <is>
          <t>同有科技</t>
        </is>
      </c>
      <c r="D36" s="8" t="inlineStr">
        <is>
          <t>半导体：存储系统</t>
        </is>
      </c>
      <c r="E36" s="7" t="inlineStr">
        <is>
          <t>纠错</t>
        </is>
      </c>
      <c r="F36" s="7" t="inlineStr">
        <is>
          <t>半导体</t>
        </is>
      </c>
      <c r="G36" s="8" t="inlineStr">
        <is>
          <t>存储模组与系统</t>
        </is>
      </c>
      <c r="H36" s="7" t="inlineStr">
        <is>
          <t>核心</t>
        </is>
      </c>
      <c r="I36" s="8" t="inlineStr">
        <is>
          <t>公司真实业务是企业级存储系统以及特殊行业、工业级固态存储的研发和应用，产品落在存储整机、系统和固态存储层级，与存储产业链具有直接经营联系。2025年存储系统收入2.5924亿元，闪存存储收入1.4423亿元，两项合计4.0347亿元，约占公司全部收入，主营业务集中度和产品规模支持核心定级。边界上，企业级存储系统会采购或集成存储介质、控制器等器件，但系统集成不等于NAND、DRAM晶圆制造，也不等于上游存储芯片设计；上述4.0347亿元不可改写为存储芯片收入，特殊行业应用也不能额外推导出特种集成电路设计标签。此次纠错将旧“存储系统”规范为白名单“存储模组与系统”，保留核心同时明确系统与芯片的不可跨越边界。</t>
        </is>
      </c>
      <c r="J36" s="7" t="inlineStr">
        <is>
          <t>同有科技：2025年年度报告</t>
        </is>
      </c>
      <c r="K36" s="7" t="inlineStr">
        <is>
          <t>2026-04-28</t>
        </is>
      </c>
      <c r="L36" s="8" t="inlineStr">
        <is>
          <t>iFinD ifind_get_stock_info + ifind_get_stock_business_segmentation (as of 2026-10-27)；同有科技：2025年年度报告</t>
        </is>
      </c>
      <c r="M36" s="9" t="inlineStr">
        <is>
          <t>https://money.finance.sina.com.cn/corp/view/vCB_AllBulletinDetail.php?stockid=300302&amp;id=12221482</t>
        </is>
      </c>
    </row>
    <row r="37" ht="104" customHeight="1">
      <c r="B37" s="4" t="inlineStr">
        <is>
          <t>300316</t>
        </is>
      </c>
      <c r="C37" s="4" t="inlineStr">
        <is>
          <t>晶盛机电</t>
        </is>
      </c>
      <c r="D37" s="5" t="inlineStr">
        <is>
          <t>半导体：半导体设备、半导体材料</t>
        </is>
      </c>
      <c r="E37" s="4" t="inlineStr">
        <is>
          <t>纠错</t>
        </is>
      </c>
      <c r="F37" s="4" t="inlineStr">
        <is>
          <t>半导体</t>
        </is>
      </c>
      <c r="G37" s="5" t="inlineStr">
        <is>
          <t>半导体设备-其他专用设备、半导体材料-硅片与硅部件、半导体材料-石英与陶瓷部件、设备核心零部件</t>
        </is>
      </c>
      <c r="H37" s="4" t="inlineStr">
        <is>
          <t>核心</t>
        </is>
      </c>
      <c r="I37" s="5" t="inlineStr">
        <is>
          <t>公司真实半导体业务覆盖集成电路和化合物半导体晶体生长及加工装备、衬底材料、石英耗材和精密零部件，并已形成设备、材料与部件协同供给。2025年总收入113.57亿元，年报披露集成电路与碳化硅相关设备及材料整体收入18.50亿元，约占16.29%，期末未完成相关装备合同超过37亿元，绝对规模和订单支撑核心而非旧边缘定级。边界上，18.50亿元是集成电路与碳化硅设备、材料合并口径，不可拆成某一设备或硅片收入；设备及服务84.027亿元、蓝宝石24.615亿元均含大量非半导体业务，不能全算。此次纠错仅处理半导体，将旧笼统设备材料标签细化到白名单四类，剔除边缘误判但不触碰其他分类。</t>
        </is>
      </c>
      <c r="J37" s="4" t="inlineStr">
        <is>
          <t>晶盛机电：2025年年度报告</t>
        </is>
      </c>
      <c r="K37" s="4" t="inlineStr">
        <is>
          <t>2026-04-11</t>
        </is>
      </c>
      <c r="L37" s="5" t="inlineStr">
        <is>
          <t>iFinD ifind_get_stock_info + ifind_get_stock_business_segmentation (as of 2026-10-27)；晶盛机电：2025年年度报告</t>
        </is>
      </c>
      <c r="M37" s="6" t="inlineStr">
        <is>
          <t>https://money.finance.sina.com.cn/corp/view/vCB_AllBulletinDetail.php?stockid=300316&amp;id=12080532</t>
        </is>
      </c>
    </row>
    <row r="38" ht="104" customHeight="1">
      <c r="B38" s="7" t="inlineStr">
        <is>
          <t>300346</t>
        </is>
      </c>
      <c r="C38" s="7" t="inlineStr">
        <is>
          <t>南大光电</t>
        </is>
      </c>
      <c r="D38" s="8" t="inlineStr">
        <is>
          <t>半导体：半导体材料</t>
        </is>
      </c>
      <c r="E38" s="7" t="inlineStr">
        <is>
          <t>纠错</t>
        </is>
      </c>
      <c r="F38" s="7" t="inlineStr">
        <is>
          <t>半导体</t>
        </is>
      </c>
      <c r="G38" s="8" t="inlineStr">
        <is>
          <t>半导体材料-电子特气与湿化学品、半导体材料-光刻胶与配套试剂、半导体材料-其他关键材料</t>
        </is>
      </c>
      <c r="H38" s="7" t="inlineStr">
        <is>
          <t>核心</t>
        </is>
      </c>
      <c r="I38" s="8" t="inlineStr">
        <is>
          <t>公司真实产品由先进前驱体及MO源、电子特气、ArF光刻胶和配套材料构成，均为晶圆制造直接消耗的关键材料，业务属性和客户工艺环节清晰。2025年半导体材料收入24.5982亿元，按本地年报分部汇总总收入25.8546亿元计算约占95.14%；其中电子特气15.3553亿元，前驱体及MO源7.1385亿元，主营集中度和收入规模充分支持核心定级。边界上，前驱体与MO源归入其他关键材料，不与电子特气或光刻胶重复计算；光刻胶真实布局也不代表全部半导体材料收入都来自ArF产品，更不能把其他分类中的下游应用混入本次统计。此次纠错将旧笼统“半导体材料”拆成三个有真实产品依据的白名单概念，只审半导体并维持核心。</t>
        </is>
      </c>
      <c r="J38" s="7" t="inlineStr">
        <is>
          <t>南大光电：2025年年度报告</t>
        </is>
      </c>
      <c r="K38" s="7" t="inlineStr">
        <is>
          <t>2026-04-10</t>
        </is>
      </c>
      <c r="L38" s="8" t="inlineStr">
        <is>
          <t>iFinD ifind_get_stock_info + ifind_get_stock_business_segmentation (as of 2026-10-27)；南大光电：2025年年度报告</t>
        </is>
      </c>
      <c r="M38" s="9" t="inlineStr">
        <is>
          <t>https://www.cnfin.com/announ/detail/index.html?id=829079943789&amp;code=300346&amp;dannoun=lcdetail&amp;announ=lc</t>
        </is>
      </c>
    </row>
    <row r="39" ht="104" customHeight="1">
      <c r="B39" s="4" t="inlineStr">
        <is>
          <t>300373</t>
        </is>
      </c>
      <c r="C39" s="4" t="inlineStr">
        <is>
          <t>扬杰科技</t>
        </is>
      </c>
      <c r="D39" s="5" t="inlineStr">
        <is>
          <t>半导体：功率半导体</t>
        </is>
      </c>
      <c r="E39" s="4" t="inlineStr">
        <is>
          <t>纠错</t>
        </is>
      </c>
      <c r="F39" s="4" t="inlineStr">
        <is>
          <t>半导体</t>
        </is>
      </c>
      <c r="G39" s="5" t="inlineStr">
        <is>
          <t>芯片设计-功率半导体、晶圆制造与IDM</t>
        </is>
      </c>
      <c r="H39" s="4" t="inlineStr">
        <is>
          <t>核心</t>
        </is>
      </c>
      <c r="I39" s="5" t="inlineStr">
        <is>
          <t>公司真实产品覆盖功率二极管、MOSFET、IGBT、SiC器件及模块，同时经营半导体分立芯片、晶圆和硅片，具备设计、制造与器件封测一体化经营特征。2025年半导体器件收入62.5690亿元，分立芯片收入5.3402亿元，硅片收入1.6747亿元，电子元器件分部合计69.5839亿元，占总收入97.5904%，半导体主业规模与集中度均明确支持核心定级。边界上，器件、芯片和硅片是不同披露口径，不应把器件收入重复算成晶圆制造收入；SiC等第三代半导体也属于功率器件产品，不据此扩张至不相关的设备或材料概念。此次纠错将旧“功率半导体”规范为“芯片设计-功率半导体”，并依据实际芯片与晶圆业务补充“晶圆制造与IDM”。</t>
        </is>
      </c>
      <c r="J39" s="4" t="inlineStr">
        <is>
          <t>扬杰科技：2025年年度报告</t>
        </is>
      </c>
      <c r="K39" s="4" t="inlineStr">
        <is>
          <t>2026-03-31</t>
        </is>
      </c>
      <c r="L39" s="5" t="inlineStr">
        <is>
          <t>iFinD ifind_get_stock_info + ifind_get_stock_business_segmentation (as of 2026-10-27)；扬杰科技：2025年年度报告</t>
        </is>
      </c>
      <c r="M39" s="6" t="inlineStr">
        <is>
          <t>http://money.finance.sina.com.cn/corp/view/vCB_AllBulletinDetail.php?stockid=300373&amp;id=12045737</t>
        </is>
      </c>
    </row>
    <row r="40" ht="104" customHeight="1">
      <c r="B40" s="7" t="inlineStr">
        <is>
          <t>300458</t>
        </is>
      </c>
      <c r="C40" s="7" t="inlineStr">
        <is>
          <t>全志科技</t>
        </is>
      </c>
      <c r="D40" s="8" t="inlineStr">
        <is>
          <t>半导体：端侧AI芯片</t>
        </is>
      </c>
      <c r="E40" s="7" t="inlineStr">
        <is>
          <t>纠错</t>
        </is>
      </c>
      <c r="F40" s="7" t="inlineStr">
        <is>
          <t>半导体</t>
        </is>
      </c>
      <c r="G40" s="8" t="inlineStr">
        <is>
          <t>芯片设计-SoC与端侧AI</t>
        </is>
      </c>
      <c r="H40" s="7" t="inlineStr">
        <is>
          <t>核心</t>
        </is>
      </c>
      <c r="I40" s="8" t="inlineStr">
        <is>
          <t>公司从事智能应用处理器SoC、高性能模拟器件和无线互联芯片研发设计，产品直接用于智能终端、车载、工业及消费电子设备，端侧智能以实际处理器和SoC为载体。2025年集成电路设计收入28.3787亿元，占总收入99.9972%，其中智能终端应用处理器芯片收入24.2804亿元，主业几乎全部为芯片设计，核心定级不存在依赖概念外推的问题。边界上，智能终端整机或下游AI设备收入不属于公司芯片收入，模拟和无线产品虽真实存在，但本次不为扩大标签而把所有分部重复归入端侧AI；也不能因应用涉及汽车或存储就衍生其他无收入依据的概念。此次纠错将旧“端侧AI芯片”规范为白名单“芯片设计-SoC与端侧AI”，保留核心并准确覆盖智能应用处理器主业。</t>
        </is>
      </c>
      <c r="J40" s="7" t="inlineStr">
        <is>
          <t>全志科技：2025年年度报告</t>
        </is>
      </c>
      <c r="K40" s="7" t="inlineStr">
        <is>
          <t>2026-03-27</t>
        </is>
      </c>
      <c r="L40" s="8" t="inlineStr">
        <is>
          <t>iFinD ifind_get_stock_info + ifind_get_stock_business_segmentation (as of 2026-10-27)；全志科技：2025年年度报告</t>
        </is>
      </c>
      <c r="M40" s="9" t="inlineStr">
        <is>
          <t>https://vip.stock.finance.sina.com.cn/corp/view/vCB_AllBulletinDetail.php?stockid=300458&amp;id=12023054</t>
        </is>
      </c>
    </row>
    <row r="41" ht="104" customHeight="1">
      <c r="B41" s="4" t="inlineStr">
        <is>
          <t>300474</t>
        </is>
      </c>
      <c r="C41" s="4" t="inlineStr">
        <is>
          <t>景嘉微</t>
        </is>
      </c>
      <c r="D41" s="5" t="inlineStr">
        <is>
          <t>半导体：算力芯片</t>
        </is>
      </c>
      <c r="E41" s="4" t="inlineStr">
        <is>
          <t>纠错</t>
        </is>
      </c>
      <c r="F41" s="4" t="inlineStr">
        <is>
          <t>半导体</t>
        </is>
      </c>
      <c r="G41" s="5" t="inlineStr">
        <is>
          <t>芯片设计-CPU/GPU/AI计算</t>
        </is>
      </c>
      <c r="H41" s="4" t="inlineStr">
        <is>
          <t>核心</t>
        </is>
      </c>
      <c r="I41" s="5" t="inlineStr">
        <is>
          <t>公司拥有自研GPU、图形处理芯片及边端侧AI SoC布局，图形显控和雷达是下游产品形态，真正对应半导体分类的是芯片设计与计算能力。2025年总收入7.2006亿元，其中芯片收入1.3056亿元、占18.13%，图形显控收入4.5051亿元，雷达收入1.2636亿元；芯片已形成亿元级销售且GPU为核心自主产品，故维持核心而非按收入占比机械降级。边界上，图形显控和雷达收入不可全部并入芯片，新AI项目尚未形成规模收入也不能提前资本化为既有业绩。此次纠错把旧“算力芯片”规范为“芯片设计-CPU/GPU/AI计算”，以已量产GPU和真实芯片分部支撑定级，不用军工整机收入放大半导体业务规模。</t>
        </is>
      </c>
      <c r="J41" s="4" t="inlineStr">
        <is>
          <t>景嘉微：2025年年度报告</t>
        </is>
      </c>
      <c r="K41" s="4" t="inlineStr">
        <is>
          <t>2026-04-24</t>
        </is>
      </c>
      <c r="L41" s="5" t="inlineStr">
        <is>
          <t>iFinD ifind_get_stock_info + ifind_get_stock_business_segmentation (as of 2026-10-27)；景嘉微：2025年年度报告</t>
        </is>
      </c>
      <c r="M41" s="6" t="inlineStr">
        <is>
          <t>https://money.finance.sina.com.cn/corp/view/vCB_AllBulletinDetail.php?stockid=300474&amp;id=12167470</t>
        </is>
      </c>
    </row>
    <row r="42" ht="104" customHeight="1">
      <c r="B42" s="7" t="inlineStr">
        <is>
          <t>300475</t>
        </is>
      </c>
      <c r="C42" s="7" t="inlineStr">
        <is>
          <t>香农芯创</t>
        </is>
      </c>
      <c r="D42" s="8" t="inlineStr">
        <is>
          <t>半导体：存储分销</t>
        </is>
      </c>
      <c r="E42" s="7" t="inlineStr">
        <is>
          <t>纠错</t>
        </is>
      </c>
      <c r="F42" s="7" t="inlineStr">
        <is>
          <t>半导体</t>
        </is>
      </c>
      <c r="G42" s="8" t="inlineStr">
        <is>
          <t>半导体分销与供应链、存储模组与系统</t>
        </is>
      </c>
      <c r="H42" s="7" t="inlineStr">
        <is>
          <t>核心</t>
        </is>
      </c>
      <c r="I42" s="8" t="inlineStr">
        <is>
          <t>公司主营SK海力士等存储器及相关电子元器件分销，并通过海普存储经营企业级DDR5内存条和eSSD等存储产品，分别对应供应链服务与存储模组系统。2025年电子元器件分销收入332.2469亿元，占总收入94.2521%，其中集成电路含存储器收入332.2293亿元；海普存储业务收入占比4.7043%，减速器业务占1.0424%，半导体经营规模充分支持核心定级。边界上，分销不是芯片设计，海普模组也不是NAND或DRAM晶圆制造，不能因代理原厂品牌就加贴存储芯片设计；分销与自有模组需分环节理解且不得重复计算。此次纠错将旧“存储分销”规范为“半导体分销与供应链”，并按真实海普产品补充“存储模组与系统”。</t>
        </is>
      </c>
      <c r="J42" s="7" t="inlineStr">
        <is>
          <t>香农芯创：2025年年度报告</t>
        </is>
      </c>
      <c r="K42" s="7" t="inlineStr">
        <is>
          <t>2026-04-24</t>
        </is>
      </c>
      <c r="L42" s="8" t="inlineStr">
        <is>
          <t>iFinD ifind_get_stock_info + ifind_get_stock_business_segmentation (as of 2026-10-27)；香农芯创：2025年年度报告</t>
        </is>
      </c>
      <c r="M42" s="9" t="inlineStr">
        <is>
          <t>https://money.finance.sina.com.cn/corp/view/vCB_AllBulletinDetail.php?stockid=300475&amp;id=12168581</t>
        </is>
      </c>
    </row>
    <row r="43" ht="104" customHeight="1">
      <c r="B43" s="4" t="inlineStr">
        <is>
          <t>300480</t>
        </is>
      </c>
      <c r="C43" s="4" t="inlineStr">
        <is>
          <t>光力科技</t>
        </is>
      </c>
      <c r="D43" s="5" t="inlineStr">
        <is>
          <t>半导体：半导体设备-后道</t>
        </is>
      </c>
      <c r="E43" s="4" t="inlineStr">
        <is>
          <t>纠错</t>
        </is>
      </c>
      <c r="F43" s="4" t="inlineStr">
        <is>
          <t>半导体</t>
        </is>
      </c>
      <c r="G43" s="5" t="inlineStr">
        <is>
          <t>半导体设备-划片与切割</t>
        </is>
      </c>
      <c r="H43" s="4" t="inlineStr">
        <is>
          <t>核心</t>
        </is>
      </c>
      <c r="I43" s="5" t="inlineStr">
        <is>
          <t>公司半导体板块真实产品为晶圆划片机、封测精密加工设备及相关核心零部件和耗材，直接用于封装前后晶圆切割与精密加工，产业位置明确。2025年半导体行业收入3.6187亿元，占总收入53.9926%，其中半导体精密加工设备收入3.5261亿元；煤矿安全监控业务收入3.0835亿元，半导体已成为最大收入板块，核心定级有实际经营规模支撑。边界上，煤矿安全监控及物联网业务不能并入半导体，零部件和耗材也不应与整机收入重复累加；划片设备属于后道加工，但旧“后道”过宽，不能由此延伸为全部封装设备供应商。此次纠错将旧“半导体设备-后道”精确改为白名单“半导体设备-划片与切割”，保留核心并收窄到真实产品。</t>
        </is>
      </c>
      <c r="J43" s="4" t="inlineStr">
        <is>
          <t>光力科技：2025年年度报告</t>
        </is>
      </c>
      <c r="K43" s="4" t="inlineStr">
        <is>
          <t>2026-04-24</t>
        </is>
      </c>
      <c r="L43" s="5" t="inlineStr">
        <is>
          <t>iFinD ifind_get_stock_info + ifind_get_stock_business_segmentation (as of 2026-10-27)；光力科技：2025年年度报告</t>
        </is>
      </c>
      <c r="M43" s="6" t="inlineStr">
        <is>
          <t>https://money.finance.sina.com.cn/corp/view/vCB_AllBulletinDetail.php?stockid=300480&amp;id=12168383</t>
        </is>
      </c>
    </row>
    <row r="44" ht="104" customHeight="1">
      <c r="B44" s="7" t="inlineStr">
        <is>
          <t>300493</t>
        </is>
      </c>
      <c r="C44" s="7" t="inlineStr">
        <is>
          <t>润欣科技</t>
        </is>
      </c>
      <c r="D44" s="8" t="inlineStr">
        <is>
          <t>半导体：端侧ai芯片</t>
        </is>
      </c>
      <c r="E44" s="7" t="inlineStr">
        <is>
          <t>纠错</t>
        </is>
      </c>
      <c r="F44" s="7" t="inlineStr">
        <is>
          <t>半导体</t>
        </is>
      </c>
      <c r="G44" s="8" t="inlineStr">
        <is>
          <t>半导体分销与供应链、芯片设计-SoC与端侧AI</t>
        </is>
      </c>
      <c r="H44" s="7" t="inlineStr">
        <is>
          <t>核心</t>
        </is>
      </c>
      <c r="I44" s="8" t="inlineStr">
        <is>
          <t>公司主业是IC分销、技术支持和应用方案，同时开展定制及自研芯片，微能量收集芯片已有量产，AI眼镜SoC方案与JDM项目具备真实端侧产品基础。2025年总收入28.8798亿元，定制和自研芯片收入2.0828亿元、占7.21%，其余经营主体仍以半导体分销和方案服务为主，故核心定级首先依据大规模IC分销主业，而非把全公司包装成AI芯片设计企业。边界上，AI感存算一体等仍处研发或试产的项目不能计入成熟收入，定制自研7.21%也不能外推至全部分销收入。此次纠错将旧“端侧ai芯片”和原边缘定级纠正为“半导体分销与供应链”核心，辅以“芯片设计-SoC与端侧AI”，明确分销与设计的不同证据和权重。</t>
        </is>
      </c>
      <c r="J44" s="7" t="inlineStr">
        <is>
          <t>润欣科技：2025年年度报告</t>
        </is>
      </c>
      <c r="K44" s="7" t="inlineStr">
        <is>
          <t>2026-04-28</t>
        </is>
      </c>
      <c r="L44" s="8" t="inlineStr">
        <is>
          <t>iFinD ifind_get_stock_info + ifind_get_stock_business_segmentation (as of 2026-10-27)；润欣科技：2025年年度报告</t>
        </is>
      </c>
      <c r="M44" s="9" t="inlineStr">
        <is>
          <t>http://money.finance.sina.com.cn/corp/view/vCB_AllBulletinDetail.php?stockid=300493&amp;id=12208916</t>
        </is>
      </c>
    </row>
    <row r="45" ht="104" customHeight="1">
      <c r="B45" s="4" t="inlineStr">
        <is>
          <t>300554</t>
        </is>
      </c>
      <c r="C45" s="4" t="inlineStr">
        <is>
          <t>三超新材</t>
        </is>
      </c>
      <c r="D45" s="5" t="inlineStr">
        <is>
          <t>半导体：半导体材料</t>
        </is>
      </c>
      <c r="E45" s="4" t="inlineStr">
        <is>
          <t>纠错</t>
        </is>
      </c>
      <c r="F45" s="4" t="inlineStr">
        <is>
          <t>半导体</t>
        </is>
      </c>
      <c r="G45" s="5" t="inlineStr">
        <is>
          <t>半导体材料-金刚石与加工耗材</t>
        </is>
      </c>
      <c r="H45" s="4" t="inlineStr">
        <is>
          <t>相关</t>
        </is>
      </c>
      <c r="I45" s="5" t="inlineStr">
        <is>
          <t>公司用于半导体的真实产品包括晶圆背减、倒角金刚石砂轮、划片刀及CMP-Disk，已获多家厂商采用并形成批量销售，但业务仍处爬坡阶段，盈利贡献较小。2025年金刚石砂轮收入0.7520亿元、占总收入32.95%，电镀金刚线收入1.3112亿元；半导体子公司江苏三晶收入0.4817亿元，约占总收入21.11%，现有规模和贡献更适合相关而非核心。边界上，金刚石砂轮还服务非半导体加工，0.7520亿元不可全部计为半导体耗材，光伏电镀金刚线更不能并入；子公司收入可用于观察规模，但不等于所有产品均已完成高端制程放量。此次纠错将旧笼统“半导体材料”细化为“半导体材料-金刚石与加工耗材”，保留相关并剔除金刚线带来的规模错觉。</t>
        </is>
      </c>
      <c r="J45" s="4" t="inlineStr">
        <is>
          <t>三超新材：2025年年度报告</t>
        </is>
      </c>
      <c r="K45" s="4" t="inlineStr">
        <is>
          <t>2026-03-18</t>
        </is>
      </c>
      <c r="L45" s="5" t="inlineStr">
        <is>
          <t>iFinD ifind_get_stock_info + ifind_get_stock_business_segmentation (as of 2026-10-27)；三超新材：2025年年度报告</t>
        </is>
      </c>
      <c r="M45" s="6" t="inlineStr">
        <is>
          <t>https://money.finance.sina.com.cn/corp/view/vCB_AllBulletinDetail.php?stockid=300554&amp;id=12000651</t>
        </is>
      </c>
    </row>
    <row r="46" ht="104" customHeight="1">
      <c r="B46" s="7" t="inlineStr">
        <is>
          <t>300567</t>
        </is>
      </c>
      <c r="C46" s="7" t="inlineStr">
        <is>
          <t>精测电子</t>
        </is>
      </c>
      <c r="D46" s="8" t="inlineStr">
        <is>
          <t>半导体：半导体设备-测试设备</t>
        </is>
      </c>
      <c r="E46" s="7" t="inlineStr">
        <is>
          <t>纠错</t>
        </is>
      </c>
      <c r="F46" s="7" t="inlineStr">
        <is>
          <t>半导体</t>
        </is>
      </c>
      <c r="G46" s="8" t="inlineStr">
        <is>
          <t>半导体设备-量测与检测</t>
        </is>
      </c>
      <c r="H46" s="7" t="inlineStr">
        <is>
          <t>核心</t>
        </is>
      </c>
      <c r="I46" s="8" t="inlineStr">
        <is>
          <t>公司半导体真实产品包括前道膜厚、OCD、电子束及缺陷检测等量测检测设备，已实现规模交付，后道ATE虽占比较低但不改变前道设备主业证据。2025年半导体业务收入13.1777亿元，占总收入39.3643%，显示业务收入17.5476亿元，新能源业务收入1.6883亿元；半导体在手订单25.33亿元，收入绝对规模和订单储备支持由相关上调为核心。边界上，显示检测与新能源检测收入不得并入半导体，前道量测检测与后道ATE也不能混为同一收入；在手订单是后续交付指标，不可当作2025年已实现收入。此次纠错将白名单外旧“半导体设备-测试设备”改为“半导体设备-量测与检测”，纠正设备类型及旧相关定级，同时保留三大业务的收入边界。</t>
        </is>
      </c>
      <c r="J46" s="7" t="inlineStr">
        <is>
          <t>精测电子：2025年年度报告</t>
        </is>
      </c>
      <c r="K46" s="7" t="inlineStr">
        <is>
          <t>2026-04-28</t>
        </is>
      </c>
      <c r="L46" s="8" t="inlineStr">
        <is>
          <t>iFinD ifind_get_stock_info + ifind_get_stock_business_segmentation (as of 2026-10-27)；精测电子：2025年年度报告</t>
        </is>
      </c>
      <c r="M46" s="9" t="inlineStr">
        <is>
          <t>http://money.finance.sina.com.cn/corp/view/vCB_AllBulletinDetail.php?stockid=300567&amp;id=12216269</t>
        </is>
      </c>
    </row>
    <row r="47" ht="104" customHeight="1">
      <c r="B47" s="4" t="inlineStr">
        <is>
          <t>300576</t>
        </is>
      </c>
      <c r="C47" s="4" t="inlineStr">
        <is>
          <t>容大感光</t>
        </is>
      </c>
      <c r="D47" s="5" t="inlineStr">
        <is>
          <t>半导体：半导体材料</t>
        </is>
      </c>
      <c r="E47" s="4" t="inlineStr">
        <is>
          <t>纠错</t>
        </is>
      </c>
      <c r="F47" s="4" t="inlineStr">
        <is>
          <t>半导体</t>
        </is>
      </c>
      <c r="G47" s="5" t="inlineStr">
        <is>
          <t>半导体材料-光刻胶与配套试剂</t>
        </is>
      </c>
      <c r="H47" s="4" t="inlineStr">
        <is>
          <t>相关</t>
        </is>
      </c>
      <c r="I47" s="5" t="inlineStr">
        <is>
          <t>公司真实产品包括PCB、显示和半导体光刻胶，其中g/i线半导体光刻胶已形成销售，KrF产品仍处验证推进阶段，具备半导体材料经营实质但规模尚小。2025年显示用与半导体光刻胶合并收入0.3812亿元，占总收入3.57%；PCB光刻胶收入9.9259亿元，占92.87%，因此维持相关而非核心。边界上，0.3812亿元是显示和半导体两类产品不可拆口径，不能全部算作半导体收入，占绝对主体的PCB光刻胶也不能因为同属感光材料就并入半导体；尚未完成验证的KrF不得按成熟量产品类放大判断。此次纠错将旧笼统“半导体材料”精确为“半导体材料-光刻胶与配套试剂”，保留相关并纠正以PCB主业支撑半导体核心程度的潜在误读。</t>
        </is>
      </c>
      <c r="J47" s="4" t="inlineStr">
        <is>
          <t>深圳市容大感光科技股份有限公司2025年年度报告</t>
        </is>
      </c>
      <c r="K47" s="4" t="inlineStr">
        <is>
          <t>2026-04-28</t>
        </is>
      </c>
      <c r="L47" s="5" t="inlineStr">
        <is>
          <t>iFinD ifind_get_stock_info + ifind_get_stock_business_segmentation (as of 2026-10-27)；深圳市容大感光科技股份有限公司2025年年度报告</t>
        </is>
      </c>
      <c r="M47" s="6" t="inlineStr">
        <is>
          <t>https://disc.static.szse.cn/disc/disk03/finalpage/2026-04-28/16f99d40-6ee7-44f5-90e4-c72306abb357.PDF</t>
        </is>
      </c>
    </row>
    <row r="48" ht="104" customHeight="1">
      <c r="B48" s="7" t="inlineStr">
        <is>
          <t>300604</t>
        </is>
      </c>
      <c r="C48" s="7" t="inlineStr">
        <is>
          <t>长川科技</t>
        </is>
      </c>
      <c r="D48" s="8" t="inlineStr">
        <is>
          <t>半导体：半导体设备-测试设备、半导体设备-后道</t>
        </is>
      </c>
      <c r="E48" s="7" t="inlineStr">
        <is>
          <t>纠错</t>
        </is>
      </c>
      <c r="F48" s="7" t="inlineStr">
        <is>
          <t>半导体</t>
        </is>
      </c>
      <c r="G48" s="8" t="inlineStr">
        <is>
          <t>半导体设备-测试机与分选机</t>
        </is>
      </c>
      <c r="H48" s="7" t="inlineStr">
        <is>
          <t>核心</t>
        </is>
      </c>
      <c r="I48" s="8" t="inlineStr">
        <is>
          <t>公司真实产品覆盖集成电路测试机、分选机、探针台及AOI设备，其中测试和分选产品已形成大规模销售，是明确的半导体后道测试装备供应商。2025年集成电路专用设备收入52.9154亿元，占总收入100%，其中测试机收入32.0297亿元，分选机收入15.6847亿元，主业集中度和收入规模均足以支持由旧边缘定级上调为核心。边界上，探针台和AOI虽真实存在，但本次主标签应匹配收入最大的测试机与分选机，不将全部设备收入重复拆成多个细分产品收入，也不能因后道属性泛化为所有封装设备。此次纠错删除白名单外旧“半导体设备-测试设备”和过宽的“半导体设备-后道”，统一规范为“半导体设备-测试机与分选机”，并纠正明显偏低的定级。</t>
        </is>
      </c>
      <c r="J48" s="7" t="inlineStr">
        <is>
          <t>长川科技：2025年年度报告</t>
        </is>
      </c>
      <c r="K48" s="7" t="inlineStr">
        <is>
          <t>2026-04-25</t>
        </is>
      </c>
      <c r="L48" s="8" t="inlineStr">
        <is>
          <t>iFinD ifind_get_stock_info + ifind_get_stock_business_segmentation (as of 2026-10-27)；长川科技：2025年年度报告</t>
        </is>
      </c>
      <c r="M48" s="9" t="inlineStr">
        <is>
          <t>https://money.finance.sina.com.cn/corp/view/vCB_AllBulletinDetail.php?stockid=300604&amp;id=12197571</t>
        </is>
      </c>
    </row>
    <row r="49" ht="104" customHeight="1">
      <c r="B49" s="4" t="inlineStr">
        <is>
          <t>300613</t>
        </is>
      </c>
      <c r="C49" s="4" t="inlineStr">
        <is>
          <t>富瀚微</t>
        </is>
      </c>
      <c r="D49" s="5" t="inlineStr">
        <is>
          <t>半导体：端侧AI芯片</t>
        </is>
      </c>
      <c r="E49" s="4" t="inlineStr">
        <is>
          <t>纠错</t>
        </is>
      </c>
      <c r="F49" s="4" t="inlineStr">
        <is>
          <t>半导体</t>
        </is>
      </c>
      <c r="G49" s="5" t="inlineStr">
        <is>
          <t>芯片设计-SoC与端侧AI</t>
        </is>
      </c>
      <c r="H49" s="4" t="inlineStr">
        <is>
          <t>核心</t>
        </is>
      </c>
      <c r="I49" s="5" t="inlineStr">
        <is>
          <t>公司真实产品为视频编解码IPC及NVR SoC、图像信号处理器ISP、智能显示和车载视频传输芯片，并提供相应芯片解决方案，属于智能终端和视觉处理芯片设计。2025年集成电路设计收入16.8970亿元，占总收入100%；其中视频监控芯片收入10.0393亿元，智能硬件收入3.3883亿元，汽车电子收入2.7952亿元，主业纯度和产品规模均支持核心定级。边界上，下游视频监控设备、智能硬件整机及汽车电子产品名称对应公司芯片应用分部，不可把终端整机市场收入混入公司收入，也不能仅凭AI应用前景额外推导数据中心算力芯片标签。此次纠错将旧“端侧AI芯片”规范为白名单“芯片设计-SoC与端侧AI”，保留核心并准确反映视频SoC与ISP产品实质。</t>
        </is>
      </c>
      <c r="J49" s="4" t="inlineStr">
        <is>
          <t>富瀚微：2025年年度报告</t>
        </is>
      </c>
      <c r="K49" s="4" t="inlineStr">
        <is>
          <t>2026-04-03</t>
        </is>
      </c>
      <c r="L49" s="5" t="inlineStr">
        <is>
          <t>iFinD ifind_get_stock_info + ifind_get_stock_business_segmentation (as of 2026-10-27)；富瀚微：2025年年度报告</t>
        </is>
      </c>
      <c r="M49" s="6" t="inlineStr">
        <is>
          <t>https://money.finance.sina.com.cn/corp/view/vCB_AllBulletinDetail.php?stockid=300613&amp;id=12060587</t>
        </is>
      </c>
    </row>
    <row r="50" ht="104" customHeight="1">
      <c r="B50" s="7" t="inlineStr">
        <is>
          <t>300655</t>
        </is>
      </c>
      <c r="C50" s="7" t="inlineStr">
        <is>
          <t>晶瑞电材</t>
        </is>
      </c>
      <c r="D50" s="8" t="inlineStr">
        <is>
          <t>半导体：半导体材料</t>
        </is>
      </c>
      <c r="E50" s="7" t="inlineStr">
        <is>
          <t>纠错</t>
        </is>
      </c>
      <c r="F50" s="7" t="inlineStr">
        <is>
          <t>半导体</t>
        </is>
      </c>
      <c r="G50" s="8" t="inlineStr">
        <is>
          <t>半导体材料-电子特气与湿化学品、半导体材料-光刻胶与配套试剂</t>
        </is>
      </c>
      <c r="H50" s="7" t="inlineStr">
        <is>
          <t>核心</t>
        </is>
      </c>
      <c r="I50" s="8" t="inlineStr">
        <is>
          <t>公司真实半导体产品包括超净高纯化学品和光刻胶，同时经营锂电材料、工业化学品及能源业务，需按下游用途区分而不能笼统套用电子化学品概念。2025年半导体行业收入10.5966亿元，占总收入65.8248%；高纯化学品收入9.2867亿元，光刻胶收入2.2337亿元，锂电粘结剂收入2.2342亿元，半导体板块占比和绝对规模均支持核心定级。边界上，高纯化学品和光刻胶产品口径可能覆盖显示等其他电子下游，不可把产品分部金额全部重复归入集成电路；锂电粘结剂及工业化学品明确排除在半导体之外。此次纠错将旧“半导体材料”细分为“电子特气与湿化学品”和“光刻胶与配套试剂”，保留核心并避免跨行业收入混算。</t>
        </is>
      </c>
      <c r="J50" s="7" t="inlineStr">
        <is>
          <t>晶瑞电材：2025年年度报告</t>
        </is>
      </c>
      <c r="K50" s="7" t="inlineStr">
        <is>
          <t>2026-04-28</t>
        </is>
      </c>
      <c r="L50" s="8" t="inlineStr">
        <is>
          <t>iFinD ifind_get_stock_info + ifind_get_stock_business_segmentation (as of 2026-10-27)；晶瑞电材：2025年年度报告</t>
        </is>
      </c>
      <c r="M50" s="9" t="inlineStr">
        <is>
          <t>https://money.finance.sina.com.cn/corp/view/vCB_AllBulletinDetail.php?stockid=300655&amp;id=12211090</t>
        </is>
      </c>
    </row>
    <row r="51" ht="104" customHeight="1">
      <c r="B51" s="4" t="inlineStr">
        <is>
          <t>300666</t>
        </is>
      </c>
      <c r="C51" s="4" t="inlineStr">
        <is>
          <t>江丰电子</t>
        </is>
      </c>
      <c r="D51" s="5" t="inlineStr">
        <is>
          <t>半导体：半导体材料</t>
        </is>
      </c>
      <c r="E51" s="4" t="inlineStr">
        <is>
          <t>纠错</t>
        </is>
      </c>
      <c r="F51" s="4" t="inlineStr">
        <is>
          <t>半导体</t>
        </is>
      </c>
      <c r="G51" s="5" t="inlineStr">
        <is>
          <t>半导体材料-靶材与蒸镀材料、设备核心零部件</t>
        </is>
      </c>
      <c r="H51" s="4" t="inlineStr">
        <is>
          <t>核心</t>
        </is>
      </c>
      <c r="I51" s="5" t="inlineStr">
        <is>
          <t>公司真实产品是超高纯铝、钛、钽、铜等金属溅射靶材以及半导体设备精密零部件，分别服务晶圆制造PVD材料和装备核心部件环节，客户与量产经营基础明确。2025年超高纯靶材收入28.4993亿元，约占总收入46.0410亿元的61.90%；精密零部件收入10.8388亿元，约占23.54%，两项合计约85.44%，主业规模和集中度充分支持核心定级。边界上，靶材与零部件属于不同产业环节，不能把两项收入重复归为半导体材料，也不能因零部件用于设备就把公司改标为整机设备商。此次纠错将旧笼统“半导体材料”拆为“半导体材料-靶材与蒸镀材料”和“设备核心零部件”，保留核心并补回原标签遗漏的十亿元级零部件业务。</t>
        </is>
      </c>
      <c r="J51" s="4" t="inlineStr">
        <is>
          <t>江丰电子：2025年年度报告</t>
        </is>
      </c>
      <c r="K51" s="4" t="inlineStr">
        <is>
          <t>2026-04-16</t>
        </is>
      </c>
      <c r="L51" s="5" t="inlineStr">
        <is>
          <t>iFinD ifind_get_stock_info + ifind_get_stock_business_segmentation (as of 2026-10-27)；江丰电子：2025年年度报告</t>
        </is>
      </c>
      <c r="M51" s="6" t="inlineStr">
        <is>
          <t>https://money.finance.sina.com.cn/corp/view/vCB_AllBulletinDetail.php?stockid=300666&amp;id=12096894</t>
        </is>
      </c>
    </row>
    <row r="52" ht="104" customHeight="1">
      <c r="B52" s="7" t="inlineStr">
        <is>
          <t>300672</t>
        </is>
      </c>
      <c r="C52" s="7" t="inlineStr">
        <is>
          <t>国科微</t>
        </is>
      </c>
      <c r="D52" s="8" t="inlineStr">
        <is>
          <t>半导体：端侧AI芯片</t>
        </is>
      </c>
      <c r="E52" s="7" t="inlineStr">
        <is>
          <t>纠错</t>
        </is>
      </c>
      <c r="F52" s="7" t="inlineStr">
        <is>
          <t>半导体</t>
        </is>
      </c>
      <c r="G52" s="8" t="inlineStr">
        <is>
          <t>芯片设计-SoC与端侧AI、芯片设计-存储主控与接口</t>
        </is>
      </c>
      <c r="H52" s="7" t="inlineStr">
        <is>
          <t>核心</t>
        </is>
      </c>
      <c r="I52" s="8" t="inlineStr">
        <is>
          <t>公司真实产品包括超高清解码、智慧视觉、端侧AI SoC、无线局域网芯片及固态存储控制器，属于多产品线集成电路设计企业。2025年集成电路收入17.9110亿元，占总收入100%；智能视频收入7.9976亿元，广电视频收入7.1307亿元，物联网收入1.9050亿元，固态存储收入0.4512亿元，主业纯度和芯片销售规模充分支持核心定级。边界上，固态存储控制器只负责存储设备控制与接口，不是NAND或DRAM存储晶圆，0.4512亿元也不能写成存储芯片制造收入；机顶盒和视觉终端应用不等于下游整机业务。此次纠错将过窄旧“端侧AI芯片”规范为“芯片设计-SoC与端侧AI”，并补充“芯片设计-存储主控与接口”，明确主控与存储介质差异。</t>
        </is>
      </c>
      <c r="J52" s="7" t="inlineStr">
        <is>
          <t>国科微：2025年年度报告</t>
        </is>
      </c>
      <c r="K52" s="7" t="inlineStr">
        <is>
          <t>2026-04-29</t>
        </is>
      </c>
      <c r="L52" s="8" t="inlineStr">
        <is>
          <t>iFinD ifind_get_stock_info + ifind_get_stock_business_segmentation (as of 2026-10-27)；国科微：2025年年度报告</t>
        </is>
      </c>
      <c r="M52" s="9" t="inlineStr">
        <is>
          <t>https://money.finance.sina.com.cn/corp/view/vCB_AllBulletinDetail.php?stockid=300672&amp;id=12266513</t>
        </is>
      </c>
    </row>
    <row r="53" ht="104" customHeight="1">
      <c r="B53" s="4" t="inlineStr">
        <is>
          <t>300706</t>
        </is>
      </c>
      <c r="C53" s="4" t="inlineStr">
        <is>
          <t>阿石创</t>
        </is>
      </c>
      <c r="D53" s="5" t="inlineStr">
        <is>
          <t>半导体：半导体材料</t>
        </is>
      </c>
      <c r="E53" s="4" t="inlineStr">
        <is>
          <t>纠错</t>
        </is>
      </c>
      <c r="F53" s="4" t="inlineStr">
        <is>
          <t>半导体</t>
        </is>
      </c>
      <c r="G53" s="5" t="inlineStr">
        <is>
          <t>半导体材料-靶材与蒸镀材料</t>
        </is>
      </c>
      <c r="H53" s="4" t="inlineStr">
        <is>
          <t>相关</t>
        </is>
      </c>
      <c r="I53" s="5" t="inlineStr">
        <is>
          <t>公司主营PVD镀膜材料，半导体用金属及合金靶材已导入国内外晶圆和存储客户并取得正式订单，具备真实半导体供货证据，但2025年仍属业务突破和客户拓展阶段。2025年总收入14.27亿元，平板显示收入3.7860亿元，光学收入3.5020亿元，工程新材料收入4.2761亿元；溅射靶材收入5.6920亿元、约占39.89%，半导体收入未单独披露，因此由旧核心下调为相关更审慎。边界上，5.6920亿元是跨平板显示、光学、半导体等应用的混合产品口径，不可全部算作半导体靶材，正式订单也不能等同于当年大规模收入。此次纠错保留“半导体材料-靶材与蒸镀材料”这一精确概念，纠正旧笼统材料标签及过高定级，避免把全部PVD业务半导体化。</t>
        </is>
      </c>
      <c r="J53" s="4" t="inlineStr">
        <is>
          <t>阿石创：2025年年度报告</t>
        </is>
      </c>
      <c r="K53" s="4" t="inlineStr">
        <is>
          <t>2026-04-28</t>
        </is>
      </c>
      <c r="L53" s="5" t="inlineStr">
        <is>
          <t>iFinD ifind_get_stock_info + ifind_get_stock_business_segmentation (as of 2026-10-27)；阿石创：2025年年度报告</t>
        </is>
      </c>
      <c r="M53" s="6" t="inlineStr">
        <is>
          <t>https://money.finance.sina.com.cn/corp/view/vCB_AllBulletinDetail.php?stockid=300706&amp;id=12229607</t>
        </is>
      </c>
    </row>
    <row r="54" ht="104" customHeight="1">
      <c r="B54" s="7" t="inlineStr">
        <is>
          <t>300786</t>
        </is>
      </c>
      <c r="C54" s="7" t="inlineStr">
        <is>
          <t>国林科技</t>
        </is>
      </c>
      <c r="D54" s="8" t="inlineStr">
        <is>
          <t>半导体：半导体设备、半导体材料</t>
        </is>
      </c>
      <c r="E54" s="7" t="inlineStr">
        <is>
          <t>纠错</t>
        </is>
      </c>
      <c r="F54" s="7" t="inlineStr">
        <is>
          <t>半导体</t>
        </is>
      </c>
      <c r="G54" s="8" t="inlineStr">
        <is>
          <t>半导体设备-清洗</t>
        </is>
      </c>
      <c r="H54" s="7" t="inlineStr">
        <is>
          <t>相关</t>
        </is>
      </c>
      <c r="I54" s="8" t="inlineStr">
        <is>
          <t>公司面向半导体的真实产品包括高浓度臭氧水、臭氧气体发生器以及氨水、二氧化碳水发生器，湿法清洗设备已量产并获重复订单，薄膜沉积设备取得小批量订单，具备设备端实质而非单纯材料概念。2025年臭氧设备收入2.3587亿元，占总收入42.2387%，乙醛酸收入2.4426亿元、占43.7418%；臭氧设备还覆盖市政环保等领域，半导体收入未单拆，故维持相关而非上调核心。边界上，臭氧设备总收入不可全部归为半导体清洗，乙醛酸等化工业务更不能并入；薄膜沉积尚小批量，本次不扩张标签。此次纠错仅处理半导体，删除旧“半导体材料”错误标签，将过宽“半导体设备”精确为“半导体设备-清洗”，明确设备与材料及混合收入的界限。</t>
        </is>
      </c>
      <c r="J54" s="7" t="inlineStr">
        <is>
          <t>国林科技：2025年年度报告</t>
        </is>
      </c>
      <c r="K54" s="7" t="inlineStr">
        <is>
          <t>2026-04-27</t>
        </is>
      </c>
      <c r="L54" s="8" t="inlineStr">
        <is>
          <t>iFinD ifind_get_stock_info + ifind_get_stock_business_segmentation (as of 2026-10-27)；国林科技：2025年年度报告</t>
        </is>
      </c>
      <c r="M54" s="9" t="inlineStr">
        <is>
          <t>http://money.finance.sina.com.cn/corp/view/vCB_AllBulletinDetail.php?stockid=300786&amp;id=12202981</t>
        </is>
      </c>
    </row>
    <row r="55" ht="104" customHeight="1">
      <c r="B55" s="4" t="inlineStr">
        <is>
          <t>300857</t>
        </is>
      </c>
      <c r="C55" s="4" t="inlineStr">
        <is>
          <t>协创数据</t>
        </is>
      </c>
      <c r="D55" s="5" t="inlineStr">
        <is>
          <t>半导体：存储模组</t>
        </is>
      </c>
      <c r="E55" s="4" t="inlineStr">
        <is>
          <t>纠错</t>
        </is>
      </c>
      <c r="F55" s="4" t="inlineStr">
        <is>
          <t>半导体</t>
        </is>
      </c>
      <c r="G55" s="5" t="inlineStr">
        <is>
          <t>存储模组与系统</t>
        </is>
      </c>
      <c r="H55" s="4" t="inlineStr">
        <is>
          <t>核心</t>
        </is>
      </c>
      <c r="I55" s="5" t="inlineStr">
        <is>
          <t>公司真实产品包括数据存储设备、物联网智能终端、智能算力产品及服务、服务器及周边再制造，其中数据存储设备对应固态硬盘、嵌入式存储等存储模组与系统，并非存储晶圆或存储芯片设计。2025年数据存储设备收入44.9269亿元，占总收入122.3555亿元的36.72%，已经形成大规模产品销售；智能算力产品及服务27.6097亿元、服务器及周边再制造25.7491亿元属于其他业务，不能并入存储模组收入，也不能借算力概念追加算力芯片标签。基于存储产品收入和占比均具重要性，定为核心。旧“存储模组”方向基本正确但颗粒度不足，按白名单纠正为“存储模组与系统”，同时明确公司不是NAND、DRAM晶圆设计企业。</t>
        </is>
      </c>
      <c r="J55" s="4" t="inlineStr">
        <is>
          <t>协创数据技术股份有限公司2025年年度报告</t>
        </is>
      </c>
      <c r="K55" s="4" t="inlineStr">
        <is>
          <t>2026-03-17</t>
        </is>
      </c>
      <c r="L55" s="5" t="inlineStr">
        <is>
          <t>iFinD ifind_get_stock_info + ifind_get_stock_business_segmentation (as of 2026-10-27)；协创数据技术股份有限公司2025年年度报告</t>
        </is>
      </c>
      <c r="M55" s="6" t="inlineStr">
        <is>
          <t>https://static.cninfo.com.cn/finalpage/2026-03-17/1225012787.PDF</t>
        </is>
      </c>
    </row>
    <row r="56" ht="104" customHeight="1">
      <c r="B56" s="7" t="inlineStr">
        <is>
          <t>300975</t>
        </is>
      </c>
      <c r="C56" s="7" t="inlineStr">
        <is>
          <t>商络电子</t>
        </is>
      </c>
      <c r="D56" s="8" t="inlineStr">
        <is>
          <t>半导体：存储分销</t>
        </is>
      </c>
      <c r="E56" s="7" t="inlineStr">
        <is>
          <t>纠错</t>
        </is>
      </c>
      <c r="F56" s="7" t="inlineStr">
        <is>
          <t>半导体</t>
        </is>
      </c>
      <c r="G56" s="8" t="inlineStr">
        <is>
          <t>半导体分销与供应链</t>
        </is>
      </c>
      <c r="H56" s="7" t="inlineStr">
        <is>
          <t>相关</t>
        </is>
      </c>
      <c r="I56" s="8" t="inlineStr">
        <is>
          <t>公司真实主营是面向网络通信、消费电子、汽车电子和工业控制客户提供电子元器件分销，产品包括存储器件、IC、射频器件以及电容、电感、电阻等被动器件，经营实质是分销与供应链服务，不是存储芯片设计或制造。2025年其他元器件收入51.7513亿元、被动电子元器件33.7189亿元，总收入约85.4802亿元；其中“其他元器件”仍是存储、IC等多类产品混合口径，年报未独立拆出半导体或存储分销收入，因此不能把51.7513亿元全部认定为半导体收入，更不能写成自研芯片收入。考虑到分销主业具有真实半导体产品基础但纯度不可核验，定为相关。旧“存储分销”过窄且易被误解为芯片业务，纠正为“半导体分销与供应链”。</t>
        </is>
      </c>
      <c r="J56" s="7" t="inlineStr">
        <is>
          <t>南京商络电子股份有限公司2025年年度报告</t>
        </is>
      </c>
      <c r="K56" s="7" t="inlineStr">
        <is>
          <t>2026-04-24</t>
        </is>
      </c>
      <c r="L56" s="8" t="inlineStr">
        <is>
          <t>iFinD ifind_get_stock_info + ifind_get_stock_business_segmentation (as of 2026-10-27)；南京商络电子股份有限公司2025年年度报告</t>
        </is>
      </c>
      <c r="M56" s="9" t="inlineStr">
        <is>
          <t>https://static.cninfo.com.cn/finalpage/2026-04-24/1225169755.PDF</t>
        </is>
      </c>
    </row>
    <row r="57" ht="104" customHeight="1">
      <c r="B57" s="4" t="inlineStr">
        <is>
          <t>301099</t>
        </is>
      </c>
      <c r="C57" s="4" t="inlineStr">
        <is>
          <t>雅创电子</t>
        </is>
      </c>
      <c r="D57" s="5" t="inlineStr">
        <is>
          <t>半导体：存储分销</t>
        </is>
      </c>
      <c r="E57" s="4" t="inlineStr">
        <is>
          <t>纠错</t>
        </is>
      </c>
      <c r="F57" s="4" t="inlineStr">
        <is>
          <t>半导体</t>
        </is>
      </c>
      <c r="G57" s="5" t="inlineStr">
        <is>
          <t>半导体分销与供应链、芯片设计-模拟与电源管理</t>
        </is>
      </c>
      <c r="H57" s="4" t="inlineStr">
        <is>
          <t>相关</t>
        </is>
      </c>
      <c r="I57" s="5" t="inlineStr">
        <is>
          <t>公司业务分为电子元器件分销和自研IC两部分，分销产品覆盖光电器件、存储芯片、被动器件、分立半导体、汽车CIS及MCU等，自研产品主要是电源管理IC及信号链等模拟芯片，不能把分销的存储产品写成公司自主存储芯片。2025年营业收入66.120817亿元，其中电子元器件分销收入62.771651亿元，占94.94%，该口径混合多类分销产品；电源管理IC设计收入3.294068亿元，占4.98%，已经形成销售但在集团内仍属较小业务。基于分销和自研均有真实收入，同时半导体分销纯度未单列且自研占比较低，整体维持相关。概念保留半导体分销与供应链、芯片设计-模拟与电源管理；初审总收入66.1272亿元和94.93%的表述分别更正为66.120817亿元和94.94%。</t>
        </is>
      </c>
      <c r="J57" s="4" t="inlineStr">
        <is>
          <t>上海雅创电子集团股份有限公司2025年年度报告</t>
        </is>
      </c>
      <c r="K57" s="4" t="inlineStr">
        <is>
          <t>2026-04-22</t>
        </is>
      </c>
      <c r="L57" s="5" t="inlineStr">
        <is>
          <t>iFinD ifind_get_stock_info + ifind_get_stock_business_segmentation (as of 2026-10-27)；上海雅创电子集团股份有限公司2025年年度报告</t>
        </is>
      </c>
      <c r="M57" s="6" t="inlineStr">
        <is>
          <t>https://static.cninfo.com.cn/finalpage/2026-04-22/1225137491.PDF</t>
        </is>
      </c>
    </row>
    <row r="58" ht="104" customHeight="1">
      <c r="B58" s="7" t="inlineStr">
        <is>
          <t>301235</t>
        </is>
      </c>
      <c r="C58" s="7" t="inlineStr">
        <is>
          <t>华康洁净</t>
        </is>
      </c>
      <c r="D58" s="8" t="inlineStr">
        <is>
          <t>半导体：半导体洁净室</t>
        </is>
      </c>
      <c r="E58" s="7" t="inlineStr">
        <is>
          <t>纠错</t>
        </is>
      </c>
      <c r="F58" s="7" t="inlineStr">
        <is>
          <t>半导体</t>
        </is>
      </c>
      <c r="G58" s="8" t="inlineStr">
        <is>
          <t>洁净室与厂务工程</t>
        </is>
      </c>
      <c r="H58" s="7" t="inlineStr">
        <is>
          <t>相关</t>
        </is>
      </c>
      <c r="I58" s="8" t="inlineStr">
        <is>
          <t>公司已从医疗净化拓展到电子洁净室，2025年实际服务先导芯光、奥普托科、宏茂微电子、武汉高芯等客户，具备芯片制造、先进封装和半导体材料洁净项目经验，因此不是单纯潜在用途。但2025年医疗净化系统集成收入20.2295亿元，占总收入22.8624亿元的88.48%，医疗专项技术服务分部占90.13%，半导体收入没有独立拆分；期末电子洁净在手订单2.99亿元，仅占全部在手订单37.42亿元的约7.99%，且该口径还包括新型显示、数据中心和其他精密电子，不能全算半导体。实际项目已经落地而收入仍由医疗业务主导、半导体占比较低，故由旧核心降为相关。旧“半导体洁净室”按白名单改为“洁净室与厂务工程”，并保留订单口径不等于收入的边界。</t>
        </is>
      </c>
      <c r="J58" s="7" t="inlineStr">
        <is>
          <t>武汉华康世纪洁净科技股份有限公司2025年年度报告</t>
        </is>
      </c>
      <c r="K58" s="7" t="inlineStr">
        <is>
          <t>2026-04-25</t>
        </is>
      </c>
      <c r="L58" s="8" t="inlineStr">
        <is>
          <t>iFinD ifind_get_stock_info + ifind_get_stock_business_segmentation (as of 2026-10-27)；武汉华康世纪洁净科技股份有限公司2025年年度报告</t>
        </is>
      </c>
      <c r="M58" s="9" t="inlineStr">
        <is>
          <t>https://static.cninfo.com.cn/finalpage/2026-04-25/1225185451.PDF</t>
        </is>
      </c>
    </row>
    <row r="59" ht="104" customHeight="1">
      <c r="B59" s="4" t="inlineStr">
        <is>
          <t>301297</t>
        </is>
      </c>
      <c r="C59" s="4" t="inlineStr">
        <is>
          <t>富乐德</t>
        </is>
      </c>
      <c r="D59" s="5" t="inlineStr">
        <is>
          <t>半导体：半导体设备</t>
        </is>
      </c>
      <c r="E59" s="4" t="inlineStr">
        <is>
          <t>纠错</t>
        </is>
      </c>
      <c r="F59" s="4" t="inlineStr">
        <is>
          <t>半导体</t>
        </is>
      </c>
      <c r="G59" s="5" t="inlineStr">
        <is>
          <t>半导体材料-封装材料、设备核心零部件</t>
        </is>
      </c>
      <c r="H59" s="4" t="inlineStr">
        <is>
          <t>核心</t>
        </is>
      </c>
      <c r="I59" s="5" t="inlineStr">
        <is>
          <t>公司一类真实业务是富乐华的DCB、AMB、DPC覆铜陶瓷载板，用于功率半导体模块封装；另一类是为半导体生产设备零部件提供精密洗净、氧化加工、陶瓷熔射和翻新服务，服务对象包括刻蚀腔体内衬、静电吸盘、气体分配盘等工艺零部件，公司并不制造光刻机、刻蚀机等设备本体。2025年行业分部合计收入28.665265亿元，其中DCB收入10.232490亿元、AMB收入7.398276亿元，合计17.630766亿元，占61.50%；精密洗净收入6.919179亿元，占24.14%，但洗净业务还混合显示面板，不能全部算作半导体。规模化载板材料与设备零部件服务支持核心定级，概念维持半导体材料-封装材料和设备核心零部件；初审总收入28.6665亿元更正为28.665265亿元。</t>
        </is>
      </c>
      <c r="J59" s="4" t="inlineStr">
        <is>
          <t>安徽富乐德科技发展股份有限公司2025年年度报告</t>
        </is>
      </c>
      <c r="K59" s="4" t="inlineStr">
        <is>
          <t>2026-04-29</t>
        </is>
      </c>
      <c r="L59" s="5" t="inlineStr">
        <is>
          <t>iFinD ifind_get_stock_info + ifind_get_stock_business_segmentation (as of 2026-10-27)；安徽富乐德科技发展股份有限公司2025年年度报告</t>
        </is>
      </c>
      <c r="M59" s="6" t="inlineStr">
        <is>
          <t>https://static.cninfo.com.cn/finalpage/2026-04-29/1225246085.PDF</t>
        </is>
      </c>
    </row>
    <row r="60" ht="104" customHeight="1">
      <c r="B60" s="7" t="inlineStr">
        <is>
          <t>301308</t>
        </is>
      </c>
      <c r="C60" s="7" t="inlineStr">
        <is>
          <t>江波龙</t>
        </is>
      </c>
      <c r="D60" s="8" t="inlineStr">
        <is>
          <t>半导体：存储模组</t>
        </is>
      </c>
      <c r="E60" s="7" t="inlineStr">
        <is>
          <t>纠错</t>
        </is>
      </c>
      <c r="F60" s="7" t="inlineStr">
        <is>
          <t>半导体</t>
        </is>
      </c>
      <c r="G60" s="8" t="inlineStr">
        <is>
          <t>存储模组与系统、芯片设计-存储主控与接口</t>
        </is>
      </c>
      <c r="H60" s="7" t="inlineStr">
        <is>
          <t>核心</t>
        </is>
      </c>
      <c r="I60" s="8" t="inlineStr">
        <is>
          <t>公司真实产品覆盖嵌入式存储、固态硬盘、移动存储和内存条，并有自研存储主控芯片及配套固件，主营是半导体存储产品研发、设计与销售；其模组和系统业务不能与NAND、DRAM存储晶圆设计混为一谈。2025年存储行业收入227.6563亿元，占分部口径99.9976%，其中嵌入式存储100.1208亿元、固态硬盘55.6960亿元、移动存储48.9401亿元、内存条22.1649亿元，均为规模化产品，核心定级依据充分。自研主控没有独立收入拆分，不能虚构其金额，也不能把全部模组收入算作自研芯片收入。旧“存储模组”只覆盖部分业务且“主控”未规范落类，按白名单纠正为“存储模组与系统”和“芯片设计-存储主控与接口”，明确不添加存储晶圆设计标签。</t>
        </is>
      </c>
      <c r="J60" s="7" t="inlineStr">
        <is>
          <t>深圳市江波龙电子股份有限公司2025年年度报告</t>
        </is>
      </c>
      <c r="K60" s="7" t="inlineStr">
        <is>
          <t>2026-04-28</t>
        </is>
      </c>
      <c r="L60" s="8" t="inlineStr">
        <is>
          <t>iFinD ifind_get_stock_info + ifind_get_stock_business_segmentation (as of 2026-10-27)；深圳市江波龙电子股份有限公司2025年年度报告</t>
        </is>
      </c>
      <c r="M60" s="9" t="inlineStr">
        <is>
          <t>https://static.cninfo.com.cn/finalpage/2026-04-28/1225214128.PDF</t>
        </is>
      </c>
    </row>
    <row r="61" ht="104" customHeight="1">
      <c r="B61" s="4" t="inlineStr">
        <is>
          <t>301369</t>
        </is>
      </c>
      <c r="C61" s="4" t="inlineStr">
        <is>
          <t>联动科技</t>
        </is>
      </c>
      <c r="D61" s="5" t="inlineStr">
        <is>
          <t>半导体：半导体设备-测试设备</t>
        </is>
      </c>
      <c r="E61" s="4" t="inlineStr">
        <is>
          <t>纠错</t>
        </is>
      </c>
      <c r="F61" s="4" t="inlineStr">
        <is>
          <t>半导体</t>
        </is>
      </c>
      <c r="G61" s="5" t="inlineStr">
        <is>
          <t>半导体设备-测试机与分选机</t>
        </is>
      </c>
      <c r="H61" s="4" t="inlineStr">
        <is>
          <t>核心</t>
        </is>
      </c>
      <c r="I61" s="5" t="inlineStr">
        <is>
          <t>公司真实产品是功率半导体测试系统、小信号分立器件高速测试系统、模拟及数模混合集成电路测试系统和大规模数字SoC测试系统，并配套激光打标等后道设备，属于封装测试环节的专用测试设备而非泛半导体概念。2025年半导体自动化测试系统收入3.0037亿元，占总收入3.5434亿元的84.77%；半导体激光打标设备及其他机电一体化设备0.4062亿元，占11.46%，配件维修及技术服务0.1336亿元。自动化测试系统已经形成明确且占主导的收入，故列核心；激光打标和配件收入不能再并入测试机口径。旧“半导体设备-测试设备”不是白名单标准概念，纠正为“半导体设备-测试机与分选机”，同时不因公司有探针台研发描述就虚构其独立收入。</t>
        </is>
      </c>
      <c r="J61" s="4" t="inlineStr">
        <is>
          <t>佛山市联动科技股份有限公司2025年年度报告</t>
        </is>
      </c>
      <c r="K61" s="4" t="inlineStr">
        <is>
          <t>2026-03-31</t>
        </is>
      </c>
      <c r="L61" s="5" t="inlineStr">
        <is>
          <t>iFinD ifind_get_stock_info + ifind_get_stock_business_segmentation (as of 2026-10-27)；佛山市联动科技股份有限公司2025年年度报告</t>
        </is>
      </c>
      <c r="M61" s="6" t="inlineStr">
        <is>
          <t>https://static.cninfo.com.cn/finalpage/2026-03-31/1225054584.PDF</t>
        </is>
      </c>
    </row>
    <row r="62" ht="104" customHeight="1">
      <c r="B62" s="7" t="inlineStr">
        <is>
          <t>301486</t>
        </is>
      </c>
      <c r="C62" s="7" t="inlineStr">
        <is>
          <t>致尚科技</t>
        </is>
      </c>
      <c r="D62" s="8" t="inlineStr">
        <is>
          <t>半导体：算力芯片</t>
        </is>
      </c>
      <c r="E62" s="7" t="inlineStr">
        <is>
          <t>纠错</t>
        </is>
      </c>
      <c r="F62" s="7" t="inlineStr">
        <is>
          <t>半导体</t>
        </is>
      </c>
      <c r="G62" s="8" t="inlineStr">
        <is>
          <t>半导体设备-CMP</t>
        </is>
      </c>
      <c r="H62" s="7" t="inlineStr">
        <is>
          <t>相关</t>
        </is>
      </c>
      <c r="I62" s="8" t="inlineStr">
        <is>
          <t>公司真实收入来自光通信产品、游戏机零部件、自动化设备、电子连接器等，不从事CPU、GPU、AI训练推理芯片或其他数据中心计算芯片设计，旧算力芯片标签仍应删除。与此同时，2025年年报在自动化设备业务中明确列有半导体抛光设备，说明公司已有真实半导体设备产品布局，初审据此之外将公司半导体标签全部摘除过于绝对。2025年营业收入9.983158亿元，其中自动化设备收入1.066711亿元，占10.69%；该分部还包含其他自动化设备，不能全部认定为半导体抛光设备收入，年报亦未单独披露其半导体收入规模。综合真实产品与收入不可拆分边界，建议由摘除恢复为相关，概念改为半导体设备-CMP，不升核心，也不恢复算力芯片标签。</t>
        </is>
      </c>
      <c r="J62" s="7" t="inlineStr">
        <is>
          <t>深圳市致尚科技股份有限公司2025年年度报告</t>
        </is>
      </c>
      <c r="K62" s="7" t="inlineStr">
        <is>
          <t>2026-04-21</t>
        </is>
      </c>
      <c r="L62" s="8" t="inlineStr">
        <is>
          <t>iFinD ifind_get_stock_info + ifind_get_stock_business_segmentation (as of 2026-10-27)；深圳市致尚科技股份有限公司2025年年度报告</t>
        </is>
      </c>
      <c r="M62" s="9" t="inlineStr">
        <is>
          <t>https://static.cninfo.com.cn/finalpage/2026-04-21/1225131446.PDF</t>
        </is>
      </c>
    </row>
    <row r="63" ht="104" customHeight="1">
      <c r="B63" s="4" t="inlineStr">
        <is>
          <t>301536</t>
        </is>
      </c>
      <c r="C63" s="4" t="inlineStr">
        <is>
          <t>星宸科技</t>
        </is>
      </c>
      <c r="D63" s="5" t="inlineStr">
        <is>
          <t>半导体：端侧AI芯片</t>
        </is>
      </c>
      <c r="E63" s="4" t="inlineStr">
        <is>
          <t>纠错</t>
        </is>
      </c>
      <c r="F63" s="4" t="inlineStr">
        <is>
          <t>半导体</t>
        </is>
      </c>
      <c r="G63" s="5" t="inlineStr">
        <is>
          <t>芯片设计-SoC与端侧AI</t>
        </is>
      </c>
      <c r="H63" s="4" t="inlineStr">
        <is>
          <t>核心</t>
        </is>
      </c>
      <c r="I63" s="5" t="inlineStr">
        <is>
          <t>公司真实主营是视觉AI系统级芯片研发及销售，产品用于智能安防、视频对讲、智能车载、3D感知和智能物联，并提供带AI处理能力的端侧SoC，不是仅借AI眼镜等终端题材形成的概念映射。2025年集成电路设计收入29.6983亿元，占分部口径99.9248%；其中智能安防收入19.3479亿元、视频对讲6.5816亿元、智能车载3.1761亿元，其他IC及蓝牙芯片占比较小，经营租赁收入仅0.0224亿元。芯片设计构成绝对主业且各主要产品已规模销售，因此列核心；智能安防等收入可证明SoC业务规模，但不能进一步虚构端侧AI加速模块的单独收入。旧“端侧AI芯片”方向正确但不是白名单原文，纠正为“芯片设计-SoC与端侧AI”，保留端侧产品与视觉SoC的真实边界。</t>
        </is>
      </c>
      <c r="J63" s="4" t="inlineStr">
        <is>
          <t>星宸科技股份有限公司2025年年度报告</t>
        </is>
      </c>
      <c r="K63" s="4" t="inlineStr">
        <is>
          <t>2026-03-10</t>
        </is>
      </c>
      <c r="L63" s="5" t="inlineStr">
        <is>
          <t>iFinD ifind_get_stock_info + ifind_get_stock_business_segmentation (as of 2026-10-27)；星宸科技股份有限公司2025年年度报告</t>
        </is>
      </c>
      <c r="M63" s="6" t="inlineStr">
        <is>
          <t>https://static.cninfo.com.cn/finalpage/2026-03-10/1225001998.PDF</t>
        </is>
      </c>
    </row>
    <row r="64" ht="104" customHeight="1">
      <c r="B64" s="7" t="inlineStr">
        <is>
          <t>301629</t>
        </is>
      </c>
      <c r="C64" s="7" t="inlineStr">
        <is>
          <t>矽电股份</t>
        </is>
      </c>
      <c r="D64" s="8" t="inlineStr">
        <is>
          <t>半导体：半导体设备-测试设备</t>
        </is>
      </c>
      <c r="E64" s="7" t="inlineStr">
        <is>
          <t>纠错</t>
        </is>
      </c>
      <c r="F64" s="7" t="inlineStr">
        <is>
          <t>半导体</t>
        </is>
      </c>
      <c r="G64" s="8" t="inlineStr">
        <is>
          <t>半导体设备-探针台与测试接口</t>
        </is>
      </c>
      <c r="H64" s="7" t="inlineStr">
        <is>
          <t>核心</t>
        </is>
      </c>
      <c r="I64" s="8" t="inlineStr">
        <is>
          <t>公司真实主营为半导体专用设备研发、生产和销售，核心产品是晶圆探针台和晶粒探针台，用于晶圆及晶粒电性能测试时的精密定位与测试连接，属于测试接口设备而非测试机本体。2025年晶圆探针台收入1.8189亿元，占总收入4.1885亿元的43.43%；晶粒探针台收入1.5354亿元，占36.66%，两者合计占80.09%，其他业务收入0.8341亿元，不能再全部归入探针台。两类探针台已经形成明确规模收入并构成主要业务，核心定级充分。旧“半导体设备-测试设备”过于宽泛，容易与测试机、分选机混淆，按白名单纠正为“半导体设备-探针台与测试接口”；对于分选机、曝光机等其他产品，不在缺乏独立收入时扩张本次标签。</t>
        </is>
      </c>
      <c r="J64" s="7" t="inlineStr">
        <is>
          <t>深圳矽电半导体设备股份有限公司2025年年度报告</t>
        </is>
      </c>
      <c r="K64" s="7" t="inlineStr">
        <is>
          <t>2026-04-22</t>
        </is>
      </c>
      <c r="L64" s="8" t="inlineStr">
        <is>
          <t>iFinD ifind_get_stock_info + ifind_get_stock_business_segmentation (as of 2026-10-27)；深圳矽电半导体设备股份有限公司2025年年度报告</t>
        </is>
      </c>
      <c r="M64" s="9" t="inlineStr">
        <is>
          <t>https://static.cninfo.com.cn/finalpage/2026-04-22/1225138756.PDF</t>
        </is>
      </c>
    </row>
    <row r="65" ht="104" customHeight="1">
      <c r="B65" s="4" t="inlineStr">
        <is>
          <t>600171</t>
        </is>
      </c>
      <c r="C65" s="4" t="inlineStr">
        <is>
          <t>上海贝岭</t>
        </is>
      </c>
      <c r="D65" s="5" t="inlineStr">
        <is>
          <t>半导体：功率半导体</t>
        </is>
      </c>
      <c r="E65" s="4" t="inlineStr">
        <is>
          <t>纠错</t>
        </is>
      </c>
      <c r="F65" s="4" t="inlineStr">
        <is>
          <t>半导体</t>
        </is>
      </c>
      <c r="G65" s="5" t="inlineStr">
        <is>
          <t>芯片设计-模拟与电源管理、芯片设计-功率半导体</t>
        </is>
      </c>
      <c r="H65" s="4" t="inlineStr">
        <is>
          <t>核心</t>
        </is>
      </c>
      <c r="I65" s="5" t="inlineStr">
        <is>
          <t>公司真实业务为集成电路设计，产品包括电源管理芯片、信号链模拟芯片和功率器件，功率半导体只是其中一部分，不能用单一功率标签覆盖全部自研产品。2025年营业收入31.737233亿元，其中电源管理芯片收入8.250257亿元，占26.00%；信号链模拟产品7.853710亿元，占24.75%；功率器件4.491412亿元，占14.15%。另有微电子贸易收入10.811416亿元，占34.07%，该部分是贸易而非自研芯片设计，不能与上述产品合并计算设计收入。集成电路生产及贸易收入31.406795亿元，占98.96%，模拟、电源管理和功率产品均形成规模销售，故维持核心及两个芯片设计概念。初审总收入33.7038亿元及据此计算的24.48%、23.30%、13.33%、32.08%均予以更正，贸易与自研边界不变。</t>
        </is>
      </c>
      <c r="J65" s="4" t="inlineStr">
        <is>
          <t>上海贝岭股份有限公司2025年年度报告</t>
        </is>
      </c>
      <c r="K65" s="4" t="inlineStr">
        <is>
          <t>2026-03-31</t>
        </is>
      </c>
      <c r="L65" s="5" t="inlineStr">
        <is>
          <t>iFinD ifind_get_stock_info + ifind_get_stock_business_segmentation (as of 2026-10-27)；上海贝岭股份有限公司2025年年度报告</t>
        </is>
      </c>
      <c r="M65" s="6" t="inlineStr">
        <is>
          <t>https://static.cninfo.com.cn/finalpage/2026-03-31/1225051104.PDF</t>
        </is>
      </c>
    </row>
    <row r="66" ht="104" customHeight="1">
      <c r="B66" s="7" t="inlineStr">
        <is>
          <t>600206</t>
        </is>
      </c>
      <c r="C66" s="7" t="inlineStr">
        <is>
          <t>有研新材</t>
        </is>
      </c>
      <c r="D66" s="8" t="inlineStr">
        <is>
          <t>半导体：半导体材料</t>
        </is>
      </c>
      <c r="E66" s="7" t="inlineStr">
        <is>
          <t>纠错</t>
        </is>
      </c>
      <c r="F66" s="7" t="inlineStr">
        <is>
          <t>半导体</t>
        </is>
      </c>
      <c r="G66" s="8" t="inlineStr">
        <is>
          <t>半导体材料-靶材与蒸镀材料</t>
        </is>
      </c>
      <c r="H66" s="7" t="inlineStr">
        <is>
          <t>核心</t>
        </is>
      </c>
      <c r="I66" s="8" t="inlineStr">
        <is>
          <t>公司真实半导体相关产品是高纯金属及合金溅射靶材等集成电路用薄膜材料，用于晶圆制造薄膜沉积环节；稀土材料、红外光学、生物医用材料和贵金属业务不能因同属新材料板块就全部计为半导体。2025年薄膜材料收入22.8763亿元，约占总收入95.4213亿元的23.97%，已形成较大规模；电子新材料分部收入75.4018亿元、占79.02%，但该分部还含铂族等混合业务，不能把75.4018亿元全部视为靶材收入。稀土金属冶炼收入19.1406亿元亦须单独排除。基于薄膜材料的真实产品和显著收入规模，列核心而非仅相关。旧“半导体材料”过宽，按白名单纠正为“半导体材料-靶材与蒸镀材料”，并纠正把稀土或全部电子新材料混入半导体的口径。</t>
        </is>
      </c>
      <c r="J66" s="7" t="inlineStr">
        <is>
          <t>有研新材料股份有限公司2025年年度报告</t>
        </is>
      </c>
      <c r="K66" s="7" t="inlineStr">
        <is>
          <t>2026-04-25</t>
        </is>
      </c>
      <c r="L66" s="8" t="inlineStr">
        <is>
          <t>iFinD ifind_get_stock_info + ifind_get_stock_business_segmentation (as of 2026-10-27)；有研新材料股份有限公司2025年年度报告</t>
        </is>
      </c>
      <c r="M66" s="9" t="inlineStr">
        <is>
          <t>https://static.cninfo.com.cn/finalpage/2026-04-25/1225177379.PDF</t>
        </is>
      </c>
    </row>
    <row r="67" ht="104" customHeight="1">
      <c r="B67" s="4" t="inlineStr">
        <is>
          <t>600246</t>
        </is>
      </c>
      <c r="C67" s="4" t="inlineStr">
        <is>
          <t>万通发展</t>
        </is>
      </c>
      <c r="D67" s="5" t="inlineStr">
        <is>
          <t>半导体：算力芯片</t>
        </is>
      </c>
      <c r="E67" s="4" t="inlineStr">
        <is>
          <t>纠错</t>
        </is>
      </c>
      <c r="F67" s="4" t="inlineStr">
        <is>
          <t>半导体</t>
        </is>
      </c>
      <c r="G67" s="5" t="inlineStr">
        <is>
          <t>芯片设计-存储主控与接口</t>
        </is>
      </c>
      <c r="H67" s="4" t="inlineStr">
        <is>
          <t>相关</t>
        </is>
      </c>
      <c r="I67" s="5" t="inlineStr">
        <is>
          <t>收购已经实际落地，不再是拟收购预期：公司通过增资及股权转让取得数渡科技控制权，数渡科技自2025年9月30日纳入合并报表，第四季度实现PCIe Gen5 Switch芯片SD85104量产。2025年10月至12月芯片、IP及相关技术服务收入0.4568亿元，数字科技分部占总收入4.6326亿元的9.8610%；房地产销售和物业出租合计仍占约90.08%，且芯片收入仅并表一个季度并混合IP及服务，不能全部算作芯片销售。数渡产品是PCIe高速互连交换芯片，并非执行AI训练推理的GPU或算力处理器，因此按真实互连属性列“芯片设计-存储主控与接口”，基于量产和收入已落地但占比较低定相关。旧“算力芯片”产品类型不准确，也不能继续以收购未落地为由摘除，本次予以纠正。</t>
        </is>
      </c>
      <c r="J67" s="4" t="inlineStr">
        <is>
          <t>北京万通新发展集团股份有限公司2025年年度报告</t>
        </is>
      </c>
      <c r="K67" s="4" t="inlineStr">
        <is>
          <t>2026-04-30</t>
        </is>
      </c>
      <c r="L67" s="5" t="inlineStr">
        <is>
          <t>iFinD ifind_get_stock_info + ifind_get_stock_business_segmentation (as of 2026-10-27)；北京万通新发展集团股份有限公司2025年年度报告</t>
        </is>
      </c>
      <c r="M67" s="6" t="inlineStr">
        <is>
          <t>https://static.cninfo.com.cn/finalpage/2026-04-30/1225264480.PDF</t>
        </is>
      </c>
    </row>
    <row r="68" ht="104" customHeight="1">
      <c r="B68" s="7" t="inlineStr">
        <is>
          <t>600360</t>
        </is>
      </c>
      <c r="C68" s="7" t="inlineStr">
        <is>
          <t>华微电子</t>
        </is>
      </c>
      <c r="D68" s="8" t="inlineStr">
        <is>
          <t>半导体：功率半导体</t>
        </is>
      </c>
      <c r="E68" s="7" t="inlineStr">
        <is>
          <t>纠错</t>
        </is>
      </c>
      <c r="F68" s="7" t="inlineStr">
        <is>
          <t>半导体</t>
        </is>
      </c>
      <c r="G68" s="8" t="inlineStr">
        <is>
          <t>芯片设计-功率半导体、晶圆制造与IDM</t>
        </is>
      </c>
      <c r="H68" s="7" t="inlineStr">
        <is>
          <t>核心</t>
        </is>
      </c>
      <c r="I68" s="8" t="inlineStr">
        <is>
          <t>公司真实业务覆盖功率半导体器件设计开发、芯片加工、封装测试和销售，产品包括功率分立器件及相关集成电路，属于设计制造一体化的IDM，而不是单纯Fabless芯片设计公司。2025年营业收入22.552446亿元，其中半导体器件收入21.984989亿元，占97.48%；商业、服务业和其他业务收入合计占比较小，半导体主业规模与纯度均支持核心定级。半导体器件是混合产品收入，不能进一步虚构IGBT、MOSFET或SiC各自收入，也不能把全部集成电路都归入功率器件。概念维持芯片设计-功率半导体和晶圆制造与IDM，初审约22.5487亿元的总收入更正为22.552446亿元，不扩张到半导体设备标签。</t>
        </is>
      </c>
      <c r="J68" s="7" t="inlineStr">
        <is>
          <t>吉林华微电子股份有限公司2025年年度报告</t>
        </is>
      </c>
      <c r="K68" s="7" t="inlineStr">
        <is>
          <t>2026-04-21</t>
        </is>
      </c>
      <c r="L68" s="8" t="inlineStr">
        <is>
          <t>iFinD ifind_get_stock_info + ifind_get_stock_business_segmentation (as of 2026-10-27)；吉林华微电子股份有限公司2025年年度报告</t>
        </is>
      </c>
      <c r="M68" s="9" t="inlineStr">
        <is>
          <t>https://static.cninfo.com.cn/finalpage/2026-04-21/1225133069.PDF</t>
        </is>
      </c>
    </row>
    <row r="69" ht="104" customHeight="1">
      <c r="B69" s="4" t="inlineStr">
        <is>
          <t>600460</t>
        </is>
      </c>
      <c r="C69" s="4" t="inlineStr">
        <is>
          <t>士兰微</t>
        </is>
      </c>
      <c r="D69" s="5" t="inlineStr">
        <is>
          <t>半导体：功率半导体</t>
        </is>
      </c>
      <c r="E69" s="4" t="inlineStr">
        <is>
          <t>纠错</t>
        </is>
      </c>
      <c r="F69" s="4" t="inlineStr">
        <is>
          <t>半导体</t>
        </is>
      </c>
      <c r="G69" s="5" t="inlineStr">
        <is>
          <t>芯片设计-功率半导体、晶圆制造与IDM</t>
        </is>
      </c>
      <c r="H69" s="4" t="inlineStr">
        <is>
          <t>核心</t>
        </is>
      </c>
      <c r="I69" s="5" t="inlineStr">
        <is>
          <t>公司真实业务覆盖硅基集成电路、分立器件以及SiC、GaN等化合物半导体器件的设计、制造和封装，拥有晶圆制造及封装产线，属于典型IDM；功率器件是重要组成，但不能概括全部集成电路和LED业务。2025年分立器件收入63.7942亿元，占总收入130.5157亿元的48.88%；集成电路49.2354亿元，占37.72%；发光二极管7.6522亿元，占5.86%，其他业务4.9463亿元。电子元器件分部占96.21%，设计制造主业规模明确，故列核心。各分部是宽口径，不能将全部分立器件或集成电路收入都认定为SiC功率产品。旧“功率半导体”忽略IDM属性且容易过窄，纠正并补充为“芯片设计-功率半导体”和“晶圆制造与IDM”，保留LED及集成电路收入不可混算的边界。</t>
        </is>
      </c>
      <c r="J69" s="4" t="inlineStr">
        <is>
          <t>杭州士兰微电子股份有限公司2025年年度报告</t>
        </is>
      </c>
      <c r="K69" s="4" t="inlineStr">
        <is>
          <t>2026-04-25</t>
        </is>
      </c>
      <c r="L69" s="5" t="inlineStr">
        <is>
          <t>iFinD ifind_get_stock_info + ifind_get_stock_business_segmentation (as of 2026-10-27)；杭州士兰微电子股份有限公司2025年年度报告</t>
        </is>
      </c>
      <c r="M69" s="6" t="inlineStr">
        <is>
          <t>https://static.cninfo.com.cn/finalpage/2026-04-25/1225189603.PDF</t>
        </is>
      </c>
    </row>
    <row r="70" ht="104" customHeight="1">
      <c r="B70" s="7" t="inlineStr">
        <is>
          <t>600520</t>
        </is>
      </c>
      <c r="C70" s="7" t="inlineStr">
        <is>
          <t>三佳科技</t>
        </is>
      </c>
      <c r="D70" s="8" t="inlineStr">
        <is>
          <t>半导体：半导体设备-封装设备</t>
        </is>
      </c>
      <c r="E70" s="7" t="inlineStr">
        <is>
          <t>纠错</t>
        </is>
      </c>
      <c r="F70" s="7" t="inlineStr">
        <is>
          <t>半导体</t>
        </is>
      </c>
      <c r="G70" s="8" t="inlineStr">
        <is>
          <t>半导体设备-封装设备</t>
        </is>
      </c>
      <c r="H70" s="7" t="inlineStr">
        <is>
          <t>核心</t>
        </is>
      </c>
      <c r="I70" s="8" t="inlineStr">
        <is>
          <t>公司真实产品包括半导体塑封压机、切筋成型系统、电子塑封模具、自动封装系统及精密备件，直接用于集成电路后道封装，不是泛指专用设备或仅提供模具的潜在外协企业。2025年半导体封装模具及设备行业收入3.0729亿元，占总收入约3.7852亿元的81.1829%；其中塑封压机1.5619亿元、T/F系统0.6511亿元、电子塑封模具0.5561亿元。塑料异型材模具收入0.2893亿元和其他业务必须排除在半导体口径之外。半导体封装设备及模具已形成占主导的规模收入，核心定级明确。旧“半导体设备-封装设备”与白名单同义但缺少产品和混合收入边界，本次规范保留该概念，并纠正把塑料模具等其他专用设备收入一并计入半导体设备的做法。</t>
        </is>
      </c>
      <c r="J70" s="7" t="inlineStr">
        <is>
          <t>铜陵三佳山田科技股份有限公司2025年年度报告</t>
        </is>
      </c>
      <c r="K70" s="7" t="inlineStr">
        <is>
          <t>2026-03-31</t>
        </is>
      </c>
      <c r="L70" s="8" t="inlineStr">
        <is>
          <t>iFinD ifind_get_stock_info + ifind_get_stock_business_segmentation (as of 2026-10-27)；铜陵三佳山田科技股份有限公司2025年年度报告</t>
        </is>
      </c>
      <c r="M70" s="9" t="inlineStr">
        <is>
          <t>https://static.cninfo.com.cn/finalpage/2026-03-31/1225054390.PDF</t>
        </is>
      </c>
    </row>
    <row r="71" ht="104" customHeight="1">
      <c r="B71" s="4" t="inlineStr">
        <is>
          <t>600584</t>
        </is>
      </c>
      <c r="C71" s="4" t="inlineStr">
        <is>
          <t>长电科技</t>
        </is>
      </c>
      <c r="D71" s="5" t="inlineStr">
        <is>
          <t>半导体：封测</t>
        </is>
      </c>
      <c r="E71" s="4" t="inlineStr">
        <is>
          <t>纠错</t>
        </is>
      </c>
      <c r="F71" s="4" t="inlineStr">
        <is>
          <t>半导体</t>
        </is>
      </c>
      <c r="G71" s="5" t="inlineStr">
        <is>
          <t>封装测试</t>
        </is>
      </c>
      <c r="H71" s="4" t="inlineStr">
        <is>
          <t>核心</t>
        </is>
      </c>
      <c r="I71" s="5" t="inlineStr">
        <is>
          <t>公司真实业务是为集成电路和分立器件提供封装设计、晶圆中测、芯片封装、成品测试、认证及配送等一站式芯片成品制造服务，涵盖传统封装和先进封装，并不等同于存储芯片设计或晶圆代工。2025年芯片封测收入387.1419亿元，占总收入388.7130亿元的99.5957%，其他业务收入仅1.5716亿元，封测是绝对主业且规模明确，核心定级没有歧义。芯片封测分部为综合口径，不能进一步把其中全部收入归入先进封装、HBM或存储封测，也不能依据下游应用想象追加算力芯片标签。旧“封测”方向正确但不符合白名单标准名称，纠正为“封装测试”，并明确公司的产业位置是封装测试代工服务，而非芯片产品设计、晶圆制造或存储模组销售。</t>
        </is>
      </c>
      <c r="J71" s="4" t="inlineStr">
        <is>
          <t>江苏长电科技股份有限公司2025年年度报告</t>
        </is>
      </c>
      <c r="K71" s="4" t="inlineStr">
        <is>
          <t>2026-04-10</t>
        </is>
      </c>
      <c r="L71" s="5" t="inlineStr">
        <is>
          <t>iFinD ifind_get_stock_info + ifind_get_stock_business_segmentation (as of 2026-10-27)；江苏长电科技股份有限公司2025年年度报告</t>
        </is>
      </c>
      <c r="M71" s="6" t="inlineStr">
        <is>
          <t>https://static.cninfo.com.cn/finalpage/2026-04-10/1225091498.PDF</t>
        </is>
      </c>
    </row>
    <row r="72" ht="104" customHeight="1">
      <c r="B72" s="7" t="inlineStr">
        <is>
          <t>600641</t>
        </is>
      </c>
      <c r="C72" s="7" t="inlineStr">
        <is>
          <t>先导基电</t>
        </is>
      </c>
      <c r="D72" s="8" t="inlineStr">
        <is>
          <t>半导体：半导体设备-前道</t>
        </is>
      </c>
      <c r="E72" s="7" t="inlineStr">
        <is>
          <t>纠错</t>
        </is>
      </c>
      <c r="F72" s="7" t="inlineStr">
        <is>
          <t>半导体</t>
        </is>
      </c>
      <c r="G72" s="8" t="inlineStr">
        <is>
          <t>半导体设备-离子注入</t>
        </is>
      </c>
      <c r="H72" s="7" t="inlineStr">
        <is>
          <t>核心</t>
        </is>
      </c>
      <c r="I72" s="8" t="inlineStr">
        <is>
          <t>公司旗下凯世通真实研发、制造12英寸离子注入机，覆盖低能大束流、超低温、高能等机型，2025年交付十多台且验收超过15台，已从样机研发进入规模交付，不是依靠半导体产业基金或园区投资贴标签。2025年营业收入18.518218亿元，其中专用设备制造收入3.483104亿元，占18.81%；铋材料销售13.197759亿元，占71.27%，房产销售1.247720亿元，占6.74%。混合收入边界必须保留，铋材料、房产及服务收入不得并入半导体设备。离子注入设备已形成数亿元收入和实际客户验收，维持核心及半导体设备-离子注入概念；初审总收入18.5173亿元更正为18.518218亿元，交付与验收数字仅作年报事实复核，不伪装为iFinD字段。</t>
        </is>
      </c>
      <c r="J72" s="7" t="inlineStr">
        <is>
          <t>上海先导基电科技股份有限公司2025年年度报告（更正后）</t>
        </is>
      </c>
      <c r="K72" s="7" t="inlineStr">
        <is>
          <t>2026-08-01</t>
        </is>
      </c>
      <c r="L72" s="8" t="inlineStr">
        <is>
          <t>iFinD ifind_get_stock_info + ifind_get_stock_business_segmentation (as of 2026-10-27)；上海先导基电科技股份有限公司2025年年度报告（更正后）</t>
        </is>
      </c>
      <c r="M72" s="9" t="inlineStr">
        <is>
          <t>https://static.cninfo.com.cn/finalpage/2026-08-01/1225452105.PDF</t>
        </is>
      </c>
    </row>
    <row r="73" ht="104" customHeight="1">
      <c r="B73" s="4" t="inlineStr">
        <is>
          <t>600667</t>
        </is>
      </c>
      <c r="C73" s="4" t="inlineStr">
        <is>
          <t>太极实业</t>
        </is>
      </c>
      <c r="D73" s="5" t="inlineStr">
        <is>
          <t>半导体：半导体洁净室</t>
        </is>
      </c>
      <c r="E73" s="4" t="inlineStr">
        <is>
          <t>纠错</t>
        </is>
      </c>
      <c r="F73" s="4" t="inlineStr">
        <is>
          <t>半导体</t>
        </is>
      </c>
      <c r="G73" s="5" t="inlineStr">
        <is>
          <t>封装测试、洁净室与厂务工程</t>
        </is>
      </c>
      <c r="H73" s="4" t="inlineStr">
        <is>
          <t>相关</t>
        </is>
      </c>
      <c r="I73" s="5" t="inlineStr">
        <is>
          <t>公司真实业务同时包括半导体封装测试、模组和电子高科技工程技术服务，工程板块可承接洁净室及高科技厂务项目，但并非全部工程收入都服务半导体。2025年半导体分部收入46.4957亿元，占总收入约306.8171亿元的15.1542%，其中封装测试28.5393亿元、模组17.9563亿元；工程技术服务收入256.5475亿元，占83.6158%，还含工程总包、设计咨询及多类下游，光伏收入2.5022亿元另列。半导体收入真实且规模较大，但集团占比不高，洁净室半导体项目收入又未单独拆分，因此整体列相关而非核心。旧“半导体洁净室”遗漏已有封测主业且工程口径过宽，纠正为“封装测试”和“洁净室与厂务工程”，不把全部工程总包算作半导体。</t>
        </is>
      </c>
      <c r="J73" s="4" t="inlineStr">
        <is>
          <t>无锡市太极实业股份有限公司2025年年度报告</t>
        </is>
      </c>
      <c r="K73" s="4" t="inlineStr">
        <is>
          <t>2026-04-24</t>
        </is>
      </c>
      <c r="L73" s="5" t="inlineStr">
        <is>
          <t>iFinD ifind_get_stock_info + ifind_get_stock_business_segmentation (as of 2026-10-27)；无锡市太极实业股份有限公司2025年年度报告</t>
        </is>
      </c>
      <c r="M73" s="6" t="inlineStr">
        <is>
          <t>https://static.cninfo.com.cn/finalpage/2026-04-24/1225165957.PDF</t>
        </is>
      </c>
    </row>
    <row r="74" ht="104" customHeight="1">
      <c r="B74" s="7" t="inlineStr">
        <is>
          <t>600895</t>
        </is>
      </c>
      <c r="C74" s="7" t="inlineStr">
        <is>
          <t>张江高科</t>
        </is>
      </c>
      <c r="D74" s="8" t="inlineStr">
        <is>
          <t>半导体：半导体设备</t>
        </is>
      </c>
      <c r="E74" s="7" t="inlineStr">
        <is>
          <t>纠错</t>
        </is>
      </c>
      <c r="F74" s="7" t="inlineStr">
        <is>
          <t>半导体</t>
        </is>
      </c>
      <c r="G74" s="8" t="inlineStr">
        <is>
          <t>半导体股权与产业投资</t>
        </is>
      </c>
      <c r="H74" s="7" t="inlineStr">
        <is>
          <t>相关</t>
        </is>
      </c>
      <c r="I74" s="8" t="inlineStr">
        <is>
          <t>公司本体真实主营是科技园区空间载体开发运营、房产销售租赁和科技产业投资，通过直投及基金参与集成电路企业投资孵化；这种股权和基金敞口不等于上市公司自己研发、生产光刻机或其他半导体设备。2025年产业空间载体收入41.5952亿元，占分部口径99.4687%，其中房地产销售29.8951亿元、房产租赁11.7001亿元，其他业务和服务业占比很小，年报没有半导体设备产品销售收入。园区集聚大量集成电路企业、提供全产业链服务，也只能说明生态和投资关联，不能把入驻企业或被投企业业务转为公司主营。故仅按可核验的持股及基金投资列“半导体股权与产业投资”并定相关。旧“半导体设备”属于主体错配，必须纠正，且不得追加光刻机、设备整机或核心制造标签。</t>
        </is>
      </c>
      <c r="J74" s="7" t="inlineStr">
        <is>
          <t>上海张江高科技园区开发股份有限公司2025年年度报告</t>
        </is>
      </c>
      <c r="K74" s="7" t="inlineStr">
        <is>
          <t>2026-03-31</t>
        </is>
      </c>
      <c r="L74" s="8" t="inlineStr">
        <is>
          <t>iFinD ifind_get_stock_info + ifind_get_stock_business_segmentation (as of 2026-10-27)；上海张江高科技园区开发股份有限公司2025年年度报告</t>
        </is>
      </c>
      <c r="M74" s="9" t="inlineStr">
        <is>
          <t>https://static.cninfo.com.cn/finalpage/2026-03-31/1225060598.PDF</t>
        </is>
      </c>
    </row>
    <row r="75" ht="104" customHeight="1">
      <c r="B75" s="4" t="inlineStr">
        <is>
          <t>601133</t>
        </is>
      </c>
      <c r="C75" s="4" t="inlineStr">
        <is>
          <t>柏诚股份</t>
        </is>
      </c>
      <c r="D75" s="5" t="inlineStr">
        <is>
          <t>半导体：半导体洁净室</t>
        </is>
      </c>
      <c r="E75" s="4" t="inlineStr">
        <is>
          <t>纠错</t>
        </is>
      </c>
      <c r="F75" s="4" t="inlineStr">
        <is>
          <t>半导体</t>
        </is>
      </c>
      <c r="G75" s="5" t="inlineStr">
        <is>
          <t>洁净室与厂务工程</t>
        </is>
      </c>
      <c r="H75" s="4" t="inlineStr">
        <is>
          <t>核心</t>
        </is>
      </c>
      <c r="I75" s="5" t="inlineStr">
        <is>
          <t>公司真实业务是为高科技产业建厂和技改提供洁净室系统集成、机电工艺系统、二次配及运维服务，具备集成电路制造、晶圆制造、封装测试、半导体设备和材料等项目经验，属于厂务工程而非工艺设备制造。2025年半导体及泛半导体行业收入28.7202亿元，占总收入约41.3325亿元的69.4858%，已形成主要收入来源；新型显示收入5.3672亿元、其他电子3.5520亿元、食品药品大健康2.3138亿元应分别排除。还需注意“半导体及泛半导体”口径包含太阳能电池片等泛半导体项目，因此69.4858%是相关业务上限，不能全部视为纯集成电路收入。基于高占比和真实规模项目列核心。旧“半导体洁净室”按白名单规范为“洁净室与厂务工程”，同时保留泛半导体混合边界。</t>
        </is>
      </c>
      <c r="J75" s="4" t="inlineStr">
        <is>
          <t>柏诚系统科技股份有限公司2025年年度报告</t>
        </is>
      </c>
      <c r="K75" s="4" t="inlineStr">
        <is>
          <t>2026-04-22</t>
        </is>
      </c>
      <c r="L75" s="5" t="inlineStr">
        <is>
          <t>iFinD ifind_get_stock_info + ifind_get_stock_business_segmentation (as of 2026-10-27)；柏诚系统科技股份有限公司2025年年度报告</t>
        </is>
      </c>
      <c r="M75" s="6" t="inlineStr">
        <is>
          <t>https://static.cninfo.com.cn/finalpage/2026-04-22/1225139173.PDF</t>
        </is>
      </c>
    </row>
    <row r="76" ht="104" customHeight="1">
      <c r="B76" s="7" t="inlineStr">
        <is>
          <t>603061</t>
        </is>
      </c>
      <c r="C76" s="7" t="inlineStr">
        <is>
          <t>金海通</t>
        </is>
      </c>
      <c r="D76" s="8" t="inlineStr">
        <is>
          <t>半导体：半导体设备-测试设备</t>
        </is>
      </c>
      <c r="E76" s="7" t="inlineStr">
        <is>
          <t>纠错</t>
        </is>
      </c>
      <c r="F76" s="7" t="inlineStr">
        <is>
          <t>半导体</t>
        </is>
      </c>
      <c r="G76" s="8" t="inlineStr">
        <is>
          <t>半导体设备-测试机与分选机</t>
        </is>
      </c>
      <c r="H76" s="7" t="inlineStr">
        <is>
          <t>核心</t>
        </is>
      </c>
      <c r="I76" s="8" t="inlineStr">
        <is>
          <t>公司真实产品是EXCEED、SUMMIT、COLLIE等系列半导体芯片测试分选机，主要完成芯片测试后的自动分选、搬运和测试环境配套，属于后道测试专用设备，而非晶圆检测量测设备。2025年测试分选机收入6.3285亿元，占总收入约6.9820亿元的90.64%；备品备件收入0.6317亿元，占9.05%，半导体设备制造分部整体占99.6914%，其他业务仅0.0215亿元。测试分选机具有明确产品、绝对主业占比和规模收入，故列核心；备件虽与设备相关，也不能虚构为额外整机收入。旧“半导体设备-测试设备”范围过宽且不是白名单标准概念，纠正为“半导体设备-测试机与分选机”，不再使用容易与探针台、量检测设备混淆的笼统测试设备标签。</t>
        </is>
      </c>
      <c r="J76" s="7" t="inlineStr">
        <is>
          <t>天津金海通半导体设备股份有限公司2025年年度报告</t>
        </is>
      </c>
      <c r="K76" s="7" t="inlineStr">
        <is>
          <t>2026-03-11</t>
        </is>
      </c>
      <c r="L76" s="8" t="inlineStr">
        <is>
          <t>iFinD ifind_get_stock_info + ifind_get_stock_business_segmentation (as of 2026-10-27)；天津金海通半导体设备股份有限公司2025年年度报告</t>
        </is>
      </c>
      <c r="M76" s="9" t="inlineStr">
        <is>
          <t>https://static.cninfo.com.cn/finalpage/2026-03-11/1225004246.PDF</t>
        </is>
      </c>
    </row>
    <row r="77" ht="104" customHeight="1">
      <c r="B77" s="4" t="inlineStr">
        <is>
          <t>603068</t>
        </is>
      </c>
      <c r="C77" s="4" t="inlineStr">
        <is>
          <t>博通集成</t>
        </is>
      </c>
      <c r="D77" s="5" t="inlineStr">
        <is>
          <t>半导体：端侧AI芯片、端侧ai芯片</t>
        </is>
      </c>
      <c r="E77" s="4" t="inlineStr">
        <is>
          <t>纠错</t>
        </is>
      </c>
      <c r="F77" s="4" t="inlineStr">
        <is>
          <t>半导体</t>
        </is>
      </c>
      <c r="G77" s="5" t="inlineStr">
        <is>
          <t>芯片设计-射频与通信芯片</t>
        </is>
      </c>
      <c r="H77" s="4" t="inlineStr">
        <is>
          <t>核心</t>
        </is>
      </c>
      <c r="I77" s="5" t="inlineStr">
        <is>
          <t>公司真实主营是Fabless无线通讯集成电路芯片研发与销售，产品包括Wi-Fi、蓝牙数传、5.8GHz、ETC、通用无线和无线音频芯片，并提供集成MCU的无线连接SoC；其本质是无线射频与通信芯片，不是独立的AI训练或通用端侧算力芯片企业。2025年集成电路产品收入9.1785亿元，占100%，其中无线数传类7.5088亿元、占81.81%，无线音频类1.6696亿元、占18.19%，芯片设计主业明确，故由旧相关提升为核心。年报虽披露围绕端侧AI场景加强方案落地，但没有单列端侧AI芯片收入，不能把全部无线芯片改算为AI芯片。旧两个“端侧AI芯片”标签存在重复、大小写不一和产品类型泛化，统一纠正为“芯片设计-射频与通信芯片”，并保留AI场景不等于独立收入的边界。</t>
        </is>
      </c>
      <c r="J77" s="4" t="inlineStr">
        <is>
          <t>博通集成电路（上海）股份有限公司2025年年度报告</t>
        </is>
      </c>
      <c r="K77" s="4" t="inlineStr">
        <is>
          <t>2026-04-29</t>
        </is>
      </c>
      <c r="L77" s="5" t="inlineStr">
        <is>
          <t>iFinD ifind_get_stock_info + ifind_get_stock_business_segmentation (as of 2026-10-27)；博通集成电路（上海）股份有限公司2025年年度报告</t>
        </is>
      </c>
      <c r="M77" s="6" t="inlineStr">
        <is>
          <t>https://static.cninfo.com.cn/finalpage/2026-04-29/1225245969.PDF</t>
        </is>
      </c>
    </row>
    <row r="78" ht="104" customHeight="1">
      <c r="B78" s="7" t="inlineStr">
        <is>
          <t>603078</t>
        </is>
      </c>
      <c r="C78" s="7" t="inlineStr">
        <is>
          <t>江化微</t>
        </is>
      </c>
      <c r="D78" s="8" t="inlineStr">
        <is>
          <t>半导体：半导体材料</t>
        </is>
      </c>
      <c r="E78" s="7" t="inlineStr">
        <is>
          <t>纠错</t>
        </is>
      </c>
      <c r="F78" s="7" t="inlineStr">
        <is>
          <t>半导体</t>
        </is>
      </c>
      <c r="G78" s="8" t="inlineStr">
        <is>
          <t>半导体材料-电子特气与湿化学品、半导体材料-光刻胶与配套试剂</t>
        </is>
      </c>
      <c r="H78" s="7" t="inlineStr">
        <is>
          <t>核心</t>
        </is>
      </c>
      <c r="I78" s="8" t="inlineStr">
        <is>
          <t>公司真实产品是超净高纯试剂和光刻胶配套试剂等湿电子化学品，直接用于半导体、显示面板和太阳能电池的清洗、蚀刻、显影及剥离等工艺；公司并非仅因“光刻胶”题材而拥有半导体材料业务。2025年半导体芯片下游收入7.1081亿元，占总收入约12.3384亿元的57.6093%，已超过半数；显示面板收入4.5528亿元、太阳能0.4412亿元应分开。按产品看，超净高纯试剂7.7512亿元、光刻胶配套试剂4.3508亿元，两者是跨下游混合口径，不能全部算作半导体收入。半导体下游规模与占比均支持核心定级。旧“半导体材料”过宽，按产品实质纠正为“电子特气与湿化学品”和“光刻胶与配套试剂”，不额外宣称公司生产独立光刻胶成品。</t>
        </is>
      </c>
      <c r="J78" s="7" t="inlineStr">
        <is>
          <t>江阴江化微电子材料股份有限公司2025年年度报告</t>
        </is>
      </c>
      <c r="K78" s="7" t="inlineStr">
        <is>
          <t>2026-04-25</t>
        </is>
      </c>
      <c r="L78" s="8" t="inlineStr">
        <is>
          <t>iFinD ifind_get_stock_info + ifind_get_stock_business_segmentation (as of 2026-10-27)；江阴江化微电子材料股份有限公司2025年年度报告</t>
        </is>
      </c>
      <c r="M78" s="9" t="inlineStr">
        <is>
          <t>https://static.cninfo.com.cn/finalpage/2026-04-25/1225176561.PDF</t>
        </is>
      </c>
    </row>
    <row r="79" ht="104" customHeight="1">
      <c r="B79" s="4" t="inlineStr">
        <is>
          <t>603163</t>
        </is>
      </c>
      <c r="C79" s="4" t="inlineStr">
        <is>
          <t>圣晖集成</t>
        </is>
      </c>
      <c r="D79" s="5" t="inlineStr">
        <is>
          <t>半导体：半导体洁净室</t>
        </is>
      </c>
      <c r="E79" s="4" t="inlineStr">
        <is>
          <t>纠错</t>
        </is>
      </c>
      <c r="F79" s="4" t="inlineStr">
        <is>
          <t>半导体</t>
        </is>
      </c>
      <c r="G79" s="5" t="inlineStr">
        <is>
          <t>洁净室与厂务工程</t>
        </is>
      </c>
      <c r="H79" s="4" t="inlineStr">
        <is>
          <t>核心</t>
        </is>
      </c>
      <c r="I79" s="5" t="inlineStr">
        <is>
          <t>公司真实主营是洁净室系统集成工程，覆盖设计、采购、施工和维护，并配套机电安装及二次配工程，为IC半导体、精密制造、PCB、光电和生技医疗等客户提供生产环境，并不制造半导体工艺设备。2025年IC半导体行业收入17.8366亿元，占总收入约29.8850亿元的59.6839%，是最大下游且已形成规模项目收入；精密制造收入10.1337亿元、其他行业1.4322亿元、光电0.4540亿元，不能混入半导体口径。按产品披露的系统集成16.8909亿元、其他机电安装9.6734亿元和二次配2.6517亿元则是跨行业口径，也不能全部归入IC半导体。基于IC半导体收入占比接近六成且工程经验真实，列核心。旧“半导体洁净室”规范为“洁净室与厂务工程”，并保留下游与产品两种分部不可混算的边界。</t>
        </is>
      </c>
      <c r="J79" s="4" t="inlineStr">
        <is>
          <t>圣晖系统集成集团股份有限公司2025年年度报告</t>
        </is>
      </c>
      <c r="K79" s="4" t="inlineStr">
        <is>
          <t>2026-03-28</t>
        </is>
      </c>
      <c r="L79" s="5" t="inlineStr">
        <is>
          <t>iFinD ifind_get_stock_info + ifind_get_stock_business_segmentation (as of 2026-10-27)；圣晖系统集成集团股份有限公司2025年年度报告</t>
        </is>
      </c>
      <c r="M79" s="6" t="inlineStr">
        <is>
          <t>https://static.cninfo.com.cn/finalpage/2026-03-28/1225048509.PDF</t>
        </is>
      </c>
    </row>
    <row r="80" ht="104" customHeight="1">
      <c r="B80" s="7" t="inlineStr">
        <is>
          <t>603260</t>
        </is>
      </c>
      <c r="C80" s="7" t="inlineStr">
        <is>
          <t>合盛硅业</t>
        </is>
      </c>
      <c r="D80" s="8" t="inlineStr">
        <is>
          <t>半导体：半导体材料</t>
        </is>
      </c>
      <c r="E80" s="7" t="inlineStr">
        <is>
          <t>纠错</t>
        </is>
      </c>
      <c r="F80" s="7" t="inlineStr">
        <is>
          <t>半导体</t>
        </is>
      </c>
      <c r="G80" s="8" t="inlineStr">
        <is>
          <t>半导体材料-其他关键材料</t>
        </is>
      </c>
      <c r="H80" s="7" t="inlineStr">
        <is>
          <t>相关</t>
        </is>
      </c>
      <c r="I80" s="8" t="inlineStr">
        <is>
          <t>公司收入主体仍是工业硅、有机硅及其他硅基材料，但2025年年报明确披露6英寸、8英寸碳化硅衬底已全面量产，并布局高纯导电型及半绝缘型碳化硅粉料，证明其已有直接半导体材料产品，而非仅按工业硅潜在下游用途推演。2025年营业收入204.985454亿元，其中工业硅收入90.769939亿元，占44.28%；有机硅收入95.746374亿元，占46.71%；其他业务收入18.469141亿元，占9.01%。上述传统分部均不能算作半导体收入，碳化硅衬底及粉料收入也未单独披露，故不升核心。建议由摘除恢复为相关，概念改为半导体材料-其他关键材料，以真实碳化硅产品为依据，不再仅以工业硅上游潜在用途作为理由。</t>
        </is>
      </c>
      <c r="J80" s="7" t="inlineStr">
        <is>
          <t>合盛硅业股份有限公司2025年年度报告</t>
        </is>
      </c>
      <c r="K80" s="7" t="inlineStr">
        <is>
          <t>2026-04-17</t>
        </is>
      </c>
      <c r="L80" s="8" t="inlineStr">
        <is>
          <t>iFinD ifind_get_stock_info + ifind_get_stock_business_segmentation (as of 2026-10-27)；合盛硅业股份有限公司2025年年度报告</t>
        </is>
      </c>
      <c r="M80" s="9" t="inlineStr">
        <is>
          <t>http://file.finance.sina.com.cn/211.154.219.97:9494/MRGG/CNSESH_STOCK/2026/2026-4/2026-04-17/12102517.PDF</t>
        </is>
      </c>
    </row>
    <row r="81" ht="104" customHeight="1">
      <c r="B81" s="4" t="inlineStr">
        <is>
          <t>603283</t>
        </is>
      </c>
      <c r="C81" s="4" t="inlineStr">
        <is>
          <t>赛腾股份</t>
        </is>
      </c>
      <c r="D81" s="5" t="inlineStr">
        <is>
          <t>半导体：半导体设备-HBM检测</t>
        </is>
      </c>
      <c r="E81" s="4" t="inlineStr">
        <is>
          <t>纠错</t>
        </is>
      </c>
      <c r="F81" s="4" t="inlineStr">
        <is>
          <t>半导体</t>
        </is>
      </c>
      <c r="G81" s="5" t="inlineStr">
        <is>
          <t>半导体设备-量测与检测</t>
        </is>
      </c>
      <c r="H81" s="4" t="inlineStr">
        <is>
          <t>相关</t>
        </is>
      </c>
      <c r="I81" s="5" t="inlineStr">
        <is>
          <t>公司真实业务是智能制造装备，半导体板块具有晶圆及存储相关检测设备，并包括HBM检测应用，属于已有实际产品和行业收入的量测检测设备，而非仅凭存储概念映射。2025年营业收入33.8571亿元，其中半导体行业收入6.0406亿元、占17.84%，消费电子行业收入26.2358亿元、占77.49%；半导体口径还可能包含检测以外的自动化装备，不能全部算作HBM检测，年报亦未将HBM设备收入单独拆分。由于半导体收入真实存在但不是收入主导，维持相关而非升为核心；旧“半导体设备-HBM检测”范围过窄且不是白名单标准名，现纠正为“半导体设备-量测与检测”，不把消费电子装备混入半导体。</t>
        </is>
      </c>
      <c r="J81" s="4" t="inlineStr">
        <is>
          <t>赛腾股份2025年年度报告</t>
        </is>
      </c>
      <c r="K81" s="4" t="inlineStr">
        <is>
          <t>2026-04-28</t>
        </is>
      </c>
      <c r="L81" s="5" t="inlineStr">
        <is>
          <t>iFinD ifind_get_stock_info + ifind_get_stock_business_segmentation (as of 2026-10-27)；赛腾股份2025年年度报告</t>
        </is>
      </c>
      <c r="M81" s="6" t="inlineStr">
        <is>
          <t>http://file.finance.sina.com.cn/211.154.219.97:9494/MRGG/CNSESH_STOCK/2026/2026-4/2026-04-28/12212858.PDF</t>
        </is>
      </c>
    </row>
    <row r="82" ht="104" customHeight="1">
      <c r="B82" s="7" t="inlineStr">
        <is>
          <t>603290</t>
        </is>
      </c>
      <c r="C82" s="7" t="inlineStr">
        <is>
          <t>斯达半导</t>
        </is>
      </c>
      <c r="D82" s="8" t="inlineStr">
        <is>
          <t>半导体：功率半导体</t>
        </is>
      </c>
      <c r="E82" s="7" t="inlineStr">
        <is>
          <t>纠错</t>
        </is>
      </c>
      <c r="F82" s="7" t="inlineStr">
        <is>
          <t>半导体</t>
        </is>
      </c>
      <c r="G82" s="8" t="inlineStr">
        <is>
          <t>芯片设计-功率半导体</t>
        </is>
      </c>
      <c r="H82" s="7" t="inlineStr">
        <is>
          <t>核心</t>
        </is>
      </c>
      <c r="I82" s="8" t="inlineStr">
        <is>
          <t>公司真实产品是IGBT、SiC等功率半导体芯片和模块，覆盖新能源汽车、工业控制、新能源发电等应用，功率器件设计、制造与模块销售构成持续规模化主营，而不是对第三方功率器件的简单贸易或下游整机延伸。2025年营业收入40.1240亿元，其中功率半导体收入40.0686亿元、占99.86%，IGBT模块收入33.5322亿元、占83.57%；SiC等其他产品与IGBT模块存在口径层级差异，不能在IGBT模块之外重复累加，也不能把全部下游应用收入算作公司半导体收入。主营和收入占比均支持核心定级，旧“功率半导体”含义正确但不是白名单完整名称，现规范为“芯片设计-功率半导体”，不改变其核心属性。</t>
        </is>
      </c>
      <c r="J82" s="7" t="inlineStr">
        <is>
          <t>斯达半导2025年年度报告</t>
        </is>
      </c>
      <c r="K82" s="7" t="inlineStr">
        <is>
          <t>2026-04-30</t>
        </is>
      </c>
      <c r="L82" s="8" t="inlineStr">
        <is>
          <t>iFinD ifind_get_stock_info + ifind_get_stock_business_segmentation (as of 2026-10-27)；斯达半导2025年年度报告</t>
        </is>
      </c>
      <c r="M82" s="9" t="inlineStr">
        <is>
          <t>http://static.cninfo.com.cn/finalpage/2026-04-30/1225264305.PDF</t>
        </is>
      </c>
    </row>
    <row r="83" ht="104" customHeight="1">
      <c r="B83" s="4" t="inlineStr">
        <is>
          <t>603324</t>
        </is>
      </c>
      <c r="C83" s="4" t="inlineStr">
        <is>
          <t>盛剑科技</t>
        </is>
      </c>
      <c r="D83" s="5" t="inlineStr">
        <is>
          <t>半导体：半导体设备</t>
        </is>
      </c>
      <c r="E83" s="4" t="inlineStr">
        <is>
          <t>纠错</t>
        </is>
      </c>
      <c r="F83" s="4" t="inlineStr">
        <is>
          <t>半导体</t>
        </is>
      </c>
      <c r="G83" s="5" t="inlineStr">
        <is>
          <t>半导体设备-洁净与厂务设备</t>
        </is>
      </c>
      <c r="H83" s="4" t="inlineStr">
        <is>
          <t>核心</t>
        </is>
      </c>
      <c r="I83" s="5" t="inlineStr">
        <is>
          <t>公司真实产品包括半导体制程工艺废气治理、化学品供应与回收等绿色厂务系统，以及相关装备和核心零部件，直接服务晶圆制造等高科技厂房，不是泛环保设备，也不是刻蚀、沉积等晶圆工艺主机。2025年营业收入11.2563亿元，其中集成电路行业收入6.6959亿元、占59.49%，半导体显示收入4.2300亿元、占37.58%；按产品列示的绿色厂务收入7.6480亿元、设备及零部件3.0896亿元、电子化学品0.4949亿元，这些不同维度不可交叉相加，也不能把显示行业收入全部算作集成电路。集成电路已成为最大行业收入来源，故由相关上调为核心；旧泛称“半导体设备”纠正为“半导体设备-洁净与厂务设备”，不扩成前道工艺设备。</t>
        </is>
      </c>
      <c r="J83" s="4" t="inlineStr">
        <is>
          <t>盛剑科技2025年年度报告</t>
        </is>
      </c>
      <c r="K83" s="4" t="inlineStr">
        <is>
          <t>2026-04-23</t>
        </is>
      </c>
      <c r="L83" s="5" t="inlineStr">
        <is>
          <t>iFinD ifind_get_stock_info + ifind_get_stock_business_segmentation (as of 2026-10-27)；盛剑科技2025年年度报告</t>
        </is>
      </c>
      <c r="M83" s="6" t="inlineStr">
        <is>
          <t>https://money.finance.sina.com.cn/corp/view/vCB_AllBulletinDetail.php?stockid=603324&amp;id=12147546</t>
        </is>
      </c>
    </row>
    <row r="84" ht="104" customHeight="1">
      <c r="B84" s="7" t="inlineStr">
        <is>
          <t>603601</t>
        </is>
      </c>
      <c r="C84" s="7" t="inlineStr">
        <is>
          <t>再升科技</t>
        </is>
      </c>
      <c r="D84" s="8" t="inlineStr">
        <is>
          <t>半导体：半导体洁净室、半导体设备</t>
        </is>
      </c>
      <c r="E84" s="7" t="inlineStr">
        <is>
          <t>纠错</t>
        </is>
      </c>
      <c r="F84" s="7" t="inlineStr">
        <is>
          <t>半导体</t>
        </is>
      </c>
      <c r="G84" s="8" t="inlineStr">
        <is>
          <t>半导体设备-洁净与厂务设备</t>
        </is>
      </c>
      <c r="H84" s="7" t="inlineStr">
        <is>
          <t>相关</t>
        </is>
      </c>
      <c r="I84" s="8" t="inlineStr">
        <is>
          <t>公司真实产品是微纤维玻璃棉衍生的干净空气材料、无尘空调和高效节能材料，高效过滤材料及净化设备可以服务半导体洁净环境，但其应用还覆盖医疗、公共建筑、工业和航空等领域，不能把所有滤材收入都归入半导体，也不能据此认定公司从事洁净室总包工程或晶圆制造工艺设备。2025年营业收入12.7451亿元，其中干净空气材料4.3641亿元、占34.24%，无尘空调1.4377亿元、占11.28%，高效节能材料6.7058亿元、占52.61%；半导体应用收入未独立拆分，上述三项也不是可重复相加的半导体专属口径。因此仅维持相关，旧“半导体洁净室”和泛“半导体设备”统一纠正为“半导体设备-洁净与厂务设备”，明确其边界是净化材料及厂务配套，而非工程总包或前道设备。</t>
        </is>
      </c>
      <c r="J84" s="7" t="inlineStr">
        <is>
          <t>再升科技2025年年度报告</t>
        </is>
      </c>
      <c r="K84" s="7" t="inlineStr">
        <is>
          <t>2026-04-23</t>
        </is>
      </c>
      <c r="L84" s="8" t="inlineStr">
        <is>
          <t>iFinD ifind_get_stock_info + ifind_get_stock_business_segmentation (as of 2026-10-27)；再升科技2025年年度报告</t>
        </is>
      </c>
      <c r="M84" s="9" t="inlineStr">
        <is>
          <t>https://vip.stock.finance.sina.com.cn/corp/view/vCB_AllBulletinDetail.php?stockid=603601&amp;id=12151590</t>
        </is>
      </c>
    </row>
    <row r="85" ht="104" customHeight="1">
      <c r="B85" s="4" t="inlineStr">
        <is>
          <t>603650</t>
        </is>
      </c>
      <c r="C85" s="4" t="inlineStr">
        <is>
          <t>彤程新材</t>
        </is>
      </c>
      <c r="D85" s="5" t="inlineStr">
        <is>
          <t>半导体：半导体材料</t>
        </is>
      </c>
      <c r="E85" s="4" t="inlineStr">
        <is>
          <t>纠错</t>
        </is>
      </c>
      <c r="F85" s="4" t="inlineStr">
        <is>
          <t>半导体</t>
        </is>
      </c>
      <c r="G85" s="5" t="inlineStr">
        <is>
          <t>半导体材料-光刻胶与配套试剂、半导体材料-CMP材料</t>
        </is>
      </c>
      <c r="H85" s="4" t="inlineStr">
        <is>
          <t>相关</t>
        </is>
      </c>
      <c r="I85" s="5" t="inlineStr">
        <is>
          <t>公司真实半导体相关产品包括光刻胶、电子级溶剂与EBR等配套试剂，以及CMP抛光垫等材料，已形成电子材料业务，而非仅凭橡胶化学品向晶圆厂作潜在用途推演。2025年营业收入34.2881亿元，其中电子材料行业收入9.8562亿元、占28.75%，自产电子材料收入9.2153亿元、占26.88%，橡胶助剂收入23.2041亿元、占67.67%；电子材料还包含显示等其他下游，自产与行业口径存在包含关系，均不能全部视为半导体光刻胶或CMP收入，具体半导体品类收入亦未完全独立拆分。由于材料业务真实但橡胶助剂仍占主导，维持相关而非核心；旧泛“半导体材料”细化纠正为“半导体材料-光刻胶与配套试剂”和“半导体材料-CMP材料”，不将其他电子材料混入。</t>
        </is>
      </c>
      <c r="J85" s="4" t="inlineStr">
        <is>
          <t>彤程新材2025年年度报告</t>
        </is>
      </c>
      <c r="K85" s="4" t="inlineStr">
        <is>
          <t>2026-04-18</t>
        </is>
      </c>
      <c r="L85" s="5" t="inlineStr">
        <is>
          <t>iFinD ifind_get_stock_info + ifind_get_stock_business_segmentation (as of 2026-10-27)；彤程新材2025年年度报告</t>
        </is>
      </c>
      <c r="M85" s="6" t="inlineStr">
        <is>
          <t>https://money.finance.sina.com.cn/corp/view/vCB_AllBulletinDetail.php?stockid=603650&amp;id=12105222</t>
        </is>
      </c>
    </row>
    <row r="86" ht="104" customHeight="1">
      <c r="B86" s="7" t="inlineStr">
        <is>
          <t>603690</t>
        </is>
      </c>
      <c r="C86" s="7" t="inlineStr">
        <is>
          <t>至纯科技</t>
        </is>
      </c>
      <c r="D86" s="8" t="inlineStr">
        <is>
          <t>半导体：半导体设备-前道</t>
        </is>
      </c>
      <c r="E86" s="7" t="inlineStr">
        <is>
          <t>纠错</t>
        </is>
      </c>
      <c r="F86" s="7" t="inlineStr">
        <is>
          <t>半导体</t>
        </is>
      </c>
      <c r="G86" s="8" t="inlineStr">
        <is>
          <t>半导体设备-清洗、半导体设备-洁净与厂务设备</t>
        </is>
      </c>
      <c r="H86" s="7" t="inlineStr">
        <is>
          <t>核心</t>
        </is>
      </c>
      <c r="I86" s="8" t="inlineStr">
        <is>
          <t>公司真实业务由湿法清洗等半导体制程设备、高纯工艺系统与厂务系统集成、电子材料及服务构成，其中清洗机台直接用于晶圆湿法处理，高纯化学品和气体供应系统则属于洁净厂务边界，两者不能混称同一种前道主机。2025年营业收入28.5456亿元，其中泛半导体行业收入26.4356亿元、占92.61%；系统集成收入22.9336亿元、占80.34%，半导体设备收入2.8570亿元、占10.01%，电子材料收入2.6887亿元、占9.42%。泛半导体仍可能含显示等下游，不能全部等同于集成电路；各产品收入也不能重复归入湿法设备。泛半导体业务已占绝对主导，维持核心；旧“半导体设备-前道”过宽，现细化为“半导体设备-清洗”和“半导体设备-洁净与厂务设备”。</t>
        </is>
      </c>
      <c r="J86" s="7" t="inlineStr">
        <is>
          <t>至纯科技2025年年度报告</t>
        </is>
      </c>
      <c r="K86" s="7" t="inlineStr">
        <is>
          <t>2026-04-30</t>
        </is>
      </c>
      <c r="L86" s="8" t="inlineStr">
        <is>
          <t>iFinD ifind_get_stock_info + ifind_get_stock_business_segmentation (as of 2026-10-27)；至纯科技2025年年度报告</t>
        </is>
      </c>
      <c r="M86" s="9" t="inlineStr">
        <is>
          <t>https://static.cninfo.com.cn/finalpage/2026-04-30/1225267363.PDF</t>
        </is>
      </c>
    </row>
    <row r="87" ht="104" customHeight="1">
      <c r="B87" s="4" t="inlineStr">
        <is>
          <t>603893</t>
        </is>
      </c>
      <c r="C87" s="4" t="inlineStr">
        <is>
          <t>瑞芯微</t>
        </is>
      </c>
      <c r="D87" s="5" t="inlineStr">
        <is>
          <t>半导体：端侧AI芯片</t>
        </is>
      </c>
      <c r="E87" s="4" t="inlineStr">
        <is>
          <t>纠错</t>
        </is>
      </c>
      <c r="F87" s="4" t="inlineStr">
        <is>
          <t>半导体</t>
        </is>
      </c>
      <c r="G87" s="5" t="inlineStr">
        <is>
          <t>芯片设计-SoC与端侧AI</t>
        </is>
      </c>
      <c r="H87" s="4" t="inlineStr">
        <is>
          <t>核心</t>
        </is>
      </c>
      <c r="I87" s="5" t="inlineStr">
        <is>
          <t>公司真实产品是智能应用处理器SoC及数模混合等配套芯片，SoC集成中央处理、图形、多媒体及不同规格的人工智能加速能力，广泛进入智能硬件和物联网终端，属于自主芯片设计收入，而不是采购芯片后销售通用模组。2025年营业收入44.0209亿元，其中集成电路行业收入44.0138亿元、占99.98%，智能应用处理器收入39.2714亿元、占89.21%，数模混合芯片收入3.6034亿元、占8.19%；应用处理器具备端侧AI能力并不意味着其全部销售额都可单独拆成AI收入，配套芯片也不能重复归入SoC。集成电路与主产品均构成规模化绝对主营，维持核心；旧“端侧AI芯片”范围偏窄且非标准名，现纠正为“芯片设计-SoC与端侧AI”。</t>
        </is>
      </c>
      <c r="J87" s="4" t="inlineStr">
        <is>
          <t>瑞芯微2025年年度报告</t>
        </is>
      </c>
      <c r="K87" s="4" t="inlineStr">
        <is>
          <t>2026-04-15</t>
        </is>
      </c>
      <c r="L87" s="5" t="inlineStr">
        <is>
          <t>iFinD ifind_get_stock_info + ifind_get_stock_business_segmentation (as of 2026-10-27)；瑞芯微2025年年度报告</t>
        </is>
      </c>
      <c r="M87" s="6" t="inlineStr">
        <is>
          <t>https://stockmc.xueqiu.com/202604/603893_20260415_5VW5.pdf</t>
        </is>
      </c>
    </row>
    <row r="88" ht="104" customHeight="1">
      <c r="B88" s="7" t="inlineStr">
        <is>
          <t>603929</t>
        </is>
      </c>
      <c r="C88" s="7" t="inlineStr">
        <is>
          <t>亚翔集成</t>
        </is>
      </c>
      <c r="D88" s="8" t="inlineStr">
        <is>
          <t>半导体：半导体洁净室</t>
        </is>
      </c>
      <c r="E88" s="7" t="inlineStr">
        <is>
          <t>纠错</t>
        </is>
      </c>
      <c r="F88" s="7" t="inlineStr">
        <is>
          <t>半导体</t>
        </is>
      </c>
      <c r="G88" s="8" t="inlineStr">
        <is>
          <t>洁净室与厂务工程</t>
        </is>
      </c>
      <c r="H88" s="7" t="inlineStr">
        <is>
          <t>核心</t>
        </is>
      </c>
      <c r="I88" s="8" t="inlineStr">
        <is>
          <t>公司真实业务是面向IC半导体、光电等高科技电子厂房的洁净室、机电和建筑系统集成，具备洁净厂房规划设计、环境控制、设备配置及维护等项目能力，属于厂务工程实施方，不是洁净材料生产商或晶圆工艺设备商。2025年营业收入49.065358亿元；主营业务分行业合计48.718485亿元，其中电子行业收入48.165642亿元，占主营业务收入98.87%，其他行业收入0.552844亿元；另有其他业务收入0.346872亿元。按产品看，工程施工收入47.466946亿元，占营业收入96.74%，设备销售收入1.251540亿元，占2.55%。电子行业还包括光电等项目，不能全部拆成半导体收入，主营业务与营业收入分母也不得混用。电子高科技厂务工程构成绝对主营且公司具有半导体项目经验，维持核心和洁净室与厂务工程概念；初审约48.5118亿元及工程施工占97.85%的口径表述予以更正。</t>
        </is>
      </c>
      <c r="J88" s="7" t="inlineStr">
        <is>
          <t>亚翔系统集成科技（苏州）股份有限公司2025年年度报告</t>
        </is>
      </c>
      <c r="K88" s="7" t="inlineStr">
        <is>
          <t>2026-03-13</t>
        </is>
      </c>
      <c r="L88" s="8" t="inlineStr">
        <is>
          <t>iFinD ifind_get_stock_info + ifind_get_stock_business_segmentation (as of 2026-10-27)；亚翔系统集成科技（苏州）股份有限公司2025年年度报告</t>
        </is>
      </c>
      <c r="M88" s="9" t="inlineStr">
        <is>
          <t>http://money.finance.sina.com.cn/corp/view/vCB_AllBulletinDetail.php?stockid=603929&amp;id=11992570</t>
        </is>
      </c>
    </row>
    <row r="89" ht="104" customHeight="1">
      <c r="B89" s="4" t="inlineStr">
        <is>
          <t>603931</t>
        </is>
      </c>
      <c r="C89" s="4" t="inlineStr">
        <is>
          <t>格林达</t>
        </is>
      </c>
      <c r="D89" s="5" t="inlineStr">
        <is>
          <t>半导体：半导体材料</t>
        </is>
      </c>
      <c r="E89" s="4" t="inlineStr">
        <is>
          <t>纠错</t>
        </is>
      </c>
      <c r="F89" s="4" t="inlineStr">
        <is>
          <t>半导体</t>
        </is>
      </c>
      <c r="G89" s="5" t="inlineStr">
        <is>
          <t>半导体材料-电子特气与湿化学品、半导体材料-光刻胶与配套试剂</t>
        </is>
      </c>
      <c r="H89" s="4" t="inlineStr">
        <is>
          <t>相关</t>
        </is>
      </c>
      <c r="I89" s="5" t="inlineStr">
        <is>
          <t>公司真实产品是显影液、蚀刻液、剥离液等超净高纯功能湿电子化学品，既用于显示面板，也可用于半导体及其他电子制造环节。年报进一步明确先进半导体材料包括光刻胶配套高纯显影液，半导体用显影液和稀释液已在功率器件企业稳定量供，因此除电子特气与湿化学品外，还应补充半导体材料-光刻胶与配套试剂。2025年营业收入6.258488亿元，其中显示面板行业收入5.662538亿元，占90.48%，半导体及其他行业收入0.584051亿元，占9.33%；后者仍混合其他行业，不能全部视为半导体专属收入。半导体业务真实但占比较低，维持相关，不恢复核心；新增概念只对应已披露的光刻胶配套试剂，不把显示面板材料收入并入半导体。</t>
        </is>
      </c>
      <c r="J89" s="4" t="inlineStr">
        <is>
          <t>格林达2025年年度报告</t>
        </is>
      </c>
      <c r="K89" s="4" t="inlineStr">
        <is>
          <t>2026-04-25</t>
        </is>
      </c>
      <c r="L89" s="5" t="inlineStr">
        <is>
          <t>iFinD ifind_get_stock_info + ifind_get_stock_business_segmentation (as of 2026-10-27)；格林达2025年年度报告</t>
        </is>
      </c>
      <c r="M89" s="6" t="inlineStr">
        <is>
          <t>http://file.finance.sina.com.cn/211.154.219.97:9494/MRGG/CNSESH_STOCK/2026/2026-4/2026-04-25/12188908.PDF</t>
        </is>
      </c>
    </row>
    <row r="90" ht="104" customHeight="1">
      <c r="B90" s="7" t="inlineStr">
        <is>
          <t>603938</t>
        </is>
      </c>
      <c r="C90" s="7" t="inlineStr">
        <is>
          <t>三孚股份</t>
        </is>
      </c>
      <c r="D90" s="8" t="inlineStr">
        <is>
          <t>半导体：半导体材料</t>
        </is>
      </c>
      <c r="E90" s="7" t="inlineStr">
        <is>
          <t>纠错</t>
        </is>
      </c>
      <c r="F90" s="7" t="inlineStr">
        <is>
          <t>半导体</t>
        </is>
      </c>
      <c r="G90" s="8" t="inlineStr">
        <is>
          <t>半导体材料-电子特气与湿化学品</t>
        </is>
      </c>
      <c r="H90" s="7" t="inlineStr">
        <is>
          <t>相关</t>
        </is>
      </c>
      <c r="I90" s="8" t="inlineStr">
        <is>
          <t>公司真实产品覆盖三氯氢硅、四氯化硅、氢氧化钾、硫酸钾及硅烷偶联剂等化工品，其中电子级二氯二氢硅、电子级三氯氢硅和电子级四氯化硅可进入半导体制造，属于已有明确电子级产品的材料延伸，而非把普通工业硅化物全部视为芯片材料。2025年营业收入20.9697亿元，其中钾系列收入11.7818亿元、占56.18%，硅烷偶联剂收入5.5617亿元、占26.52%，硅系列收入2.9849亿元、占14.24%；电子级产品收入未独立拆分，硅系列还包含非电子级和非半导体用途，不能整项归入半导体。由于真实电子级材料存在但规模无法辨认且传统化工占主导，维持相关；旧泛“半导体材料”纠正为“半导体材料-电子特气与湿化学品”，不据此提升核心。</t>
        </is>
      </c>
      <c r="J90" s="7" t="inlineStr">
        <is>
          <t>三孚股份2025年年度报告</t>
        </is>
      </c>
      <c r="K90" s="7" t="inlineStr">
        <is>
          <t>2026-04-16</t>
        </is>
      </c>
      <c r="L90" s="8" t="inlineStr">
        <is>
          <t>iFinD ifind_get_stock_info + ifind_get_stock_business_segmentation (as of 2026-10-27)；三孚股份2025年年度报告</t>
        </is>
      </c>
      <c r="M90" s="9" t="inlineStr">
        <is>
          <t>https://money.finance.sina.com.cn/corp/view/vCB_AllBulletinDetail.php?stockid=603938&amp;id=12094122</t>
        </is>
      </c>
    </row>
    <row r="91" ht="104" customHeight="1">
      <c r="B91" s="4" t="inlineStr">
        <is>
          <t>603986</t>
        </is>
      </c>
      <c r="C91" s="4" t="inlineStr">
        <is>
          <t>兆易创新</t>
        </is>
      </c>
      <c r="D91" s="5" t="inlineStr">
        <is>
          <t>半导体：存储芯片-NOR Flash</t>
        </is>
      </c>
      <c r="E91" s="4" t="inlineStr">
        <is>
          <t>纠错</t>
        </is>
      </c>
      <c r="F91" s="4" t="inlineStr">
        <is>
          <t>半导体</t>
        </is>
      </c>
      <c r="G91" s="5" t="inlineStr">
        <is>
          <t>芯片设计-存储芯片、芯片设计-MCU与嵌入式、芯片设计-模拟与电源管理</t>
        </is>
      </c>
      <c r="H91" s="4" t="inlineStr">
        <is>
          <t>核心</t>
        </is>
      </c>
      <c r="I91" s="5" t="inlineStr">
        <is>
          <t>公司真实产品包括NOR Flash、SLC NAND、利基型DRAM等存储器，以及MCU、传感器和模拟芯片，均采用自主芯片研发设计并形成规模化销售，不能仅因NOR Flash知名度高就忽略其他已披露产品线。2025年营业收入92.0346亿元，其中存储芯片收入65.6594亿元、占71.34%，MCU收入19.0990亿元、占20.75%，传感器收入3.8935亿元、占4.23%，模拟芯片收入3.3284亿元、占3.62%；各产品口径可以区分，但存储收入不能再全部称为NOR，也不能把模组或终端市场收入重复算入芯片。存储为最大收入来源且其余芯片线协同构成主营，维持核心；旧“存储芯片-NOR Flash”纠正为“芯片设计-存储芯片”，并补充“芯片设计-MCU与嵌入式”和“芯片设计-模拟与电源管理”。</t>
        </is>
      </c>
      <c r="J91" s="4" t="inlineStr">
        <is>
          <t>兆易创新2025年年度报告</t>
        </is>
      </c>
      <c r="K91" s="4" t="inlineStr">
        <is>
          <t>2026-03-30</t>
        </is>
      </c>
      <c r="L91" s="5" t="inlineStr">
        <is>
          <t>iFinD ifind_get_stock_info + ifind_get_stock_business_segmentation (as of 2026-10-27)；兆易创新2025年年度报告</t>
        </is>
      </c>
      <c r="M91" s="6" t="inlineStr">
        <is>
          <t>https://pdf.dfcfw.com/pdf/H2_AN202603301820872848_1.pdf?t=1786463335931</t>
        </is>
      </c>
    </row>
    <row r="92" ht="104" customHeight="1">
      <c r="B92" s="7" t="inlineStr">
        <is>
          <t>605111</t>
        </is>
      </c>
      <c r="C92" s="7" t="inlineStr">
        <is>
          <t>新洁能</t>
        </is>
      </c>
      <c r="D92" s="8" t="inlineStr">
        <is>
          <t>半导体：功率半导体</t>
        </is>
      </c>
      <c r="E92" s="7" t="inlineStr">
        <is>
          <t>纠错</t>
        </is>
      </c>
      <c r="F92" s="7" t="inlineStr">
        <is>
          <t>半导体</t>
        </is>
      </c>
      <c r="G92" s="8" t="inlineStr">
        <is>
          <t>芯片设计-功率半导体</t>
        </is>
      </c>
      <c r="H92" s="7" t="inlineStr">
        <is>
          <t>核心</t>
        </is>
      </c>
      <c r="I92" s="8" t="inlineStr">
        <is>
          <t>公司真实产品是MOSFET、IGBT、SiC和GaN等功率器件、芯片及模块，面向汽车电子、工业控制、新能源与消费电子等场景，核心身份是功率半导体研发设计和销售企业，而不是一般电子元器件分销或下游电源整机厂。2025年营业收入18.7707亿元，其中功率器件收入18.1998亿元、占96.96%，芯片收入0.4966亿元、占2.65%；器件与芯片为不同产品口径，不能重复累加，也不能把汽车或新能源下游行业规模当成本公司半导体收入，具体各技术路线销售额亦未完整拆分。功率半导体产品收入接近全部主营，具有明确规模化核心业务属性，维持核心；旧“功率半导体”语义无误但不是白名单标准名称，现规范为“芯片设计-功率半导体”，不额外扩展到非功率芯片概念。</t>
        </is>
      </c>
      <c r="J92" s="7" t="inlineStr">
        <is>
          <t>新洁能2025年年度报告</t>
        </is>
      </c>
      <c r="K92" s="7" t="inlineStr">
        <is>
          <t>2026-03-27</t>
        </is>
      </c>
      <c r="L92" s="8" t="inlineStr">
        <is>
          <t>iFinD ifind_get_stock_info + ifind_get_stock_business_segmentation (as of 2026-10-27)；新洁能2025年年度报告</t>
        </is>
      </c>
      <c r="M92" s="9" t="inlineStr">
        <is>
          <t>http://money.finance.sina.com.cn/corp/view/vCB_AllBulletinDetail.php?stockid=605111&amp;id=12023644</t>
        </is>
      </c>
    </row>
    <row r="93" ht="104" customHeight="1">
      <c r="B93" s="4" t="inlineStr">
        <is>
          <t>605358</t>
        </is>
      </c>
      <c r="C93" s="4" t="inlineStr">
        <is>
          <t>立昂微</t>
        </is>
      </c>
      <c r="D93" s="5" t="inlineStr">
        <is>
          <t>半导体：功率半导体</t>
        </is>
      </c>
      <c r="E93" s="4" t="inlineStr">
        <is>
          <t>纠错</t>
        </is>
      </c>
      <c r="F93" s="4" t="inlineStr">
        <is>
          <t>半导体</t>
        </is>
      </c>
      <c r="G93" s="5" t="inlineStr">
        <is>
          <t>半导体材料-硅片与硅部件、芯片设计-功率半导体、芯片设计-射频与通信芯片</t>
        </is>
      </c>
      <c r="H93" s="4" t="inlineStr">
        <is>
          <t>核心</t>
        </is>
      </c>
      <c r="I93" s="5" t="inlineStr">
        <is>
          <t>公司真实业务覆盖半导体硅片、功率器件芯片及器件、化合物半导体射频和光电产品，是硅材料与器件协同的规模化半导体主营企业，不能只保留功率器件而忽略最大收入来源硅片。2025年营业收入35.9092亿元，其中半导体主营业务收入35.5131亿元、占98.90%；硅片收入23.8454亿元、占66.40%，功率器件收入8.3932亿元、占23.37%，化合物射频及光电收入3.2744亿元、占9.12%。年报经营讨论中的内部口径与分部口径不可混用，化合物收入也不能全部等同于单一射频芯片。半导体主营占绝对多数，旧相关定级明显偏低，应上调为核心；旧单一“功率半导体”纠正并补充为“半导体材料-硅片与硅部件”“芯片设计-功率半导体”和“芯片设计-射频与通信芯片”。</t>
        </is>
      </c>
      <c r="J93" s="4" t="inlineStr">
        <is>
          <t>立昂微2025年年度报告</t>
        </is>
      </c>
      <c r="K93" s="4" t="inlineStr">
        <is>
          <t>2026-04-28</t>
        </is>
      </c>
      <c r="L93" s="5" t="inlineStr">
        <is>
          <t>iFinD ifind_get_stock_info + ifind_get_stock_business_segmentation (as of 2026-10-27)；立昂微2025年年度报告</t>
        </is>
      </c>
      <c r="M93" s="6" t="inlineStr">
        <is>
          <t>http://file.finance.sina.com.cn/211.154.219.97:9494/MRGG/CNSESH_STOCK/2026/2026-4/2026-04-28/12224258.PDF</t>
        </is>
      </c>
    </row>
    <row r="94" ht="104" customHeight="1">
      <c r="B94" s="7" t="inlineStr">
        <is>
          <t>688008</t>
        </is>
      </c>
      <c r="C94" s="7" t="inlineStr">
        <is>
          <t>澜起科技</t>
        </is>
      </c>
      <c r="D94" s="8" t="inlineStr">
        <is>
          <t>半导体：存储接口</t>
        </is>
      </c>
      <c r="E94" s="7" t="inlineStr">
        <is>
          <t>纠错</t>
        </is>
      </c>
      <c r="F94" s="7" t="inlineStr">
        <is>
          <t>半导体</t>
        </is>
      </c>
      <c r="G94" s="8" t="inlineStr">
        <is>
          <t>芯片设计-存储主控与接口</t>
        </is>
      </c>
      <c r="H94" s="7" t="inlineStr">
        <is>
          <t>核心</t>
        </is>
      </c>
      <c r="I94" s="8" t="inlineStr">
        <is>
          <t>公司真实产品是DDR内存接口芯片、内存模组配套芯片以及PCIe、CXL等高速互连芯片，同时保留津逮服务器平台业务；其核心价值是存储系统与计算平台之间的接口和互连，不是生产DRAM或NAND存储晶圆，也不是存储模组组装。2025年营业收入54.5633亿元，其中互连类芯片收入51.3853亿元、占94.17%，津逮服务器平台收入3.0823亿元、占5.65%；互连类包含多个产品系列，不能全部拆成某一种内存接口或AI芯片收入，津逮平台也不能与芯片收入混同。互连芯片已形成绝对规模化主营，维持核心；旧“存储接口”虽指向真实业务但名称不规范，现纠正为“芯片设计-存储主控与接口”，不错误改挂“芯片设计-存储芯片”。</t>
        </is>
      </c>
      <c r="J94" s="7" t="inlineStr">
        <is>
          <t>澜起科技2025年度暨2026第一季度业绩说明会</t>
        </is>
      </c>
      <c r="K94" s="7" t="inlineStr">
        <is>
          <t>2026-05-14</t>
        </is>
      </c>
      <c r="L94" s="8" t="inlineStr">
        <is>
          <t>iFinD ifind_get_stock_info + ifind_get_stock_business_segmentation (as of 2026-10-27)；澜起科技2025年度暨2026第一季度业绩说明会</t>
        </is>
      </c>
      <c r="M94" s="9" t="inlineStr">
        <is>
          <t>https://roadshow.sseinfo.com/stayTuned/38478</t>
        </is>
      </c>
    </row>
    <row r="95" ht="104" customHeight="1">
      <c r="B95" s="4" t="inlineStr">
        <is>
          <t>688012</t>
        </is>
      </c>
      <c r="C95" s="4" t="inlineStr">
        <is>
          <t>中微公司</t>
        </is>
      </c>
      <c r="D95" s="5" t="inlineStr">
        <is>
          <t>半导体：半导体设备-前道</t>
        </is>
      </c>
      <c r="E95" s="4" t="inlineStr">
        <is>
          <t>纠错</t>
        </is>
      </c>
      <c r="F95" s="4" t="inlineStr">
        <is>
          <t>半导体</t>
        </is>
      </c>
      <c r="G95" s="5" t="inlineStr">
        <is>
          <t>半导体设备-刻蚀、半导体设备-薄膜沉积</t>
        </is>
      </c>
      <c r="H95" s="4" t="inlineStr">
        <is>
          <t>核心</t>
        </is>
      </c>
      <c r="I95" s="5" t="inlineStr">
        <is>
          <t>公司真实产品是用于集成电路和泛半导体制造的等离子体刻蚀设备、MOCVD设备以及LPCVD等薄膜沉积设备，其中刻蚀机台已形成大规模收入，薄膜设备也已实现销售，属于晶圆制造关键工艺设备供应商。2025年营业收入123.8464亿元，半导体设备业务占比100%；刻蚀设备收入约98.3亿元、占79.37%，LPCVD设备收入约5.1亿元、占4.12%。其余设备收入不能全部归入刻蚀，MOCVD与LPCVD的应用和分类也需区分，未披露的具体机台销售额不可自行拆分。半导体设备构成全部主营且核心产品规模化，维持核心；旧“半导体设备-前道”过于笼统，现细化为“半导体设备-刻蚀”和“半导体设备-薄膜沉积”，不以泛前道标签掩盖产品结构。</t>
        </is>
      </c>
      <c r="J95" s="4" t="inlineStr">
        <is>
          <t>中微公司2025年年度报告摘要</t>
        </is>
      </c>
      <c r="K95" s="4" t="inlineStr">
        <is>
          <t>2026-03-31</t>
        </is>
      </c>
      <c r="L95" s="5" t="inlineStr">
        <is>
          <t>iFinD ifind_get_stock_info + ifind_get_stock_business_segmentation (as of 2026-10-27)；中微公司2025年年度报告摘要</t>
        </is>
      </c>
      <c r="M95" s="6" t="inlineStr">
        <is>
          <t>https://static.cninfo.com.cn/finalpage/2026-03-31/1225062430.PDF</t>
        </is>
      </c>
    </row>
    <row r="96" ht="104" customHeight="1">
      <c r="B96" s="7" t="inlineStr">
        <is>
          <t>688018</t>
        </is>
      </c>
      <c r="C96" s="7" t="inlineStr">
        <is>
          <t>乐鑫科技</t>
        </is>
      </c>
      <c r="D96" s="8" t="inlineStr">
        <is>
          <t>半导体：端侧AI芯片</t>
        </is>
      </c>
      <c r="E96" s="7" t="inlineStr">
        <is>
          <t>纠错</t>
        </is>
      </c>
      <c r="F96" s="7" t="inlineStr">
        <is>
          <t>半导体</t>
        </is>
      </c>
      <c r="G96" s="8" t="inlineStr">
        <is>
          <t>芯片设计-SoC与端侧AI</t>
        </is>
      </c>
      <c r="H96" s="7" t="inlineStr">
        <is>
          <t>核心</t>
        </is>
      </c>
      <c r="I96" s="8" t="inlineStr">
        <is>
          <t>公司真实产品是Wi-Fi、蓝牙等无线连接与嵌入式计算相结合的SoC、MCU及其模组和开发套件，芯片由公司自主设计，部分产品集成端侧人工智能处理能力；模组业务使用自研芯片并提供软硬件生态，不能与第三方芯片模组商简单类比。2025年营业收入25.6528亿元，其中芯片收入9.8006亿元、占38.21%，模组及开发套件收入15.6903亿元、占61.16%，集成电路行业收入接近100%；模组中包含自研芯片价值，不能再把同一价值重复拆成独立芯片销售，也不能把所有芯片和模组收入都称为端侧AI收入。公司整体围绕自主物联网芯片形成规模化主营，维持核心；旧“端侧AI芯片”过窄，现按真实产品纠正为“芯片设计-SoC与端侧AI”。</t>
        </is>
      </c>
      <c r="J96" s="7" t="inlineStr">
        <is>
          <t>乐鑫科技2025年年度报告</t>
        </is>
      </c>
      <c r="K96" s="7" t="inlineStr">
        <is>
          <t>2026-03-21</t>
        </is>
      </c>
      <c r="L96" s="8" t="inlineStr">
        <is>
          <t>iFinD ifind_get_stock_info + ifind_get_stock_business_segmentation (as of 2026-10-27)；乐鑫科技2025年年度报告</t>
        </is>
      </c>
      <c r="M96" s="9" t="inlineStr">
        <is>
          <t>https://stockmc.xueqiu.com/202603/688018_20260321_Z56Q.pdf</t>
        </is>
      </c>
    </row>
    <row r="97" ht="104" customHeight="1">
      <c r="B97" s="4" t="inlineStr">
        <is>
          <t>688019</t>
        </is>
      </c>
      <c r="C97" s="4" t="inlineStr">
        <is>
          <t>安集科技</t>
        </is>
      </c>
      <c r="D97" s="5" t="inlineStr">
        <is>
          <t>半导体：半导体材料</t>
        </is>
      </c>
      <c r="E97" s="4" t="inlineStr">
        <is>
          <t>纠错</t>
        </is>
      </c>
      <c r="F97" s="4" t="inlineStr">
        <is>
          <t>半导体</t>
        </is>
      </c>
      <c r="G97" s="5" t="inlineStr">
        <is>
          <t>半导体材料-CMP材料、半导体材料-电子特气与湿化学品</t>
        </is>
      </c>
      <c r="H97" s="4" t="inlineStr">
        <is>
          <t>核心</t>
        </is>
      </c>
      <c r="I97" s="5" t="inlineStr">
        <is>
          <t>公司真实产品是化学机械抛光液和功能性湿电子化学品，前者覆盖不同材料层的晶圆平坦化工艺，后者包括清洗液、刻蚀后清洗及光刻胶去除等配套材料，均为直接进入集成电路制造的关键耗材，不是一般化工品的潜在用途。2025年营业收入25.0422亿元，其中集成电路行业收入24.9870亿元、占99.78%；CMP抛光液收入20.3980亿元、占81.45%，功能性湿电子化学品收入4.5286亿元、占18.09%。两类产品口径清晰但不可相互重复计算，也不能把抛光液泛称为全部湿化学品。集成电路材料收入接近全部营收且主力产品规模化，维持核心；旧泛“半导体材料”细化纠正为“半导体材料-CMP材料”和“半导体材料-电子特气与湿化学品”。</t>
        </is>
      </c>
      <c r="J97" s="4" t="inlineStr">
        <is>
          <t>安集科技2025年年度报告</t>
        </is>
      </c>
      <c r="K97" s="4" t="inlineStr">
        <is>
          <t>2026-04-16</t>
        </is>
      </c>
      <c r="L97" s="5" t="inlineStr">
        <is>
          <t>iFinD ifind_get_stock_info + ifind_get_stock_business_segmentation (as of 2026-10-27)；安集科技2025年年度报告</t>
        </is>
      </c>
      <c r="M97" s="6" t="inlineStr">
        <is>
          <t>http://static.cninfo.com.cn/finalpage/2026-04-16/1225108553.PDF</t>
        </is>
      </c>
    </row>
    <row r="98" ht="104" customHeight="1">
      <c r="B98" s="7" t="inlineStr">
        <is>
          <t>688037</t>
        </is>
      </c>
      <c r="C98" s="7" t="inlineStr">
        <is>
          <t>芯源微</t>
        </is>
      </c>
      <c r="D98" s="8" t="inlineStr">
        <is>
          <t>半导体：半导体设备-前道</t>
        </is>
      </c>
      <c r="E98" s="7" t="inlineStr">
        <is>
          <t>纠错</t>
        </is>
      </c>
      <c r="F98" s="7" t="inlineStr">
        <is>
          <t>半导体</t>
        </is>
      </c>
      <c r="G98" s="8" t="inlineStr">
        <is>
          <t>半导体设备-涂胶显影、半导体设备-清洗</t>
        </is>
      </c>
      <c r="H98" s="7" t="inlineStr">
        <is>
          <t>核心</t>
        </is>
      </c>
      <c r="I98" s="8" t="inlineStr">
        <is>
          <t>公司真实产品包括前道涂胶显影机、清洗机以及后道先进封装湿法设备，涂胶显影设备服务光刻工序，清洗和湿法机台服务晶圆及封装处理，均属于半导体专用工艺装备，而不是仅提供厂务系统或通用自动化。2025年营业收入19.4849亿元，其中半导体设备行业收入19.2633亿元、占98.86%，电子工艺装备收入18.7870亿元、占96.42%；电子工艺装备还包含不同工序与前后道产品，年报未将全部收入按具体机台独立拆分，因此不能把该口径全部算成涂胶显影或全部算成清洗。半导体装备已占绝对主营并规模销售，维持核心；旧“半导体设备-前道”既笼统又遗漏后道湿法边界，现纠正为“半导体设备-涂胶显影”和“半导体设备-清洗”。</t>
        </is>
      </c>
      <c r="J98" s="7" t="inlineStr">
        <is>
          <t>芯源微2025年年度报告摘要</t>
        </is>
      </c>
      <c r="K98" s="7" t="inlineStr">
        <is>
          <t>2026-04-18</t>
        </is>
      </c>
      <c r="L98" s="8" t="inlineStr">
        <is>
          <t>iFinD ifind_get_stock_info + ifind_get_stock_business_segmentation (as of 2026-10-27)；芯源微2025年年度报告摘要</t>
        </is>
      </c>
      <c r="M98" s="9" t="inlineStr">
        <is>
          <t>http://big5.sse.com.cn/site/cht/www.sse.com.cn/disclosure/listedinfo/announcement/c/new/2026-04-18/688037_20260418_OATI.pdf</t>
        </is>
      </c>
    </row>
    <row r="99" ht="104" customHeight="1">
      <c r="B99" s="4" t="inlineStr">
        <is>
          <t>688041</t>
        </is>
      </c>
      <c r="C99" s="4" t="inlineStr">
        <is>
          <t>海光信息</t>
        </is>
      </c>
      <c r="D99" s="5" t="inlineStr">
        <is>
          <t>半导体：算力芯片</t>
        </is>
      </c>
      <c r="E99" s="4" t="inlineStr">
        <is>
          <t>纠错</t>
        </is>
      </c>
      <c r="F99" s="4" t="inlineStr">
        <is>
          <t>半导体</t>
        </is>
      </c>
      <c r="G99" s="5" t="inlineStr">
        <is>
          <t>芯片设计-CPU/GPU/AI计算</t>
        </is>
      </c>
      <c r="H99" s="4" t="inlineStr">
        <is>
          <t>核心</t>
        </is>
      </c>
      <c r="I99" s="5" t="inlineStr">
        <is>
          <t>公司真实产品是面向服务器和数据中心的海光CPU与深算DCU等高端处理器，分别承担通用计算和并行加速计算，属于自主处理器研发设计及销售，不是采购芯片后的服务器整机或算力租赁业务。2025年营业收入143.7689亿元，其中高端处理器收入143.6185亿元、占99.90%；CPU和DCU的具体销售结构不能由总口径任意拆分，搭载处理器的下游服务器、集群或算力服务收入也不能重复算成公司芯片收入。高端处理器构成接近全部的规模化主营，且产品直接对应通用与加速计算芯片，维持核心；旧“算力芯片”虽然概括了应用方向，但范围模糊且不是白名单标准名，现纠正为“芯片设计-CPU/GPU/AI计算”，不额外挂接存储、模组或半导体设备概念。</t>
        </is>
      </c>
      <c r="J99" s="4" t="inlineStr">
        <is>
          <t>海光信息2025年年度报告</t>
        </is>
      </c>
      <c r="K99" s="4" t="inlineStr">
        <is>
          <t>2026-04-08</t>
        </is>
      </c>
      <c r="L99" s="5" t="inlineStr">
        <is>
          <t>iFinD ifind_get_stock_info + ifind_get_stock_business_segmentation (as of 2026-10-27)；海光信息2025年年度报告</t>
        </is>
      </c>
      <c r="M99" s="6" t="inlineStr">
        <is>
          <t>https://money.finance.sina.com.cn/corp/view/vCB_AllBulletinDetail.php?stockid=688041&amp;id=12066610</t>
        </is>
      </c>
    </row>
    <row r="100" ht="104" customHeight="1">
      <c r="B100" s="7" t="inlineStr">
        <is>
          <t>688047</t>
        </is>
      </c>
      <c r="C100" s="7" t="inlineStr">
        <is>
          <t>龙芯中科</t>
        </is>
      </c>
      <c r="D100" s="8" t="inlineStr">
        <is>
          <t>半导体：算力芯片</t>
        </is>
      </c>
      <c r="E100" s="7" t="inlineStr">
        <is>
          <t>纠错</t>
        </is>
      </c>
      <c r="F100" s="7" t="inlineStr">
        <is>
          <t>半导体</t>
        </is>
      </c>
      <c r="G100" s="8" t="inlineStr">
        <is>
          <t>芯片设计-CPU/GPU/AI计算</t>
        </is>
      </c>
      <c r="H100" s="7" t="inlineStr">
        <is>
          <t>核心</t>
        </is>
      </c>
      <c r="I100" s="8" t="inlineStr">
        <is>
          <t>公司真实产品是采用自主指令系统的龙芯CPU及配套芯片，并提供基于自研处理器的软硬件解决方案，业务覆盖信息化和工业控制，核心身份是处理器设计企业，而非一般计算机系统集成商。2025年营业收入6.3532亿元，其中信息化芯片收入3.0893亿元、占48.63%，工控芯片收入1.5792亿元、占24.86%，解决方案收入1.6846亿元、占26.51%；解决方案中含软硬件及服务，不能全部视作芯片销售，正在研发的GPGPU等项目也不能提前折算为既有GPU收入。CPU及配套芯片已形成真实主营和规模销售，维持核心；旧“算力芯片”容易把研发方向和现有收入混为一谈，现按已落地产品纠正为“芯片设计-CPU/GPU/AI计算”，理由限定于自主CPU而非虚构GPU营收。</t>
        </is>
      </c>
      <c r="J100" s="7" t="inlineStr">
        <is>
          <t>龙芯中科2025年年度报告</t>
        </is>
      </c>
      <c r="K100" s="7" t="inlineStr">
        <is>
          <t>2026-04-29</t>
        </is>
      </c>
      <c r="L100" s="8" t="inlineStr">
        <is>
          <t>iFinD ifind_get_stock_info + ifind_get_stock_business_segmentation (as of 2026-10-27)；龙芯中科2025年年度报告</t>
        </is>
      </c>
      <c r="M100" s="9" t="inlineStr">
        <is>
          <t>http://money.finance.sina.com.cn/corp/view/vCB_AllBulletinDetail.php?stockid=688047&amp;id=12251002</t>
        </is>
      </c>
    </row>
    <row r="101" ht="104" customHeight="1">
      <c r="B101" s="4" t="inlineStr">
        <is>
          <t>688049</t>
        </is>
      </c>
      <c r="C101" s="4" t="inlineStr">
        <is>
          <t>炬芯科技</t>
        </is>
      </c>
      <c r="D101" s="5" t="inlineStr">
        <is>
          <t>半导体：端侧AI芯片</t>
        </is>
      </c>
      <c r="E101" s="4" t="inlineStr">
        <is>
          <t>纠错</t>
        </is>
      </c>
      <c r="F101" s="4" t="inlineStr">
        <is>
          <t>半导体</t>
        </is>
      </c>
      <c r="G101" s="5" t="inlineStr">
        <is>
          <t>芯片设计-SoC与端侧AI</t>
        </is>
      </c>
      <c r="H101" s="4" t="inlineStr">
        <is>
          <t>核心</t>
        </is>
      </c>
      <c r="I101" s="5" t="inlineStr">
        <is>
          <t>公司真实产品是低功耗蓝牙音频SoC、便携式音视频SoC和端侧AI处理器芯片，主要进入无线音频、智能穿戴及其他低功耗终端，属于自主芯片设计，不是采购主控后的音箱或耳机整机业务。2025年营业收入9.2238亿元，其中蓝牙音频SoC收入6.8239亿元、占73.96%，端侧AI处理器收入1.5748亿元、占17.07%，便携音视频产品收入0.8166亿元、占8.85%；传统音频SoC可带智能功能但不等于全部属于端侧AI，三类口径也不能重复累加。全部产品围绕SoC和端侧处理器形成规模化主营，故维持核心；旧“端侧AI芯片”只覆盖部分产品且会误导全部营收口径，现规范为“芯片设计-SoC与端侧AI”，同时保留端侧AI收入仅占部分的边界。</t>
        </is>
      </c>
      <c r="J101" s="4" t="inlineStr">
        <is>
          <t>炬芯科技2025年年度报告</t>
        </is>
      </c>
      <c r="K101" s="4" t="inlineStr">
        <is>
          <t>2026-03-30</t>
        </is>
      </c>
      <c r="L101" s="5" t="inlineStr">
        <is>
          <t>iFinD ifind_get_stock_info + ifind_get_stock_business_segmentation (as of 2026-10-27)；炬芯科技2025年年度报告</t>
        </is>
      </c>
      <c r="M101" s="6" t="inlineStr">
        <is>
          <t>http://file.finance.sina.com.cn/211.154.219.97:9494/MRGG/CNSESH_STOCK/2026/2026-3/2026-03-30/12034535.PDF</t>
        </is>
      </c>
    </row>
    <row r="102" ht="104" customHeight="1">
      <c r="B102" s="7" t="inlineStr">
        <is>
          <t>688072</t>
        </is>
      </c>
      <c r="C102" s="7" t="inlineStr">
        <is>
          <t>拓荆科技</t>
        </is>
      </c>
      <c r="D102" s="8" t="inlineStr">
        <is>
          <t>半导体：半导体设备-前道</t>
        </is>
      </c>
      <c r="E102" s="7" t="inlineStr">
        <is>
          <t>纠错</t>
        </is>
      </c>
      <c r="F102" s="7" t="inlineStr">
        <is>
          <t>半导体</t>
        </is>
      </c>
      <c r="G102" s="8" t="inlineStr">
        <is>
          <t>半导体设备-薄膜沉积、半导体设备-键合与焊接</t>
        </is>
      </c>
      <c r="H102" s="7" t="inlineStr">
        <is>
          <t>核心</t>
        </is>
      </c>
      <c r="I102" s="8" t="inlineStr">
        <is>
          <t>公司真实产品包括PECVD、ALD、SACVD等薄膜沉积设备，以及用于先进封装的混合键合设备，前者是规模化核心机台，后者已形成实际销售但收入相对较小，两者均直接用于半导体制造而非通用工业设备。2025年营业收入65.1909亿元，其中半导体专用设备收入62.9553亿元、占96.57%；混合键合设备收入1.36亿元、约占2.09%，其余薄膜系列不能因同处前道就相互重复归集，先进封装键合也不能并入薄膜沉积收入计算。专用设备占绝对主营且薄膜产品已规模化，维持核心；旧“半导体设备-前道”过于笼统并遗漏先进封装边界，现细化为“半导体设备-薄膜沉积”和“半导体设备-键合与焊接”，键合标签依据真实销售而非研发储备。</t>
        </is>
      </c>
      <c r="J102" s="7" t="inlineStr">
        <is>
          <t>拓荆科技2025年年度报告</t>
        </is>
      </c>
      <c r="K102" s="7" t="inlineStr">
        <is>
          <t>2026-04-27</t>
        </is>
      </c>
      <c r="L102" s="8" t="inlineStr">
        <is>
          <t>iFinD ifind_get_stock_info + ifind_get_stock_business_segmentation (as of 2026-10-27)；拓荆科技2025年年度报告</t>
        </is>
      </c>
      <c r="M102" s="9" t="inlineStr">
        <is>
          <t>https://pdf.dfcfw.com/pdf/H2_AN202604271821643869_1.pdf</t>
        </is>
      </c>
    </row>
    <row r="103" ht="104" customHeight="1">
      <c r="B103" s="4" t="inlineStr">
        <is>
          <t>688082</t>
        </is>
      </c>
      <c r="C103" s="4" t="inlineStr">
        <is>
          <t>盛美上海</t>
        </is>
      </c>
      <c r="D103" s="5" t="inlineStr">
        <is>
          <t>半导体：半导体设备-前道</t>
        </is>
      </c>
      <c r="E103" s="4" t="inlineStr">
        <is>
          <t>纠错</t>
        </is>
      </c>
      <c r="F103" s="4" t="inlineStr">
        <is>
          <t>半导体</t>
        </is>
      </c>
      <c r="G103" s="5" t="inlineStr">
        <is>
          <t>半导体设备-清洗、半导体设备-其他专用设备</t>
        </is>
      </c>
      <c r="H103" s="4" t="inlineStr">
        <is>
          <t>核心</t>
        </is>
      </c>
      <c r="I103" s="5" t="inlineStr">
        <is>
          <t>公司真实产品以半导体清洗设备为主，同时包括电镀、炉管、无应力抛铜等其他工艺设备以及先进封装湿法设备，产品进入晶圆制造和封装环节，不能只用一个前道标签概括全部业务。2025年营业收入67.8617亿元，其中半导体设备收入65.0365亿元、占95.84%；清洗设备收入45.0592亿元、占66.40%，其他半导体设备收入16.6097亿元、占24.48%，先进封装湿法设备收入3.3676亿元、占4.96%。其他设备还含多种机台，不能全部改称清洗或单独归入某一未披露品类，各项口径也不可重复计算。半导体专用设备已占绝对主营并规模化，维持核心；旧“半导体设备-前道”纠正为“半导体设备-清洗”和“半导体设备-其他专用设备”，保留电镀、炉管及封装湿法的真实边界。</t>
        </is>
      </c>
      <c r="J103" s="4" t="inlineStr">
        <is>
          <t>盛美上海2025年年度报告</t>
        </is>
      </c>
      <c r="K103" s="4" t="inlineStr">
        <is>
          <t>2026-02-27</t>
        </is>
      </c>
      <c r="L103" s="5" t="inlineStr">
        <is>
          <t>iFinD ifind_get_stock_info + ifind_get_stock_business_segmentation (as of 2026-10-27)；盛美上海2025年年度报告</t>
        </is>
      </c>
      <c r="M103" s="6" t="inlineStr">
        <is>
          <t>http://static.cninfo.com.cn/finalpage/2026-02-27/1224986438.PDF</t>
        </is>
      </c>
    </row>
    <row r="104" ht="104" customHeight="1">
      <c r="B104" s="7" t="inlineStr">
        <is>
          <t>688099</t>
        </is>
      </c>
      <c r="C104" s="7" t="inlineStr">
        <is>
          <t>晶晨股份</t>
        </is>
      </c>
      <c r="D104" s="8" t="inlineStr">
        <is>
          <t>半导体：端侧AI芯片</t>
        </is>
      </c>
      <c r="E104" s="7" t="inlineStr">
        <is>
          <t>纠错</t>
        </is>
      </c>
      <c r="F104" s="7" t="inlineStr">
        <is>
          <t>半导体</t>
        </is>
      </c>
      <c r="G104" s="8" t="inlineStr">
        <is>
          <t>芯片设计-SoC与端侧AI</t>
        </is>
      </c>
      <c r="H104" s="7" t="inlineStr">
        <is>
          <t>核心</t>
        </is>
      </c>
      <c r="I104" s="8" t="inlineStr">
        <is>
          <t>公司真实产品是智能多媒体显示SoC、AIoT SoC以及Wi-Fi和蓝牙等通信连接芯片，应用于智能电视、机顶盒、智能音箱和多种物联网终端，属于自主系统级芯片设计，不是终端整机制造或单纯模组组装。2025年营业收入67.9293亿元，其中智能多媒体显示SoC收入49.4876亿元、占72.85%，AIoT SoC收入16.3966亿元、占24.14%，通信连接芯片收入1.9980亿元、占2.94%；多媒体SoC可具备人工智能功能，但不能把全部销售额都改名为端侧AI收入，连接芯片也不能重复并入SoC口径。系统级芯片及配套产品构成规模化绝对主营，维持核心；旧“端侧AI芯片”范围偏窄且易混淆收入结构，现纠正为“芯片设计-SoC与端侧AI”，不将全部多媒体业务虚构成AI专属业务。</t>
        </is>
      </c>
      <c r="J104" s="7" t="inlineStr">
        <is>
          <t>晶晨股份2025年年度报告摘要</t>
        </is>
      </c>
      <c r="K104" s="7" t="inlineStr">
        <is>
          <t>2026-03-31</t>
        </is>
      </c>
      <c r="L104" s="8" t="inlineStr">
        <is>
          <t>iFinD ifind_get_stock_info + ifind_get_stock_business_segmentation (as of 2026-10-27)；晶晨股份2025年年度报告摘要</t>
        </is>
      </c>
      <c r="M104" s="9" t="inlineStr">
        <is>
          <t>https://static.sse.com.cn/disclosure/listedinfo/announcement/c/new/2026-03-31/688099_20260331_1TWP.pdf</t>
        </is>
      </c>
    </row>
    <row r="105" ht="104" customHeight="1">
      <c r="B105" s="4" t="inlineStr">
        <is>
          <t>688106</t>
        </is>
      </c>
      <c r="C105" s="4" t="inlineStr">
        <is>
          <t>金宏气体</t>
        </is>
      </c>
      <c r="D105" s="5" t="inlineStr">
        <is>
          <t>半导体：半导体材料</t>
        </is>
      </c>
      <c r="E105" s="4" t="inlineStr">
        <is>
          <t>纠错</t>
        </is>
      </c>
      <c r="F105" s="4" t="inlineStr">
        <is>
          <t>半导体</t>
        </is>
      </c>
      <c r="G105" s="5" t="inlineStr">
        <is>
          <t>半导体材料-电子特气与湿化学品</t>
        </is>
      </c>
      <c r="H105" s="4" t="inlineStr">
        <is>
          <t>相关</t>
        </is>
      </c>
      <c r="I105" s="5" t="inlineStr">
        <is>
          <t>公司真实产品包括超纯氨、高纯氧化亚氮、电子级正硅酸乙酯等电子气体和材料，也经营大宗气体及综合供气服务，产品能够进入半导体制造并形成行业收入，但特种气体同时服务显示、光伏、化工等其他下游，不能全部归入半导体。2025年按披露分部合计营业收入约27.7643亿元，其中半导体行业收入6.3455亿元、约占22.85%；特种气体收入8.9122亿元、占32.10%，大宗气体收入11.7303亿元、占42.25%。行业口径与产品口径不可互换，半导体行业收入也可能包含非特气供气服务，不能拆成某一种电子材料销售额。半导体业务真实但不是整体收入主导，故由旧核心下调为相关；旧泛“半导体材料”规范为“半导体材料-电子特气与湿化学品”，不将大宗气体全部贴成半导体核心。</t>
        </is>
      </c>
      <c r="J105" s="4" t="inlineStr">
        <is>
          <t>金宏气体2025年年度报告</t>
        </is>
      </c>
      <c r="K105" s="4" t="inlineStr">
        <is>
          <t>2026-03-28</t>
        </is>
      </c>
      <c r="L105" s="5" t="inlineStr">
        <is>
          <t>iFinD ifind_get_stock_info + ifind_get_stock_business_segmentation (as of 2026-10-27)；金宏气体2025年年度报告</t>
        </is>
      </c>
      <c r="M105" s="6" t="inlineStr">
        <is>
          <t>https://stock.qianzhan.com/hs/sourcefiles_688106.SH.html</t>
        </is>
      </c>
    </row>
    <row r="106" ht="104" customHeight="1">
      <c r="B106" s="7" t="inlineStr">
        <is>
          <t>688110</t>
        </is>
      </c>
      <c r="C106" s="7" t="inlineStr">
        <is>
          <t>东芯股份</t>
        </is>
      </c>
      <c r="D106" s="8" t="inlineStr">
        <is>
          <t>半导体：存储芯片-SLC NAND</t>
        </is>
      </c>
      <c r="E106" s="7" t="inlineStr">
        <is>
          <t>纠错</t>
        </is>
      </c>
      <c r="F106" s="7" t="inlineStr">
        <is>
          <t>半导体</t>
        </is>
      </c>
      <c r="G106" s="8" t="inlineStr">
        <is>
          <t>芯片设计-存储芯片</t>
        </is>
      </c>
      <c r="H106" s="7" t="inlineStr">
        <is>
          <t>核心</t>
        </is>
      </c>
      <c r="I106" s="8" t="inlineStr">
        <is>
          <t>公司真实主业是中小容量通用型存储芯片设计，产品包括NAND、NOR、DRAM和MCP，不是存储模组或分销。2025年集成电路收入9.2138亿元，占营业收入99.9949%；其中NAND收入6.0077亿元、约占65.20%，MCP收入2.3078亿元、约占25.05%，DRAM和NOR分别约0.5381亿元、0.3328亿元，均已有规模销售。混合收入边界仅在0.0051%的其他业务，不影响半导体主业判断，故定为核心，评级依据是已披露的主营产品和收入结构，而非概念热度或尚未兑现的潜在用途。旧标签“存储芯片-SLC NAND”把多产品公司缩窄为单一NAND路线，现按白名单统一为芯片设计-存储芯片，同时保留其NAND为最大收入来源的事实。</t>
        </is>
      </c>
      <c r="J106" s="7" t="inlineStr">
        <is>
          <t>东芯半导体股份有限公司2025年年度报告</t>
        </is>
      </c>
      <c r="K106" s="7" t="inlineStr">
        <is>
          <t>2026-04-23</t>
        </is>
      </c>
      <c r="L106" s="8" t="inlineStr">
        <is>
          <t>iFinD ifind_get_stock_info + ifind_get_stock_business_segmentation (as of 2026-10-27)；东芯半导体股份有限公司2025年年度报告</t>
        </is>
      </c>
      <c r="M106" s="9" t="inlineStr">
        <is>
          <t>https://guba.eastmoney.com/news,688110,1697607974.html</t>
        </is>
      </c>
    </row>
    <row r="107" ht="104" customHeight="1">
      <c r="B107" s="4" t="inlineStr">
        <is>
          <t>688120</t>
        </is>
      </c>
      <c r="C107" s="4" t="inlineStr">
        <is>
          <t>华海清科</t>
        </is>
      </c>
      <c r="D107" s="5" t="inlineStr">
        <is>
          <t>半导体：半导体设备-前道</t>
        </is>
      </c>
      <c r="E107" s="4" t="inlineStr">
        <is>
          <t>纠错</t>
        </is>
      </c>
      <c r="F107" s="4" t="inlineStr">
        <is>
          <t>半导体</t>
        </is>
      </c>
      <c r="G107" s="5" t="inlineStr">
        <is>
          <t>半导体设备-CMP</t>
        </is>
      </c>
      <c r="H107" s="4" t="inlineStr">
        <is>
          <t>核心</t>
        </is>
      </c>
      <c r="I107" s="5" t="inlineStr">
        <is>
          <t>公司从事半导体专用设备研发、生产、销售及技术服务，CMP装备是核心支柱，并已扩展减薄、划切、清洗、离子注入、晶圆再生和耗材服务。2025年半导体行业收入46.4823亿元、占营业收入100%，其中半导体装备收入40.5405亿元、约占87.22%，半导体服务收入5.9418亿元、约占12.78%，不存在把光伏或一般设备混入主营的情况，因此定为核心。原“半导体设备-前道”不在白名单且过于宽泛，也不能完整区分工艺环节，本次按最具代表性的规模化CMP业务改为“半导体设备-CMP”；减薄、离子注入等作为产品矩阵在理由中保留，不用泛化标签替代真实产品。</t>
        </is>
      </c>
      <c r="J107" s="4" t="inlineStr">
        <is>
          <t>华海清科：2025年年度报告</t>
        </is>
      </c>
      <c r="K107" s="4" t="inlineStr">
        <is>
          <t>2026-04-23</t>
        </is>
      </c>
      <c r="L107" s="5" t="inlineStr">
        <is>
          <t>iFinD ifind_get_stock_info + ifind_get_stock_business_segmentation (as of 2026-10-27)；华海清科：2025年年度报告</t>
        </is>
      </c>
      <c r="M107" s="6" t="inlineStr">
        <is>
          <t>https://money.finance.sina.com.cn/corp/view/vCB_AllBulletinDetail.php?stockid=688120&amp;id=12154282</t>
        </is>
      </c>
    </row>
    <row r="108" ht="104" customHeight="1">
      <c r="B108" s="7" t="inlineStr">
        <is>
          <t>688123</t>
        </is>
      </c>
      <c r="C108" s="7" t="inlineStr">
        <is>
          <t>聚辰股份</t>
        </is>
      </c>
      <c r="D108" s="8" t="inlineStr">
        <is>
          <t>半导体：存储芯片-EEPROM</t>
        </is>
      </c>
      <c r="E108" s="7" t="inlineStr">
        <is>
          <t>纠错</t>
        </is>
      </c>
      <c r="F108" s="7" t="inlineStr">
        <is>
          <t>半导体</t>
        </is>
      </c>
      <c r="G108" s="8" t="inlineStr">
        <is>
          <t>芯片设计-存储芯片</t>
        </is>
      </c>
      <c r="H108" s="7" t="inlineStr">
        <is>
          <t>核心</t>
        </is>
      </c>
      <c r="I108" s="8" t="inlineStr">
        <is>
          <t>公司主营高性能集成电路研发设计和销售，EEPROM是规模最大的存储产品，同时经营音圈马达驱动等混合信号芯片和NFC芯片，不能将其他产品收入也视作EEPROM。2025年集成电路收入12.2128亿元、占营业收入100%；EEPROM收入10.69499亿元、约占87.57%，混合信号类芯片1.13922亿元、约占9.33%，NFC芯片及其他0.37863亿元、约占3.10%。存储业务已形成绝对主营规模，混合产品边界清晰，故定为核心，评级依据是已披露的主营产品和收入结构，而非概念热度或尚未兑现的潜在用途。综合上述收入结构，旧“存储芯片-EEPROM”虽指出主力产品，但不符合白名单层级，现统一为“芯片设计-存储芯片”，并在理由中保留EEPROM占比及其他芯片的真实边界。</t>
        </is>
      </c>
      <c r="J108" s="7" t="inlineStr">
        <is>
          <t>聚辰股份：2025年年度报告</t>
        </is>
      </c>
      <c r="K108" s="7" t="inlineStr">
        <is>
          <t>2026-03-21</t>
        </is>
      </c>
      <c r="L108" s="8" t="inlineStr">
        <is>
          <t>iFinD ifind_get_stock_info + ifind_get_stock_business_segmentation (as of 2026-10-27)；聚辰股份：2025年年度报告</t>
        </is>
      </c>
      <c r="M108" s="9" t="inlineStr">
        <is>
          <t>http://money.finance.sina.com.cn/corp/view/vCB_AllBulletinDetail.php?stockid=688123&amp;id=12007394</t>
        </is>
      </c>
    </row>
    <row r="109" ht="104" customHeight="1">
      <c r="B109" s="4" t="inlineStr">
        <is>
          <t>688126</t>
        </is>
      </c>
      <c r="C109" s="4" t="inlineStr">
        <is>
          <t>沪硅产业</t>
        </is>
      </c>
      <c r="D109" s="5" t="inlineStr">
        <is>
          <t>半导体：半导体材料</t>
        </is>
      </c>
      <c r="E109" s="4" t="inlineStr">
        <is>
          <t>纠错</t>
        </is>
      </c>
      <c r="F109" s="4" t="inlineStr">
        <is>
          <t>半导体</t>
        </is>
      </c>
      <c r="G109" s="5" t="inlineStr">
        <is>
          <t>半导体材料-硅片与硅部件</t>
        </is>
      </c>
      <c r="H109" s="4" t="inlineStr">
        <is>
          <t>核心</t>
        </is>
      </c>
      <c r="I109" s="5" t="inlineStr">
        <is>
          <t>公司真实产品是300mm、200mm及以下半导体硅片和受托加工服务，属于晶圆制造上游关键材料，不是泛化硅材料或光伏硅片。2025年半导体硅片收入36.79186亿元、占营业收入99.0085%；其中300mm产品24.38585亿元、约占65.62%，200mm及以下产品含SOI硅片11.25326亿元、约占30.29%，受托加工1.15276亿元、约占3.10%，其他业务仅0.9915%。主营收入几乎全部由半导体硅片贡献，故定为核心，评级依据是已披露的主营产品和收入结构，而非概念热度或尚未兑现的潜在用途。综合上述收入结构，旧“半导体材料”颗粒度过粗且不在白名单，现纠正为“半导体材料-硅片与硅部件”，同时明确尺寸结构和少量加工服务边界。</t>
        </is>
      </c>
      <c r="J109" s="4" t="inlineStr">
        <is>
          <t>上海硅产业集团股份有限公司2025年年度报告</t>
        </is>
      </c>
      <c r="K109" s="4" t="inlineStr">
        <is>
          <t>2026-04-17</t>
        </is>
      </c>
      <c r="L109" s="5" t="inlineStr">
        <is>
          <t>iFinD ifind_get_stock_info + ifind_get_stock_business_segmentation (as of 2026-10-27)；上海硅产业集团股份有限公司2025年年度报告</t>
        </is>
      </c>
      <c r="M109" s="6" t="inlineStr">
        <is>
          <t>http://static.cninfo.com.cn/finalpage/2026-04-17/1225114274.PDF</t>
        </is>
      </c>
    </row>
    <row r="110" ht="104" customHeight="1">
      <c r="B110" s="7" t="inlineStr">
        <is>
          <t>688138</t>
        </is>
      </c>
      <c r="C110" s="7" t="inlineStr">
        <is>
          <t>清溢光电</t>
        </is>
      </c>
      <c r="D110" s="8" t="inlineStr">
        <is>
          <t>半导体：半导体材料</t>
        </is>
      </c>
      <c r="E110" s="7" t="inlineStr">
        <is>
          <t>纠错</t>
        </is>
      </c>
      <c r="F110" s="7" t="inlineStr">
        <is>
          <t>半导体</t>
        </is>
      </c>
      <c r="G110" s="8" t="inlineStr">
        <is>
          <t>半导体材料-掩膜版</t>
        </is>
      </c>
      <c r="H110" s="7" t="inlineStr">
        <is>
          <t>相关</t>
        </is>
      </c>
      <c r="I110" s="8" t="inlineStr">
        <is>
          <t>公司主营掩膜版研发、设计、生产和销售，但真实下游同时包含平板显示和半导体芯片，不能把全部掩膜版收入归入半导体。2025年掩膜版行业收入12.30898亿元、占营业收入99.2924%，其中平板显示掩膜版收入9.78亿元、约占78.89%；公司正式互动明确半导体掩膜版约占全年营收17%，年报及行动方案披露该业务收入2.04亿元、约占16.46%，180nm已规模量产、150nm小批量量产。半导体产品真实且已有收入，但显示业务占主导，因此由核心降为相关。综合上述收入结构，旧“半导体材料”过粗且掩盖混合下游，现改为“半导体材料-掩膜版”，并保留半导体与显示的收入边界。</t>
        </is>
      </c>
      <c r="J110" s="7" t="inlineStr">
        <is>
          <t>深圳清溢光电股份有限公司2025年年度报告</t>
        </is>
      </c>
      <c r="K110" s="7" t="inlineStr">
        <is>
          <t>2026-04-27</t>
        </is>
      </c>
      <c r="L110" s="8" t="inlineStr">
        <is>
          <t>iFinD ifind_get_stock_info + ifind_get_stock_business_segmentation (as of 2026-10-27)；深圳清溢光电股份有限公司2025年年度报告</t>
        </is>
      </c>
      <c r="M110" s="9" t="inlineStr">
        <is>
          <t>https://static.cninfo.com.cn/finalpage/2026-04-27/1225197584.PDF</t>
        </is>
      </c>
    </row>
    <row r="111" ht="104" customHeight="1">
      <c r="B111" s="4" t="inlineStr">
        <is>
          <t>688147</t>
        </is>
      </c>
      <c r="C111" s="4" t="inlineStr">
        <is>
          <t>微导纳米</t>
        </is>
      </c>
      <c r="D111" s="5" t="inlineStr">
        <is>
          <t>半导体：半导体设备、半导体设备-前道</t>
        </is>
      </c>
      <c r="E111" s="4" t="inlineStr">
        <is>
          <t>纠错</t>
        </is>
      </c>
      <c r="F111" s="4" t="inlineStr">
        <is>
          <t>半导体</t>
        </is>
      </c>
      <c r="G111" s="5" t="inlineStr">
        <is>
          <t>半导体设备-薄膜沉积</t>
        </is>
      </c>
      <c r="H111" s="4" t="inlineStr">
        <is>
          <t>相关</t>
        </is>
      </c>
      <c r="I111" s="5" t="inlineStr">
        <is>
          <t>公司真实产品是ALD、CVD等微纳米薄膜沉积设备，半导体设备与光伏设备共用技术平台但属于不同下游和收入口径，不能将公司全部设备收入认定为半导体。2025年设备制造收入26.30623亿元、占营业收入99.8982%；其中光伏设备15.91289亿元、约占60.43%，半导体设备8.80893亿元、约占33.45%，配套产品及服务1.44123亿元、约占5.47%。半导体设备已有8.81亿元规模收入，绝非潜在用途，但光伏仍占多数，因此由核心降为相关。综合上述收入结构，旧“半导体设备”和“半导体设备-前道”重复且不合白名单，现统一为“半导体设备-薄膜沉积”；本项只审半导体，不保留其他行业标签。</t>
        </is>
      </c>
      <c r="J111" s="4" t="inlineStr">
        <is>
          <t>江苏微导纳米科技股份有限公司2025年年度报告</t>
        </is>
      </c>
      <c r="K111" s="4" t="inlineStr">
        <is>
          <t>2026-04-29</t>
        </is>
      </c>
      <c r="L111" s="5" t="inlineStr">
        <is>
          <t>iFinD ifind_get_stock_info + ifind_get_stock_business_segmentation (as of 2026-10-27)；江苏微导纳米科技股份有限公司2025年年度报告</t>
        </is>
      </c>
      <c r="M111" s="6" t="inlineStr">
        <is>
          <t>https://money.finance.sina.com.cn/corp/view/vCB_AllBulletinDetail.php?stockid=688147&amp;id=12263430</t>
        </is>
      </c>
    </row>
    <row r="112" ht="104" customHeight="1">
      <c r="B112" s="7" t="inlineStr">
        <is>
          <t>688187</t>
        </is>
      </c>
      <c r="C112" s="7" t="inlineStr">
        <is>
          <t>时代电气</t>
        </is>
      </c>
      <c r="D112" s="8" t="inlineStr">
        <is>
          <t>半导体：功率半导体</t>
        </is>
      </c>
      <c r="E112" s="7" t="inlineStr">
        <is>
          <t>纠错</t>
        </is>
      </c>
      <c r="F112" s="7" t="inlineStr">
        <is>
          <t>半导体</t>
        </is>
      </c>
      <c r="G112" s="8" t="inlineStr">
        <is>
          <t>芯片设计-功率半导体、晶圆制造与IDM</t>
        </is>
      </c>
      <c r="H112" s="7" t="inlineStr">
        <is>
          <t>相关</t>
        </is>
      </c>
      <c r="I112" s="8" t="inlineStr">
        <is>
          <t>公司主体仍是轨道交通装备，功率半导体属于新兴装备板块中的规模化业务，真实产品包括IGBT、SiC器件及功率模块，覆盖轨交、新能源汽车和电网等场景，并非仅有技术储备。2025年营业收入287.027001亿元，其中轨道交通装备158.055202亿元、约占55.07%，新兴装备127.805376亿元、约占44.53%；年报披露半导体板块收入53.60亿元、约占总收入18.67%，规模较大但仍非公司主营多数，故维持“相关”而非因金额大就升级核心。年报同时明确公司是同时掌握大功率晶闸管、IGBT、IGCT、SiC器件及其组件技术的IDM模式企业代表，拥有“芯片—模块—装置—系统”完整产业链，并建有6英寸双极器件、8英寸IGBT和8英寸SiC产业化基地，因此在保留“芯片设计-功率半导体”的同时补充“晶圆制造与IDM”。该标签只对应功率半导体产业链，不把新兴装备或轨交系统收入全部半导体化。</t>
        </is>
      </c>
      <c r="J112" s="7" t="inlineStr">
        <is>
          <t>株洲中车时代电气股份有限公司2025年年度报告</t>
        </is>
      </c>
      <c r="K112" s="7" t="inlineStr">
        <is>
          <t>2026-03-28</t>
        </is>
      </c>
      <c r="L112" s="8" t="inlineStr">
        <is>
          <t>iFinD ifind_get_stock_info + ifind_get_stock_business_segmentation (as of 2026-10-27)；株洲中车时代电气股份有限公司2025年年度报告</t>
        </is>
      </c>
      <c r="M112" s="9" t="inlineStr">
        <is>
          <t>http://money.finance.sina.com.cn/corp/view/vCB_AllBulletinDetail.php?stockid=688187&amp;id=12028013</t>
        </is>
      </c>
    </row>
    <row r="113" ht="104" customHeight="1">
      <c r="B113" s="4" t="inlineStr">
        <is>
          <t>688200</t>
        </is>
      </c>
      <c r="C113" s="4" t="inlineStr">
        <is>
          <t>华峰测控</t>
        </is>
      </c>
      <c r="D113" s="5" t="inlineStr">
        <is>
          <t>半导体：半导体设备-测试设备</t>
        </is>
      </c>
      <c r="E113" s="4" t="inlineStr">
        <is>
          <t>纠错</t>
        </is>
      </c>
      <c r="F113" s="4" t="inlineStr">
        <is>
          <t>半导体</t>
        </is>
      </c>
      <c r="G113" s="5" t="inlineStr">
        <is>
          <t>半导体设备-测试机与分选机</t>
        </is>
      </c>
      <c r="H113" s="4" t="inlineStr">
        <is>
          <t>核心</t>
        </is>
      </c>
      <c r="I113" s="5" t="inlineStr">
        <is>
          <t>公司主营半导体自动化测试系统研发、生产和销售，真实产品是面向模拟、混合信号、功率及SoC等器件的测试机和配件，属于后道电性测试，不应与晶圆缺陷检测或量测设备混为一类。2025年半导体器件专用设备制造收入13.40085亿元、占营业收入99.5302%；测试系统收入11.87358亿元、约占88.19%，配件收入1.52727亿元、约占11.34%，其他业务仅0.4698%。主营收入与半导体测试直接对应，规模化和商业化充分，故定为核心，评级依据是已披露的主营产品和收入结构，而非概念热度或尚未兑现的潜在用途。综合上述收入结构，旧“半导体设备-测试设备”容易与量检测混淆且不在白名单，现纠正为“半导体设备-测试机与分选机”，并不据此额外宣称分选机收入。</t>
        </is>
      </c>
      <c r="J113" s="4" t="inlineStr">
        <is>
          <t>北京华峰测控技术股份有限公司2025年年度报告</t>
        </is>
      </c>
      <c r="K113" s="4" t="inlineStr">
        <is>
          <t>2026-04-29</t>
        </is>
      </c>
      <c r="L113" s="5" t="inlineStr">
        <is>
          <t>iFinD ifind_get_stock_info + ifind_get_stock_business_segmentation (as of 2026-10-27)；北京华峰测控技术股份有限公司2025年年度报告</t>
        </is>
      </c>
      <c r="M113" s="6" t="inlineStr">
        <is>
          <t>http://money.finance.sina.com.cn/corp/view/vCB_AllBulletinDetail.php?stockid=688200&amp;id=12258268</t>
        </is>
      </c>
    </row>
    <row r="114" ht="104" customHeight="1">
      <c r="B114" s="7" t="inlineStr">
        <is>
          <t>688220</t>
        </is>
      </c>
      <c r="C114" s="7" t="inlineStr">
        <is>
          <t>翱捷科技-U</t>
        </is>
      </c>
      <c r="D114" s="8" t="inlineStr">
        <is>
          <t>半导体：端侧AI芯片</t>
        </is>
      </c>
      <c r="E114" s="7" t="inlineStr">
        <is>
          <t>纠错</t>
        </is>
      </c>
      <c r="F114" s="7" t="inlineStr">
        <is>
          <t>半导体</t>
        </is>
      </c>
      <c r="G114" s="8" t="inlineStr">
        <is>
          <t>芯片设计-射频与通信芯片</t>
        </is>
      </c>
      <c r="H114" s="7" t="inlineStr">
        <is>
          <t>核心</t>
        </is>
      </c>
      <c r="I114" s="8" t="inlineStr">
        <is>
          <t>公司真实收入主体是蜂窝基带及非蜂窝物联网通信芯片，端侧AI是部分智能SoC的应用方向，不能反过来用端侧AI概括全部业务。2025年集成电路收入38.16803亿元、占营业收入100%；芯片产品销售35.79331亿元、占93.78%，其中蜂窝基带占芯片产品收入93.81%，芯片定制2.17222亿元、约占5.69%，半导体IP授权0.20104亿元、约占0.53%。芯片销售规模化和主业属性明确，故定为核心，评级依据是已披露的主营产品和收入结构，而非概念热度或尚未兑现的潜在用途。综合上述收入结构，旧“端侧AI芯片”把次要应用方向误当主营，现纠正为“芯片设计-射频与通信芯片”；定制服务和IP虽有真实收入，本项不以其改变通信芯片的主体判断。</t>
        </is>
      </c>
      <c r="J114" s="7" t="inlineStr">
        <is>
          <t>翱捷科技股份有限公司2025年年度报告</t>
        </is>
      </c>
      <c r="K114" s="7" t="inlineStr">
        <is>
          <t>2026-03-31</t>
        </is>
      </c>
      <c r="L114" s="8" t="inlineStr">
        <is>
          <t>iFinD ifind_get_stock_info + ifind_get_stock_business_segmentation (as of 2026-10-27)；翱捷科技股份有限公司2025年年度报告</t>
        </is>
      </c>
      <c r="M114" s="9" t="inlineStr">
        <is>
          <t>http://file.finance.sina.com.cn/211.154.219.97:9494/MRGG/CNSESH_STOCK/2026/2026-3/2026-03-31/12043070.PDF</t>
        </is>
      </c>
    </row>
    <row r="115" ht="104" customHeight="1">
      <c r="B115" s="4" t="inlineStr">
        <is>
          <t>688233</t>
        </is>
      </c>
      <c r="C115" s="4" t="inlineStr">
        <is>
          <t>神工股份</t>
        </is>
      </c>
      <c r="D115" s="5" t="inlineStr">
        <is>
          <t>半导体：半导体材料</t>
        </is>
      </c>
      <c r="E115" s="4" t="inlineStr">
        <is>
          <t>纠错</t>
        </is>
      </c>
      <c r="F115" s="4" t="inlineStr">
        <is>
          <t>半导体</t>
        </is>
      </c>
      <c r="G115" s="5" t="inlineStr">
        <is>
          <t>半导体材料-硅片与硅部件</t>
        </is>
      </c>
      <c r="H115" s="4" t="inlineStr">
        <is>
          <t>核心</t>
        </is>
      </c>
      <c r="I115" s="5" t="inlineStr">
        <is>
          <t>公司真实产品是集成电路刻蚀用大直径单晶硅材料、硅电极等硅零部件以及半导体大尺寸硅片，属于半导体制造耗材和硅材料，并非普通工业硅。2025年半导体硅材料及其制成品收入4.35655亿元、占营业收入99.4648%；硅零部件2.37172亿元、约占54.15%，16英寸以上单晶硅材料1.06720亿元、约占24.37%，16英寸以下0.81432亿元、约占18.59%，大尺寸硅片0.10331亿元、约占2.36%。前三类已形成规模收入，大尺寸硅片占比较低但不影响整体核心认定。综合上述收入结构，旧“半导体材料”过泛，现改为“半导体材料-硅片与硅部件”，并区分成熟主业与较小硅片业务。</t>
        </is>
      </c>
      <c r="J115" s="4" t="inlineStr">
        <is>
          <t>锦州神工半导体股份有限公司2025年年度报告</t>
        </is>
      </c>
      <c r="K115" s="4" t="inlineStr">
        <is>
          <t>2026-03-21</t>
        </is>
      </c>
      <c r="L115" s="5" t="inlineStr">
        <is>
          <t>iFinD ifind_get_stock_info + ifind_get_stock_business_segmentation (as of 2026-10-27)；锦州神工半导体股份有限公司2025年年度报告</t>
        </is>
      </c>
      <c r="M115" s="6" t="inlineStr">
        <is>
          <t>https://guba.eastmoney.com/news,400245,1682662157.html</t>
        </is>
      </c>
    </row>
    <row r="116" ht="104" customHeight="1">
      <c r="B116" s="7" t="inlineStr">
        <is>
          <t>688256</t>
        </is>
      </c>
      <c r="C116" s="7" t="inlineStr">
        <is>
          <t>寒武纪</t>
        </is>
      </c>
      <c r="D116" s="8" t="inlineStr">
        <is>
          <t>半导体：算力芯片</t>
        </is>
      </c>
      <c r="E116" s="7" t="inlineStr">
        <is>
          <t>纠错</t>
        </is>
      </c>
      <c r="F116" s="7" t="inlineStr">
        <is>
          <t>半导体</t>
        </is>
      </c>
      <c r="G116" s="8" t="inlineStr">
        <is>
          <t>芯片设计-CPU/GPU/AI计算</t>
        </is>
      </c>
      <c r="H116" s="7" t="inlineStr">
        <is>
          <t>核心</t>
        </is>
      </c>
      <c r="I116" s="8" t="inlineStr">
        <is>
          <t>公司真实业务是云端、边缘端人工智能芯片及加速卡、智能整机和基础系统软件，核心收入来自云端AI训练推理产品，不是泛化算力概念或终端芯片公司。2025年集成电路行业收入64.97196亿元、占营业收入100%；云端智能芯片及加速卡收入64.76855亿元、约占99.69%，边缘端智能芯片及加速卡0.03394亿元、约占0.05%，终端智能处理器IP0.02289亿元、约占0.04%。云端产品已形成绝对规模收入，边缘和终端IP占比很小，混合边界清晰，故定为核心，评级依据是已披露的主营产品和收入结构，而非概念热度或尚未兑现的潜在用途。综合上述收入结构，旧“算力芯片”表述笼统且不在白名单，现纠正为“芯片设计-CPU/GPU/AI计算”，同时明确不是将所有AI应用收入并入。</t>
        </is>
      </c>
      <c r="J116" s="7" t="inlineStr">
        <is>
          <t>中科寒武纪科技股份有限公司2025年年度报告摘要</t>
        </is>
      </c>
      <c r="K116" s="7" t="inlineStr">
        <is>
          <t>2026-03-13</t>
        </is>
      </c>
      <c r="L116" s="8" t="inlineStr">
        <is>
          <t>iFinD ifind_get_stock_info + ifind_get_stock_business_segmentation (as of 2026-10-27)；中科寒武纪科技股份有限公司2025年年度报告摘要</t>
        </is>
      </c>
      <c r="M116" s="9" t="inlineStr">
        <is>
          <t>https://guba.eastmoney.com/news,688256,1678510552.html</t>
        </is>
      </c>
    </row>
    <row r="117" ht="104" customHeight="1">
      <c r="B117" s="4" t="inlineStr">
        <is>
          <t>688261</t>
        </is>
      </c>
      <c r="C117" s="4" t="inlineStr">
        <is>
          <t>东微半导</t>
        </is>
      </c>
      <c r="D117" s="5" t="inlineStr">
        <is>
          <t>半导体：功率半导体</t>
        </is>
      </c>
      <c r="E117" s="4" t="inlineStr">
        <is>
          <t>纠错</t>
        </is>
      </c>
      <c r="F117" s="4" t="inlineStr">
        <is>
          <t>半导体</t>
        </is>
      </c>
      <c r="G117" s="5" t="inlineStr">
        <is>
          <t>芯片设计-功率半导体</t>
        </is>
      </c>
      <c r="H117" s="4" t="inlineStr">
        <is>
          <t>核心</t>
        </is>
      </c>
      <c r="I117" s="5" t="inlineStr">
        <is>
          <t>公司主营高性能功率器件研发与销售，真实产品包括超级结MOSFET、中低压屏蔽栅MOSFET、TGBT系列IGBT、SiC器件和高密度功率模块，是功率半导体设计企业，不是仅向下游电源设备延伸的概念标的。2025年集成电路收入12.52427亿元、占营业收入99.9792%；功率半导体产品收入11.93266亿元、约占95.26%，晶圆收入0.59161亿元、约占4.72%，其他业务仅0.0208%。功率器件与晶圆均围绕同一半导体主业，已形成规模销售，故定为核心，评级依据是已披露的主营产品和收入结构，而非概念热度或尚未兑现的潜在用途。综合上述收入结构，旧“功率半导体”方向正确但需按白名单统一为“芯片设计-功率半导体”，并补充晶圆口径，避免将下游光伏、充电桩等应用收入误列为公司主营。</t>
        </is>
      </c>
      <c r="J117" s="4" t="inlineStr">
        <is>
          <t>苏州东微半导体股份有限公司2025年年度报告</t>
        </is>
      </c>
      <c r="K117" s="4" t="inlineStr">
        <is>
          <t>2026-04-28</t>
        </is>
      </c>
      <c r="L117" s="5" t="inlineStr">
        <is>
          <t>iFinD ifind_get_stock_info + ifind_get_stock_business_segmentation (as of 2026-10-27)；苏州东微半导体股份有限公司2025年年度报告</t>
        </is>
      </c>
      <c r="M117" s="6" t="inlineStr">
        <is>
          <t>https://static.sse.com.cn/disclosure/listedinfo/announcement/c/new/2026-04-28/688261_20260428_FC6X.pdf</t>
        </is>
      </c>
    </row>
    <row r="118" ht="104" customHeight="1">
      <c r="B118" s="7" t="inlineStr">
        <is>
          <t>688262</t>
        </is>
      </c>
      <c r="C118" s="7" t="inlineStr">
        <is>
          <t>国芯科技</t>
        </is>
      </c>
      <c r="D118" s="8" t="inlineStr">
        <is>
          <t>半导体：其他算力芯片</t>
        </is>
      </c>
      <c r="E118" s="7" t="inlineStr">
        <is>
          <t>纠错</t>
        </is>
      </c>
      <c r="F118" s="7" t="inlineStr">
        <is>
          <t>半导体</t>
        </is>
      </c>
      <c r="G118" s="8" t="inlineStr">
        <is>
          <t>芯片设计-MCU与嵌入式、EDA/IP与设计服务</t>
        </is>
      </c>
      <c r="H118" s="7" t="inlineStr">
        <is>
          <t>核心</t>
        </is>
      </c>
      <c r="I118" s="8" t="inlineStr">
        <is>
          <t>公司同时经营自主嵌入式CPU相关芯片及模组和芯片定制服务，真实产品覆盖安全、汽车电子、智能控制等嵌入式场景，不能把全部业务简单贴成算力芯片。2025年集成电路收入5.31567亿元、占营业收入99.9408%；自主芯片及模组2.53750亿元、约占47.71%，量产服务2.14491亿元、约占40.33%，设计服务0.61657亿元、约占11.59%，IP授权0.01668亿元、约占0.31%。定制设计及量产合计已过半，自主芯片亦具规模，故整体定为核心。综合上述收入结构，旧“其他算力芯片”不准确，现拆为“芯片设计-MCU与嵌入式”和“EDA/IP与设计服务”，并明确IP授权占比很低、不能夸大。</t>
        </is>
      </c>
      <c r="J118" s="7" t="inlineStr">
        <is>
          <t>苏州国芯科技股份有限公司2025年年度报告</t>
        </is>
      </c>
      <c r="K118" s="7" t="inlineStr">
        <is>
          <t>2026-04-24</t>
        </is>
      </c>
      <c r="L118" s="8" t="inlineStr">
        <is>
          <t>iFinD ifind_get_stock_info + ifind_get_stock_business_segmentation (as of 2026-10-27)；苏州国芯科技股份有限公司2025年年度报告</t>
        </is>
      </c>
      <c r="M118" s="9" t="inlineStr">
        <is>
          <t>http://money.finance.sina.com.cn/corp/view/vCB_AllBulletinDetail.php?stockid=688262&amp;id=12156613</t>
        </is>
      </c>
    </row>
    <row r="119" ht="104" customHeight="1">
      <c r="B119" s="4" t="inlineStr">
        <is>
          <t>688268</t>
        </is>
      </c>
      <c r="C119" s="4" t="inlineStr">
        <is>
          <t>华特气体</t>
        </is>
      </c>
      <c r="D119" s="5" t="inlineStr">
        <is>
          <t>半导体：半导体材料</t>
        </is>
      </c>
      <c r="E119" s="4" t="inlineStr">
        <is>
          <t>纠错</t>
        </is>
      </c>
      <c r="F119" s="4" t="inlineStr">
        <is>
          <t>半导体</t>
        </is>
      </c>
      <c r="G119" s="5" t="inlineStr">
        <is>
          <t>半导体材料-电子特气与湿化学品</t>
        </is>
      </c>
      <c r="H119" s="4" t="inlineStr">
        <is>
          <t>相关</t>
        </is>
      </c>
      <c r="I119" s="5" t="inlineStr">
        <is>
          <t>公司真实产品包括高纯电子特气、稀混光刻气、氟碳类和其他混配气，同时经营普通工业气体、气体设备与工程；特种气体也服务医疗、化工等多个下游，不能将其全部算作半导体收入。2025年特种气体收入9.23617亿元、占营业收入65.1008%，其中光刻及其他混合气体3.12074亿元、约占总收入22.00%；普通工业气体占20.3978%，设备及工程占11.0547%，其他业务占3.4466%。半导体材料已有真实规模供货，但混合气体和多元下游边界明显，因此由核心降为相关更稳妥。综合上述收入结构，旧“半导体材料”过宽，现纠正为“半导体材料-电子特气与湿化学品”，不把普通工业气体纳入概念依据。</t>
        </is>
      </c>
      <c r="J119" s="4" t="inlineStr">
        <is>
          <t>广东华特气体股份有限公司2025年年度报告</t>
        </is>
      </c>
      <c r="K119" s="4" t="inlineStr">
        <is>
          <t>2026-04-10</t>
        </is>
      </c>
      <c r="L119" s="5" t="inlineStr">
        <is>
          <t>iFinD ifind_get_stock_info + ifind_get_stock_business_segmentation (as of 2026-10-27)；广东华特气体股份有限公司2025年年度报告</t>
        </is>
      </c>
      <c r="M119" s="6" t="inlineStr">
        <is>
          <t>https://static.cninfo.com.cn/finalpage/2026-04-10/1225090204.PDF</t>
        </is>
      </c>
    </row>
    <row r="120" ht="104" customHeight="1">
      <c r="B120" s="7" t="inlineStr">
        <is>
          <t>688300</t>
        </is>
      </c>
      <c r="C120" s="7" t="inlineStr">
        <is>
          <t>联瑞新材</t>
        </is>
      </c>
      <c r="D120" s="8" t="inlineStr">
        <is>
          <t>半导体：半导体材料</t>
        </is>
      </c>
      <c r="E120" s="7" t="inlineStr">
        <is>
          <t>纠错</t>
        </is>
      </c>
      <c r="F120" s="7" t="inlineStr">
        <is>
          <t>半导体</t>
        </is>
      </c>
      <c r="G120" s="8" t="inlineStr">
        <is>
          <t>半导体材料-封装材料</t>
        </is>
      </c>
      <c r="H120" s="7" t="inlineStr">
        <is>
          <t>相关</t>
        </is>
      </c>
      <c r="I120" s="8" t="inlineStr">
        <is>
          <t>公司真实产品是角形和球形二氧化硅等无机功能粉体，可用于芯片封装用环氧塑封料，也大量用于高性能覆铜板、积层胶膜和导热材料；同一产品跨半导体封装与PCB应用，不能把全部粉体收入归入半导体。2025年先进无机非金属材料收入11.14134亿元、占营业收入99.8773%，其中球形无机粉体6.51612亿元、约占58.41%，角形无机粉体2.609995亿元、约占23.40%，其他产品2.01523亿元、约占18.07%；年报未单列半导体封装收入，且明确高性能覆铜板销售占比上升。已有真实封装材料应用和规模产品，但下游拆分不足，故由核心降为相关。综合上述收入结构，旧“半导体材料”现细化为“半导体材料-封装材料”，本项不保留PCB标签。</t>
        </is>
      </c>
      <c r="J120" s="7" t="inlineStr">
        <is>
          <t>江苏联瑞新材料股份有限公司2025年年度报告</t>
        </is>
      </c>
      <c r="K120" s="7" t="inlineStr">
        <is>
          <t>2026-04-22</t>
        </is>
      </c>
      <c r="L120" s="8" t="inlineStr">
        <is>
          <t>iFinD ifind_get_stock_info + ifind_get_stock_business_segmentation (as of 2026-10-27)；江苏联瑞新材料股份有限公司2025年年度报告</t>
        </is>
      </c>
      <c r="M120" s="9" t="inlineStr">
        <is>
          <t>https://money.finance.sina.com.cn/corp/view/vCB_AllBulletinDetail.php?stockid=688300&amp;id=12132109</t>
        </is>
      </c>
    </row>
    <row r="121" ht="104" customHeight="1">
      <c r="B121" s="4" t="inlineStr">
        <is>
          <t>688332</t>
        </is>
      </c>
      <c r="C121" s="4" t="inlineStr">
        <is>
          <t>中科蓝讯</t>
        </is>
      </c>
      <c r="D121" s="5" t="inlineStr">
        <is>
          <t>半导体：端侧AI芯片</t>
        </is>
      </c>
      <c r="E121" s="4" t="inlineStr">
        <is>
          <t>纠错</t>
        </is>
      </c>
      <c r="F121" s="4" t="inlineStr">
        <is>
          <t>半导体</t>
        </is>
      </c>
      <c r="G121" s="5" t="inlineStr">
        <is>
          <t>芯片设计-SoC与端侧AI、芯片设计-射频与通信芯片</t>
        </is>
      </c>
      <c r="H121" s="4" t="inlineStr">
        <is>
          <t>核心</t>
        </is>
      </c>
      <c r="I121" s="5" t="inlineStr">
        <is>
          <t>公司真实产品是无线音频SoC，覆盖蓝牙耳机、音箱、智能穿戴、数字音频和AI语音识别等芯片；端侧AI功能真实存在，但传统蓝牙音频仍是收入主体，不能把所有收入解释为AI芯片收入。2025年集成电路收入18.35295亿元、占营业收入99.6590%；蓝牙耳机芯片11.05623亿元、约占60.04%，蓝牙音箱3.37318亿元、约占18.32%，智能穿戴1.42519亿元、约占7.74%，数字音频1.01486亿元、约占5.51%。芯片主业规模明确，故定为核心，评级依据是已披露的主营产品和收入结构，而非概念热度或尚未兑现的潜在用途。综合上述收入结构，旧“端侧AI芯片”范围过窄且易夸大AI占比，现以“芯片设计-SoC与端侧AI”为主并补充“芯片设计-射频与通信芯片”，保留真实产品边界。</t>
        </is>
      </c>
      <c r="J121" s="4" t="inlineStr">
        <is>
          <t>深圳市中科蓝讯科技股份有限公司2025年年度报告</t>
        </is>
      </c>
      <c r="K121" s="4" t="inlineStr">
        <is>
          <t>2026-04-09</t>
        </is>
      </c>
      <c r="L121" s="5" t="inlineStr">
        <is>
          <t>iFinD ifind_get_stock_info + ifind_get_stock_business_segmentation (as of 2026-10-27)；深圳市中科蓝讯科技股份有限公司2025年年度报告</t>
        </is>
      </c>
      <c r="M121" s="6" t="inlineStr">
        <is>
          <t>https://guba.eastmoney.com/news,688332,1690749910.html</t>
        </is>
      </c>
    </row>
    <row r="122" ht="104" customHeight="1">
      <c r="B122" s="7" t="inlineStr">
        <is>
          <t>688361</t>
        </is>
      </c>
      <c r="C122" s="7" t="inlineStr">
        <is>
          <t>中科飞测</t>
        </is>
      </c>
      <c r="D122" s="8" t="inlineStr">
        <is>
          <t>半导体：半导体设备-测试设备</t>
        </is>
      </c>
      <c r="E122" s="7" t="inlineStr">
        <is>
          <t>纠错</t>
        </is>
      </c>
      <c r="F122" s="7" t="inlineStr">
        <is>
          <t>半导体</t>
        </is>
      </c>
      <c r="G122" s="8" t="inlineStr">
        <is>
          <t>半导体设备-量测与检测</t>
        </is>
      </c>
      <c r="H122" s="7" t="inlineStr">
        <is>
          <t>核心</t>
        </is>
      </c>
      <c r="I122" s="8" t="inlineStr">
        <is>
          <t>公司真实产品是晶圆缺陷检测和薄膜、套刻、关键尺寸等量测设备，用于集成电路制造过程控制，不是芯片电性测试机，也不能笼统写成测试设备。2025年半导体行业收入19.83017亿元、占营业收入96.5772%；检测设备收入13.64038亿元、约占总收入66.43%，量测设备6.23282亿元、约占30.36%，软件0.12626亿元、约占0.62%，其他业务和其他行业合计约3.42%。半导体量检测业务已有绝对规模收入，故定为核心，评级依据是已披露的主营产品和收入结构，而非概念热度或尚未兑现的潜在用途。综合上述收入结构，旧“半导体设备-测试设备”混淆后道ATE与前道过程控制，且不在白名单，现纠正为“半导体设备-量测与检测”，并将检测、量测两类收入分别说明。</t>
        </is>
      </c>
      <c r="J122" s="7" t="inlineStr">
        <is>
          <t>中科飞测：2025年年度报告</t>
        </is>
      </c>
      <c r="K122" s="7" t="inlineStr">
        <is>
          <t>2026-04-25</t>
        </is>
      </c>
      <c r="L122" s="8" t="inlineStr">
        <is>
          <t>iFinD ifind_get_stock_info + ifind_get_stock_business_segmentation (as of 2026-10-27)；中科飞测：2025年年度报告</t>
        </is>
      </c>
      <c r="M122" s="9" t="inlineStr">
        <is>
          <t>https://money.finance.sina.com.cn/corp/view/vCB_AllBulletinDetail.php?stockid=688361&amp;id=12185819</t>
        </is>
      </c>
    </row>
    <row r="123" ht="104" customHeight="1">
      <c r="B123" s="4" t="inlineStr">
        <is>
          <t>688368</t>
        </is>
      </c>
      <c r="C123" s="4" t="inlineStr">
        <is>
          <t>晶丰明源</t>
        </is>
      </c>
      <c r="D123" s="5" t="inlineStr">
        <is>
          <t>半导体：功率半导体</t>
        </is>
      </c>
      <c r="E123" s="4" t="inlineStr">
        <is>
          <t>纠错</t>
        </is>
      </c>
      <c r="F123" s="4" t="inlineStr">
        <is>
          <t>半导体</t>
        </is>
      </c>
      <c r="G123" s="5" t="inlineStr">
        <is>
          <t>芯片设计-模拟与电源管理</t>
        </is>
      </c>
      <c r="H123" s="4" t="inlineStr">
        <is>
          <t>核心</t>
        </is>
      </c>
      <c r="I123" s="5" t="inlineStr">
        <is>
          <t>公司真实产品是LED照明驱动、电机控制、AC/DC及DC/DC电源管理芯片，高性能计算电源也属于电源芯片，并非以MOSFET、IGBT等分立功率器件为主。2025年集成电路收入15.69567亿元、占营业收入99.9844%；LED驱动7.77746亿元、约占49.54%，电机控制4.00320亿元、约占25.50%，AC/DC电源2.95647亿元、约占18.83%，DC/DC电源0.95854亿元、约占6.11%，其中高性能计算电源0.958541亿元。公司整体就是模拟及电源管理芯片设计主业，因此由相关升级为核心。综合上述收入结构，旧“功率半导体”把电源IC与功率器件混淆，现纠正为“芯片设计-模拟与电源管理”，并保留LED和高性能计算等真实产品边界。</t>
        </is>
      </c>
      <c r="J123" s="4" t="inlineStr">
        <is>
          <t>上海晶丰明源半导体股份有限公司2025年年度报告</t>
        </is>
      </c>
      <c r="K123" s="4" t="inlineStr">
        <is>
          <t>2026-04-18</t>
        </is>
      </c>
      <c r="L123" s="5" t="inlineStr">
        <is>
          <t>iFinD ifind_get_stock_info + ifind_get_stock_business_segmentation (as of 2026-10-27)；上海晶丰明源半导体股份有限公司2025年年度报告</t>
        </is>
      </c>
      <c r="M123" s="6" t="inlineStr">
        <is>
          <t>https://static.sse.com.cn/disclosure/listedinfo/announcement/c/new/2026-04-18/688368_20260418_B6TB.pdf</t>
        </is>
      </c>
    </row>
    <row r="124" ht="104" customHeight="1">
      <c r="B124" s="7" t="inlineStr">
        <is>
          <t>688376</t>
        </is>
      </c>
      <c r="C124" s="7" t="inlineStr">
        <is>
          <t>美埃科技</t>
        </is>
      </c>
      <c r="D124" s="8" t="inlineStr">
        <is>
          <t>半导体：半导体洁净室</t>
        </is>
      </c>
      <c r="E124" s="7" t="inlineStr">
        <is>
          <t>纠错</t>
        </is>
      </c>
      <c r="F124" s="7" t="inlineStr">
        <is>
          <t>半导体</t>
        </is>
      </c>
      <c r="G124" s="8" t="inlineStr">
        <is>
          <t>洁净室与厂务工程</t>
        </is>
      </c>
      <c r="H124" s="7" t="inlineStr">
        <is>
          <t>相关</t>
        </is>
      </c>
      <c r="I124" s="8" t="inlineStr">
        <is>
          <t>公司真实产品是风机过滤单元、高效及化学过滤器、空气净化设备和洁净室墙板天花系统，服务半导体、生物制药等工业洁净环境；它们属于洁净室配套，不是晶圆工艺设备，也不能将生物医药和其他工业收入视作半导体。2025年洁净室空气净化收入12.30434亿元、占营业收入63.7837%，其他业务占36.2163%，风机过滤单元产品收入15.90500亿元；分部未单列半导体客户收入，故不能按全部洁净空气收入认定半导体主业。公司已有真实半导体项目和规模产品，但跨行业边界明显，因此由核心降为相关。综合上述收入结构，旧“半导体洁净室”不在白名单，现规范为“洁净室与厂务工程”，不升级为半导体专用工艺设备。</t>
        </is>
      </c>
      <c r="J124" s="7" t="inlineStr">
        <is>
          <t>美埃（中国）环境科技股份有限公司2025年年度报告</t>
        </is>
      </c>
      <c r="K124" s="7" t="inlineStr">
        <is>
          <t>2026-04-28</t>
        </is>
      </c>
      <c r="L124" s="8" t="inlineStr">
        <is>
          <t>iFinD ifind_get_stock_info + ifind_get_stock_business_segmentation (as of 2026-10-27)；美埃（中国）环境科技股份有限公司2025年年度报告</t>
        </is>
      </c>
      <c r="M124" s="9" t="inlineStr">
        <is>
          <t>https://vip.stock.finance.sina.com.cn/corp/view/vCB_AllBulletinDetail.php?stockid=688376&amp;id=12227147</t>
        </is>
      </c>
    </row>
    <row r="125" ht="104" customHeight="1">
      <c r="B125" s="4" t="inlineStr">
        <is>
          <t>688383</t>
        </is>
      </c>
      <c r="C125" s="4" t="inlineStr">
        <is>
          <t>新益昌</t>
        </is>
      </c>
      <c r="D125" s="5" t="inlineStr">
        <is>
          <t>半导体：半导体设备-封装设备</t>
        </is>
      </c>
      <c r="E125" s="4" t="inlineStr">
        <is>
          <t>纠错</t>
        </is>
      </c>
      <c r="F125" s="4" t="inlineStr">
        <is>
          <t>半导体</t>
        </is>
      </c>
      <c r="G125" s="5" t="inlineStr">
        <is>
          <t>半导体设备-封装设备</t>
        </is>
      </c>
      <c r="H125" s="4" t="inlineStr">
        <is>
          <t>相关</t>
        </is>
      </c>
      <c r="I125" s="5" t="inlineStr">
        <is>
          <t>公司真实设备包括半导体固晶机、LED及新型显示固晶机、电容器老化测试设备和少量锂电池设备，半导体封装设备已有销售，但固晶机分部同时混合LED与半导体下游，不能全额归入半导体。2025年智能制造装备收入6.93550亿元、占营业收入95.4186%；固晶机收入5.34721亿元、约占73.57%，电容器老化测试设备1.05613亿元、约占14.53%，其他设备0.47780亿元，锂电池设备仅0.05436亿元、约占0.75%。半导体固晶和焊线设备并非潜在用途，但缺少全年独立收入拆分且其他设备并存，因此由核心降为相关。旧标签方向基本正确，现按白名单统一为“半导体设备-封装设备”，明确不以全部固晶机收入佐证。</t>
        </is>
      </c>
      <c r="J125" s="4" t="inlineStr">
        <is>
          <t>深圳新益昌科技股份有限公司2025年年度报告</t>
        </is>
      </c>
      <c r="K125" s="4" t="inlineStr">
        <is>
          <t>2026-04-28</t>
        </is>
      </c>
      <c r="L125" s="5" t="inlineStr">
        <is>
          <t>iFinD ifind_get_stock_info + ifind_get_stock_business_segmentation (as of 2026-10-27)；深圳新益昌科技股份有限公司2025年年度报告</t>
        </is>
      </c>
      <c r="M125" s="6" t="inlineStr">
        <is>
          <t>http://money.finance.sina.com.cn/corp/view/vCB_AllBulletinDetail.php?stockid=688383&amp;id=12218826</t>
        </is>
      </c>
    </row>
    <row r="126" ht="104" customHeight="1">
      <c r="B126" s="7" t="inlineStr">
        <is>
          <t>688385</t>
        </is>
      </c>
      <c r="C126" s="7" t="inlineStr">
        <is>
          <t>复旦微电</t>
        </is>
      </c>
      <c r="D126" s="8" t="inlineStr">
        <is>
          <t>半导体：存储芯片-EEPROM</t>
        </is>
      </c>
      <c r="E126" s="7" t="inlineStr">
        <is>
          <t>纠错</t>
        </is>
      </c>
      <c r="F126" s="7" t="inlineStr">
        <is>
          <t>半导体</t>
        </is>
      </c>
      <c r="G126" s="8" t="inlineStr">
        <is>
          <t>芯片设计-存储芯片、芯片设计-FPGA与特种集成电路</t>
        </is>
      </c>
      <c r="H126" s="7" t="inlineStr">
        <is>
          <t>核心</t>
        </is>
      </c>
      <c r="I126" s="8" t="inlineStr">
        <is>
          <t>公司真实产品包括FPGA及其他芯片、非挥发存储器、安全与识别芯片和智能电表芯片，另有集成电路测试服务，不能仅以EEPROM或FPGA单一产品线概括。2025年设计及销售集成电路收入38.28459亿元、占营业收入96.1378%；FPGA及其他芯片14.13618亿元、约占35.50%，非挥发存储器10.41531亿元、约占26.15%，安全识别8.54862亿元、约占21.47%，智能电表5.18449亿元、约占13.02%，测试服务占3.6129%。各芯片均为规模销售，整体定为核心。综合上述收入结构，旧“存储芯片-EEPROM”过窄且把非挥发存储器简单等同EEPROM，现保留“芯片设计-存储芯片”并新增“芯片设计-FPGA与特种集成电路”；本项只审半导体，不带入军工标签。</t>
        </is>
      </c>
      <c r="J126" s="7" t="inlineStr">
        <is>
          <t>上海复旦微电子集团股份有限公司2025年年度报告</t>
        </is>
      </c>
      <c r="K126" s="7" t="inlineStr">
        <is>
          <t>2026-03-28</t>
        </is>
      </c>
      <c r="L126" s="8" t="inlineStr">
        <is>
          <t>iFinD ifind_get_stock_info + ifind_get_stock_business_segmentation (as of 2026-10-27)；上海复旦微电子集团股份有限公司2025年年度报告</t>
        </is>
      </c>
      <c r="M126" s="9" t="inlineStr">
        <is>
          <t>https://www.fmsh.com/UpLoadFile/20260330/%E5%A4%8D%E6%97%A6%E5%BE%AE%E7%94%B5_2025%E5%B9%B4%E5%B9%B4%E5%BA%A6%E6%8A%A5%E5%91%8A-2026-03-28.pdf</t>
        </is>
      </c>
    </row>
    <row r="127" ht="104" customHeight="1">
      <c r="B127" s="4" t="inlineStr">
        <is>
          <t>688392</t>
        </is>
      </c>
      <c r="C127" s="4" t="inlineStr">
        <is>
          <t>骄成超声</t>
        </is>
      </c>
      <c r="D127" s="5" t="inlineStr">
        <is>
          <t>半导体：半导体设备、半导体设备-后道</t>
        </is>
      </c>
      <c r="E127" s="4" t="inlineStr">
        <is>
          <t>纠错</t>
        </is>
      </c>
      <c r="F127" s="4" t="inlineStr">
        <is>
          <t>半导体</t>
        </is>
      </c>
      <c r="G127" s="5" t="inlineStr">
        <is>
          <t>半导体设备-键合与焊接、半导体设备-量测与检测</t>
        </is>
      </c>
      <c r="H127" s="4" t="inlineStr">
        <is>
          <t>相关</t>
        </is>
      </c>
      <c r="I127" s="5" t="inlineStr">
        <is>
          <t>公司超声波平台同时服务动力电池、线束连接器和半导体，半导体真实产品包括铝线及铜线键合机、端子和Pin针焊接机、超声波扫描显微镜，已与锂电焊接设备形成明确产品和收入区分。2025年半导体超声波设备收入0.963799亿元、约占营业收入12.45%，动力电池超声波焊接设备2.22359亿元、约占28.73%，线束连接器设备1.02516亿元、约占13.24%，配件2.60346亿元、约占33.64%。半导体业务已有近亿元收入和客户交付，不是早期概念，但占比仍低且其他下游更大，故维持相关。综合上述收入结构，旧“半导体设备”和“后道”重复宽泛，现细化为“半导体设备-键合与焊接”及“半导体设备-量测与检测”，严禁将锂电收入并入。</t>
        </is>
      </c>
      <c r="J127" s="4" t="inlineStr">
        <is>
          <t>上海骄成超声波技术股份有限公司2025年年度报告</t>
        </is>
      </c>
      <c r="K127" s="4" t="inlineStr">
        <is>
          <t>2026-03-31</t>
        </is>
      </c>
      <c r="L127" s="5" t="inlineStr">
        <is>
          <t>iFinD ifind_get_stock_info + ifind_get_stock_business_segmentation (as of 2026-10-27)；上海骄成超声波技术股份有限公司2025年年度报告</t>
        </is>
      </c>
      <c r="M127" s="6" t="inlineStr">
        <is>
          <t>https://static.cninfo.com.cn/finalpage/2026-03-31/1225063065.PDF</t>
        </is>
      </c>
    </row>
    <row r="128" ht="104" customHeight="1">
      <c r="B128" s="7" t="inlineStr">
        <is>
          <t>688396</t>
        </is>
      </c>
      <c r="C128" s="7" t="inlineStr">
        <is>
          <t>华润微</t>
        </is>
      </c>
      <c r="D128" s="8" t="inlineStr">
        <is>
          <t>半导体：功率半导体</t>
        </is>
      </c>
      <c r="E128" s="7" t="inlineStr">
        <is>
          <t>纠错</t>
        </is>
      </c>
      <c r="F128" s="7" t="inlineStr">
        <is>
          <t>半导体</t>
        </is>
      </c>
      <c r="G128" s="8" t="inlineStr">
        <is>
          <t>芯片设计-功率半导体、晶圆制造与IDM</t>
        </is>
      </c>
      <c r="H128" s="7" t="inlineStr">
        <is>
          <t>核心</t>
        </is>
      </c>
      <c r="I128" s="8" t="inlineStr">
        <is>
          <t>公司采用设计、晶圆制造、封装测试一体化IDM模式，真实产品包括MOSFET、IGBT、SiC和GaN器件、功率模块、功率IC以及智能传感器和控制产品，功率半导体与制造服务均为实际经营收入。2025年集成电路收入108.20661亿元、占营业收入97.8909%；产品及方案收入60.27878亿元、约占总收入54.53%，制造及服务47.92783亿元、约占43.36%，其他业务仅2.1091%。半导体业务占绝对主体且功率产品规模化，故定为核心，评级依据是已披露的主营产品和收入结构，而非概念热度或尚未兑现的潜在用途。综合上述收入结构，旧“功率半导体”只覆盖产品方案一侧，未体现IDM制造属性，现保留“芯片设计-功率半导体”并补充“晶圆制造与IDM”，同时避免把全部制造服务收入解释为功率器件销售。</t>
        </is>
      </c>
      <c r="J128" s="7" t="inlineStr">
        <is>
          <t>华润微电子有限公司2025年年度报告</t>
        </is>
      </c>
      <c r="K128" s="7" t="inlineStr">
        <is>
          <t>2026-04-25</t>
        </is>
      </c>
      <c r="L128" s="8" t="inlineStr">
        <is>
          <t>iFinD ifind_get_stock_info + ifind_get_stock_business_segmentation (as of 2026-10-27)；华润微电子有限公司2025年年度报告</t>
        </is>
      </c>
      <c r="M128" s="9" t="inlineStr">
        <is>
          <t>http://money.finance.sina.com.cn/corp/view/vCB_AllBulletinDetail.php?stockid=688396&amp;id=12193705</t>
        </is>
      </c>
    </row>
    <row r="129" ht="104" customHeight="1">
      <c r="B129" s="4" t="inlineStr">
        <is>
          <t>688401</t>
        </is>
      </c>
      <c r="C129" s="4" t="inlineStr">
        <is>
          <t>路维光电</t>
        </is>
      </c>
      <c r="D129" s="5" t="inlineStr">
        <is>
          <t>半导体：半导体材料</t>
        </is>
      </c>
      <c r="E129" s="4" t="inlineStr">
        <is>
          <t>纠错</t>
        </is>
      </c>
      <c r="F129" s="4" t="inlineStr">
        <is>
          <t>半导体</t>
        </is>
      </c>
      <c r="G129" s="5" t="inlineStr">
        <is>
          <t>半导体材料-掩膜版</t>
        </is>
      </c>
      <c r="H129" s="4" t="inlineStr">
        <is>
          <t>相关</t>
        </is>
      </c>
      <c r="I129" s="5" t="inlineStr">
        <is>
          <t>公司主营石英和苏打掩膜版，真实下游包括平板显示与半导体，半导体产品已实现150nm量产、130nm小批量量产，90nm及以上成套产品通过验证并供货，40nm和28nm单片完成验证，不能只按研发潜力贴标。2025年掩膜版行业收入11.55076亿元、占营业收入99.9866%，其中石英掩膜版10.58267亿元、约占91.61%，苏打掩膜版0.89909亿元、约占7.78%；年报未给出半导体独立收入，显示掩膜版仍被公司表述为主要收入来源，半导体为第二成长曲线。因此半导体业务真实且已量产，但混合下游和拆分不足使其定为相关，较旧核心结论更审慎。综合上述收入结构，旧“半导体材料”现规范为“半导体材料-掩膜版”。</t>
        </is>
      </c>
      <c r="J129" s="4" t="inlineStr">
        <is>
          <t>深圳市路维光电股份有限公司2025年年度报告</t>
        </is>
      </c>
      <c r="K129" s="4" t="inlineStr">
        <is>
          <t>2026-04-17</t>
        </is>
      </c>
      <c r="L129" s="5" t="inlineStr">
        <is>
          <t>iFinD ifind_get_stock_info + ifind_get_stock_business_segmentation (as of 2026-10-27)；深圳市路维光电股份有限公司2025年年度报告</t>
        </is>
      </c>
      <c r="M129" s="6" t="inlineStr">
        <is>
          <t>https://money.finance.sina.com.cn/corp/view/vCB_AllBulletinDetail.php?stockid=688401&amp;id=12102577</t>
        </is>
      </c>
    </row>
    <row r="130" ht="104" customHeight="1">
      <c r="B130" s="7" t="inlineStr">
        <is>
          <t>688416</t>
        </is>
      </c>
      <c r="C130" s="7" t="inlineStr">
        <is>
          <t>恒烁股份</t>
        </is>
      </c>
      <c r="D130" s="8" t="inlineStr">
        <is>
          <t>半导体：存储芯片-NOR Flash</t>
        </is>
      </c>
      <c r="E130" s="7" t="inlineStr">
        <is>
          <t>纠错</t>
        </is>
      </c>
      <c r="F130" s="7" t="inlineStr">
        <is>
          <t>半导体</t>
        </is>
      </c>
      <c r="G130" s="8" t="inlineStr">
        <is>
          <t>芯片设计-存储芯片、芯片设计-MCU与嵌入式</t>
        </is>
      </c>
      <c r="H130" s="7" t="inlineStr">
        <is>
          <t>核心</t>
        </is>
      </c>
      <c r="I130" s="8" t="inlineStr">
        <is>
          <t>公司真实产品是NOR Flash存储芯片和MCU，均为自主研发设计及销售的集成电路，不是存储模组或单一AI模组企业。2025年集成电路收入4.74511亿元、占营业收入99.9708%；NOR Flash收入4.09627亿元、约占86.30%，MCU收入0.64884亿元、约占13.67%，其他业务仅0.0292%。NOR已形成主要规模收入，MCU也有数千万元销售，二者共同构成清晰主业，因此定为核心。综合上述收入结构，旧“存储芯片-NOR Flash”虽抓住最大产品，却遗漏已占约13.67%的MCU业务且不合白名单，现以“芯片设计-存储芯片”为主并补充“芯片设计-MCU与嵌入式”；AI算法模组不作为本项半导体收入或概念依据。</t>
        </is>
      </c>
      <c r="J130" s="7" t="inlineStr">
        <is>
          <t>恒烁半导体（合肥）股份有限公司2025年年度报告摘要</t>
        </is>
      </c>
      <c r="K130" s="7" t="inlineStr">
        <is>
          <t>2026-04-18</t>
        </is>
      </c>
      <c r="L130" s="8" t="inlineStr">
        <is>
          <t>iFinD ifind_get_stock_info + ifind_get_stock_business_segmentation (as of 2026-10-27)；恒烁半导体（合肥）股份有限公司2025年年度报告摘要</t>
        </is>
      </c>
      <c r="M130" s="9" t="inlineStr">
        <is>
          <t>https://guba.eastmoney.com/news,688416,1695339414.html</t>
        </is>
      </c>
    </row>
    <row r="131" ht="104" customHeight="1">
      <c r="B131" s="4" t="inlineStr">
        <is>
          <t>688419</t>
        </is>
      </c>
      <c r="C131" s="4" t="inlineStr">
        <is>
          <t>耐科装备</t>
        </is>
      </c>
      <c r="D131" s="5" t="inlineStr">
        <is>
          <t>半导体：半导体设备-封装设备</t>
        </is>
      </c>
      <c r="E131" s="4" t="inlineStr">
        <is>
          <t>纠错</t>
        </is>
      </c>
      <c r="F131" s="4" t="inlineStr">
        <is>
          <t>半导体</t>
        </is>
      </c>
      <c r="G131" s="5" t="inlineStr">
        <is>
          <t>半导体设备-封装设备</t>
        </is>
      </c>
      <c r="H131" s="4" t="inlineStr">
        <is>
          <t>相关</t>
        </is>
      </c>
      <c r="I131" s="5" t="inlineStr">
        <is>
          <t>公司同时经营半导体封装装备与塑料挤出成型装备，半导体真实产品为封装设备和封装模具，已形成批量交付，不是借助封装概念延伸的潜在业务。2025年半导体封装设备及模具收入1.19834亿元、占营业收入40.6342%，其中封装设备0.97218亿元、约占32.97%，封装模具0.22616亿元、约占7.67%；塑料挤出成型模具、装置及下游设备收入1.67901亿元、占56.9333%，仍高于半导体板块。半导体业务规模真实且占比较高，但公司收入多数来自另一装备主业，因此由核心降为相关。综合上述收入结构，旧“半导体设备-封装设备”方向正确，现按白名单保留该精确标签，并明确塑料挤出业务不得混入半导体口径。</t>
        </is>
      </c>
      <c r="J131" s="4" t="inlineStr">
        <is>
          <t>安徽耐科装备科技股份有限公司2025年年度报告</t>
        </is>
      </c>
      <c r="K131" s="4" t="inlineStr">
        <is>
          <t>2026-03-21</t>
        </is>
      </c>
      <c r="L131" s="5" t="inlineStr">
        <is>
          <t>iFinD ifind_get_stock_info + ifind_get_stock_business_segmentation (as of 2026-10-27)；安徽耐科装备科技股份有限公司2025年年度报告</t>
        </is>
      </c>
      <c r="M131" s="6" t="inlineStr">
        <is>
          <t>http://dataclouds.cninfo.com.cn/shgonggao/hsomarket/2026/20260320/807e3b3912724608b0bb3c54a201cf64.PDF</t>
        </is>
      </c>
    </row>
    <row r="132" ht="104" customHeight="1">
      <c r="B132" s="7" t="inlineStr">
        <is>
          <t>688449</t>
        </is>
      </c>
      <c r="C132" s="7" t="inlineStr">
        <is>
          <t>联芸科技</t>
        </is>
      </c>
      <c r="D132" s="8" t="inlineStr">
        <is>
          <t>半导体：存储主控</t>
        </is>
      </c>
      <c r="E132" s="7" t="inlineStr">
        <is>
          <t>纠错</t>
        </is>
      </c>
      <c r="F132" s="7" t="inlineStr">
        <is>
          <t>半导体</t>
        </is>
      </c>
      <c r="G132" s="8" t="inlineStr">
        <is>
          <t>芯片设计-存储主控与接口</t>
        </is>
      </c>
      <c r="H132" s="7" t="inlineStr">
        <is>
          <t>核心</t>
        </is>
      </c>
      <c r="I132" s="8" t="inlineStr">
        <is>
          <t>公司真实产品是固态硬盘等数据存储主控芯片以及AIoT信号处理和传输芯片，存储主控是控制闪存读写的芯片设计业务，不是NAND晶圆、存储模组或SSD整机制造。2025年集成电路收入12.95928亿元、占营业收入97.6489%；数据存储主控芯片收入11.63097亿元、约占总收入87.64%，AIoT信号处理及传输芯片1.32831亿元、约占10.01%，其他业务2.3511%。存储主控已形成绝对规模收入，混合产品线边界清楚，故定为核心，评级依据是已披露的主营产品和收入结构，而非概念热度或尚未兑现的潜在用途。综合上述收入结构，旧“存储主控”方向正确但不在白名单，现规范为“芯片设计-存储主控与接口”，同时明确不能因公司服务存储产业链就把全部业务误写成存储芯片设计。</t>
        </is>
      </c>
      <c r="J132" s="7" t="inlineStr">
        <is>
          <t>联芸科技（杭州）股份有限公司2025年年度报告摘要</t>
        </is>
      </c>
      <c r="K132" s="7" t="inlineStr">
        <is>
          <t>2026-04-10</t>
        </is>
      </c>
      <c r="L132" s="8" t="inlineStr">
        <is>
          <t>iFinD ifind_get_stock_info + ifind_get_stock_business_segmentation (as of 2026-10-27)；联芸科技（杭州）股份有限公司2025年年度报告摘要</t>
        </is>
      </c>
      <c r="M132" s="9" t="inlineStr">
        <is>
          <t>https://guba.eastmoney.com/news,832982,1691378870.html</t>
        </is>
      </c>
    </row>
    <row r="133" ht="104" customHeight="1">
      <c r="B133" s="4" t="inlineStr">
        <is>
          <t>688469</t>
        </is>
      </c>
      <c r="C133" s="4" t="inlineStr">
        <is>
          <t>芯联集成-U</t>
        </is>
      </c>
      <c r="D133" s="5" t="inlineStr">
        <is>
          <t>半导体：功率半导体</t>
        </is>
      </c>
      <c r="E133" s="4" t="inlineStr">
        <is>
          <t>纠错</t>
        </is>
      </c>
      <c r="F133" s="4" t="inlineStr">
        <is>
          <t>半导体</t>
        </is>
      </c>
      <c r="G133" s="5" t="inlineStr">
        <is>
          <t>晶圆制造与IDM、芯片设计-功率半导体、封装测试</t>
        </is>
      </c>
      <c r="H133" s="4" t="inlineStr">
        <is>
          <t>核心</t>
        </is>
      </c>
      <c r="I133" s="5" t="inlineStr">
        <is>
          <t>公司真实业务是功率器件、模拟IC及MEMS的系统代工，产品覆盖IGBT、MOSFET、SiC MOSFET芯片与模组，同时提供晶圆制造和模组封测，并非单纯功率芯片设计商。2025年晶圆代工收入59.8321亿元，占总收入约81.7973亿元的73.15%；封装测试收入15.0785亿元，占18.43%，研发服务和其他业务另计，不能把全部晶圆代工收入都归为功率半导体，因为其中还含MEMS和模拟等混合口径。规模化制造与封测收入足以定为半导体核心，旧标签只写“功率半导体”过窄，应补上晶圆制造与IDM、封装测试，并保留功率器件这一真实技术主线。</t>
        </is>
      </c>
      <c r="J133" s="4" t="inlineStr">
        <is>
          <t>芯联集成电路制造股份有限公司2025年年度报告</t>
        </is>
      </c>
      <c r="K133" s="4" t="inlineStr">
        <is>
          <t>2026-04-21</t>
        </is>
      </c>
      <c r="L133" s="5" t="inlineStr">
        <is>
          <t>iFinD ifind_get_stock_info + ifind_get_stock_business_segmentation (as of 2026-10-27)；芯联集成电路制造股份有限公司2025年年度报告</t>
        </is>
      </c>
      <c r="M133" s="6" t="inlineStr">
        <is>
          <t>http://static.cninfo.com.cn/finalpage/2026-04-21/1225128269.PDF</t>
        </is>
      </c>
    </row>
    <row r="134" ht="104" customHeight="1">
      <c r="B134" s="7" t="inlineStr">
        <is>
          <t>688516</t>
        </is>
      </c>
      <c r="C134" s="7" t="inlineStr">
        <is>
          <t>奥特维</t>
        </is>
      </c>
      <c r="D134" s="8" t="inlineStr">
        <is>
          <t>半导体：半导体设备-封装设备</t>
        </is>
      </c>
      <c r="E134" s="7" t="inlineStr">
        <is>
          <t>纠错</t>
        </is>
      </c>
      <c r="F134" s="7" t="inlineStr">
        <is>
          <t>半导体</t>
        </is>
      </c>
      <c r="G134" s="8" t="inlineStr">
        <is>
          <t>半导体设备-封装设备、半导体设备-划片与切割、半导体设备-键合与焊接、半导体设备-量测与检测</t>
        </is>
      </c>
      <c r="H134" s="7" t="inlineStr">
        <is>
          <t>相关</t>
        </is>
      </c>
      <c r="I134" s="8" t="inlineStr">
        <is>
          <t>公司确有半导体封测设备产品和订单，铝线键合机、半导体AOI检测设备取得批量订单，划片机、装片机通过客户验证并取得小批量订单，因而不是凭光伏设备潜在迁移用途贴标签。2025年半导体产品收入1.4600亿元，仅占总收入约63.9718亿元的2.28%；光伏设备收入44.4357亿元，锂电及储能设备、改造服务另列，说明公司收入基本盘仍明显在光伏。半导体业务已经商业化但占比低，应定为“相关”而非核心。旧“半导体封装设备”方向可保留，但须按真实产品细化到划片切割、键合焊接和检测，并明确1.4600亿元是混合半导体设备口径，不能虚构各机型收入。</t>
        </is>
      </c>
      <c r="J134" s="7" t="inlineStr">
        <is>
          <t>无锡奥特维科技股份有限公司2025年年度报告</t>
        </is>
      </c>
      <c r="K134" s="7" t="inlineStr">
        <is>
          <t>2026-04-23</t>
        </is>
      </c>
      <c r="L134" s="8" t="inlineStr">
        <is>
          <t>iFinD ifind_get_stock_info + ifind_get_stock_business_segmentation (as of 2026-10-27)；无锡奥特维科技股份有限公司2025年年度报告</t>
        </is>
      </c>
      <c r="M134" s="9" t="inlineStr">
        <is>
          <t>http://static.cninfo.com.cn/finalpage/2026-04-23/1225145661.PDF</t>
        </is>
      </c>
    </row>
    <row r="135" ht="104" customHeight="1">
      <c r="B135" s="4" t="inlineStr">
        <is>
          <t>688521</t>
        </is>
      </c>
      <c r="C135" s="4" t="inlineStr">
        <is>
          <t>芯原股份</t>
        </is>
      </c>
      <c r="D135" s="5" t="inlineStr">
        <is>
          <t>半导体：端侧AI芯片</t>
        </is>
      </c>
      <c r="E135" s="4" t="inlineStr">
        <is>
          <t>纠错</t>
        </is>
      </c>
      <c r="F135" s="4" t="inlineStr">
        <is>
          <t>半导体</t>
        </is>
      </c>
      <c r="G135" s="5" t="inlineStr">
        <is>
          <t>EDA/IP与设计服务</t>
        </is>
      </c>
      <c r="H135" s="4" t="inlineStr">
        <is>
          <t>核心</t>
        </is>
      </c>
      <c r="I135" s="5" t="inlineStr">
        <is>
          <t>公司依托自主半导体IP提供一站式芯片定制和IP授权，真实交付包括芯片设计、由设计导入的量产服务、知识产权授权及特许权使用，不应被简单等同为销售自有端侧AI芯片的品牌芯片公司。2025年量产业务收入14.8968亿元，占总收入约31.5244亿元的47.25%；芯片设计业务8.7656亿元，占27.81%；知识产权授权使用费6.7125亿元，占21.29%，特许权使用费1.1091亿元另计。各业务均围绕集成电路设计和IP展开，核心定级有完整收入基础，但量产业务也含客户定制产品制造交付，不能全算IP收入。此次纠错以“EDA/IP与设计服务”替代旧“端侧AI芯片”，保留其AI、SoC设计能力作为应用边界而非虚构自有芯片收入。</t>
        </is>
      </c>
      <c r="J135" s="4" t="inlineStr">
        <is>
          <t>芯原股份：2025年年度报告</t>
        </is>
      </c>
      <c r="K135" s="4" t="inlineStr">
        <is>
          <t>2026-03-31</t>
        </is>
      </c>
      <c r="L135" s="5" t="inlineStr">
        <is>
          <t>iFinD ifind_get_stock_info + ifind_get_stock_business_segmentation (as of 2026-10-27)；芯原股份：2025年年度报告</t>
        </is>
      </c>
      <c r="M135" s="6" t="inlineStr">
        <is>
          <t>http://money.finance.sina.com.cn/corp/view/vCB_AllBulletinDetail.php?stockid=688521&amp;id=12043598</t>
        </is>
      </c>
    </row>
    <row r="136" ht="104" customHeight="1">
      <c r="B136" s="7" t="inlineStr">
        <is>
          <t>688525</t>
        </is>
      </c>
      <c r="C136" s="7" t="inlineStr">
        <is>
          <t>佰维存储</t>
        </is>
      </c>
      <c r="D136" s="8" t="inlineStr">
        <is>
          <t>半导体：存储模组</t>
        </is>
      </c>
      <c r="E136" s="7" t="inlineStr">
        <is>
          <t>纠错</t>
        </is>
      </c>
      <c r="F136" s="7" t="inlineStr">
        <is>
          <t>半导体</t>
        </is>
      </c>
      <c r="G136" s="8" t="inlineStr">
        <is>
          <t>存储模组与系统、封装测试</t>
        </is>
      </c>
      <c r="H136" s="7" t="inlineStr">
        <is>
          <t>核心</t>
        </is>
      </c>
      <c r="I136" s="8" t="inlineStr">
        <is>
          <t>公司是独立半导体存储解决方案提供商，真实产品包括嵌入式存储、消费级和工业级存储模组，并配套先进封装测试；其研发设计、固件、封测和模组制造能力不等于拥有DRAM或NAND存储晶圆设计制造主业。2025年三类存储产品合计收入约108.5048亿元，占总收入约113.0245亿元的96.00%，其中嵌入式68.7848亿元、消费级36.9454亿元、工业级2.7746亿元；先进封装及测试收入1.6951亿元，占1.50%，规模相对较小且不能与模组收入混算。存储业务足以定为核心，旧标签应落到“存储模组与系统”，并按真实服务补充“封装测试”，明确摘除任何把模组厂误写成存储晶圆厂的映射。</t>
        </is>
      </c>
      <c r="J136" s="7" t="inlineStr">
        <is>
          <t>佰维存储：2025年年度报告</t>
        </is>
      </c>
      <c r="K136" s="7" t="inlineStr">
        <is>
          <t>2026-03-20</t>
        </is>
      </c>
      <c r="L136" s="8" t="inlineStr">
        <is>
          <t>iFinD ifind_get_stock_info + ifind_get_stock_business_segmentation (as of 2026-10-27)；佰维存储：2025年年度报告</t>
        </is>
      </c>
      <c r="M136" s="9" t="inlineStr">
        <is>
          <t>https://money.finance.sina.com.cn/corp/view/vCB_AllBulletinDetail.php?stockid=688525&amp;id=12005837</t>
        </is>
      </c>
    </row>
    <row r="137" ht="104" customHeight="1">
      <c r="B137" s="4" t="inlineStr">
        <is>
          <t>688535</t>
        </is>
      </c>
      <c r="C137" s="4" t="inlineStr">
        <is>
          <t>华海诚科</t>
        </is>
      </c>
      <c r="D137" s="5" t="inlineStr">
        <is>
          <t>半导体：半导体材料-HBM塑封料</t>
        </is>
      </c>
      <c r="E137" s="4" t="inlineStr">
        <is>
          <t>纠错</t>
        </is>
      </c>
      <c r="F137" s="4" t="inlineStr">
        <is>
          <t>半导体</t>
        </is>
      </c>
      <c r="G137" s="5" t="inlineStr">
        <is>
          <t>半导体材料-封装材料</t>
        </is>
      </c>
      <c r="H137" s="4" t="inlineStr">
        <is>
          <t>核心</t>
        </is>
      </c>
      <c r="I137" s="5" t="inlineStr">
        <is>
          <t>公司规模化主业是半导体封装用环氧塑封料和电子胶黏剂，产品直接用于芯片封装，属于封装材料而非泛化的HBM单一概念。2025年环氧塑封料收入4.2839亿元，占总收入约4.5806亿元的93.52%；胶黏剂收入0.2781亿元，清润模材料收入0.0161亿元，收入边界清晰。年报披露先进封装、GMC及HBM相关材料的研发验证进展，但没有单独给出HBM塑封料收入，不能把全部环氧塑封料收入视作HBM收入，也不能把验证阶段产品写成已经规模放量。公司传统封装材料主业规模充分，定为半导体核心；此次纠错将过窄且容易夸大收入口径的旧“HBM塑封料”改为白名单“半导体材料-封装材料”。</t>
        </is>
      </c>
      <c r="J137" s="4" t="inlineStr">
        <is>
          <t>江苏华海诚科新材料股份有限公司2025年年度报告</t>
        </is>
      </c>
      <c r="K137" s="4" t="inlineStr">
        <is>
          <t>2026-03-18</t>
        </is>
      </c>
      <c r="L137" s="5" t="inlineStr">
        <is>
          <t>iFinD ifind_get_stock_info + ifind_get_stock_business_segmentation (as of 2026-10-27)；江苏华海诚科新材料股份有限公司2025年年度报告</t>
        </is>
      </c>
      <c r="M137" s="6" t="inlineStr">
        <is>
          <t>http://file.finance.sina.com.cn/211.154.219.97:9494/MRGG/CNSESH_STOCK/2026/2026-3/2026-03-18/12000695.PDF</t>
        </is>
      </c>
    </row>
    <row r="138" ht="104" customHeight="1">
      <c r="B138" s="7" t="inlineStr">
        <is>
          <t>688545</t>
        </is>
      </c>
      <c r="C138" s="7" t="inlineStr">
        <is>
          <t>兴福电子</t>
        </is>
      </c>
      <c r="D138" s="8" t="inlineStr">
        <is>
          <t>半导体：半导体材料</t>
        </is>
      </c>
      <c r="E138" s="7" t="inlineStr">
        <is>
          <t>纠错</t>
        </is>
      </c>
      <c r="F138" s="7" t="inlineStr">
        <is>
          <t>半导体</t>
        </is>
      </c>
      <c r="G138" s="8" t="inlineStr">
        <is>
          <t>半导体材料-电子特气与湿化学品</t>
        </is>
      </c>
      <c r="H138" s="7" t="inlineStr">
        <is>
          <t>核心</t>
        </is>
      </c>
      <c r="I138" s="8" t="inlineStr">
        <is>
          <t>公司真实产品是电子级磷酸、硫酸、双氧水等通用湿电子化学品以及功能湿电子化学品，直接服务集成电路制造清洗、蚀刻等工艺，属于已有规模收入的半导体关键材料。2025年集成电路行业收入12.4758亿元，占总收入约14.7498亿元的84.58%；通用型产品收入10.9347亿元、功能型产品2.4475亿元，但产品口径还覆盖显示面板等下游，并另有回收综合利用和代工收入，不能把两类产品收入全部当成半导体收入。以集成电路行业口径衡量，主营规模和下游纯度均支持核心定级。旧“半导体材料”粗标签应纠正为“电子特气与湿化学品”，同时保留混合下游边界，不追加光刻胶或电子特气中并无依据的具体产品。</t>
        </is>
      </c>
      <c r="J138" s="7" t="inlineStr">
        <is>
          <t>湖北兴福电子材料股份有限公司2025年年度报告</t>
        </is>
      </c>
      <c r="K138" s="7" t="inlineStr">
        <is>
          <t>2026-03-31</t>
        </is>
      </c>
      <c r="L138" s="8" t="inlineStr">
        <is>
          <t>iFinD ifind_get_stock_info + ifind_get_stock_business_segmentation (as of 2026-10-27)；湖北兴福电子材料股份有限公司2025年年度报告</t>
        </is>
      </c>
      <c r="M138" s="9" t="inlineStr">
        <is>
          <t>http://static.cninfo.com.cn/finalpage/2026-03-31/1225059665.PDF</t>
        </is>
      </c>
    </row>
    <row r="139" ht="104" customHeight="1">
      <c r="B139" s="4" t="inlineStr">
        <is>
          <t>688591</t>
        </is>
      </c>
      <c r="C139" s="4" t="inlineStr">
        <is>
          <t>泰凌微</t>
        </is>
      </c>
      <c r="D139" s="5" t="inlineStr">
        <is>
          <t>半导体：端侧AI芯片</t>
        </is>
      </c>
      <c r="E139" s="4" t="inlineStr">
        <is>
          <t>纠错</t>
        </is>
      </c>
      <c r="F139" s="4" t="inlineStr">
        <is>
          <t>半导体</t>
        </is>
      </c>
      <c r="G139" s="5" t="inlineStr">
        <is>
          <t>芯片设计-SoC与端侧AI、芯片设计-射频与通信芯片</t>
        </is>
      </c>
      <c r="H139" s="4" t="inlineStr">
        <is>
          <t>核心</t>
        </is>
      </c>
      <c r="I139" s="5" t="inlineStr">
        <is>
          <t>公司真实主业为低功耗无线物联网系统级芯片，产品包括IoT芯片和音频芯片，覆盖蓝牙、多协议无线连接及端侧智能应用，既有无线通信芯片属性，也有SoC和端侧AI延伸，不能只贴一个泛化的AI标签。2025年IoT芯片收入8.9843亿元，占总收入约10.1503亿元的88.51%；音频芯片收入1.1454亿元，占11.28%，集成电路收入基本构成全部主营。上述收入证明芯片设计主业已规模化，支持核心定级，但IoT和音频收入并不全部等于端侧AI收入，年报所述端侧AI新品放量预期不能倒推为2025年既有收入。此次纠错保留SoC与端侧AI方向，同时补回射频与通信芯片的真实基本盘并明确混合产品边界。</t>
        </is>
      </c>
      <c r="J139" s="4" t="inlineStr">
        <is>
          <t>泰凌微电子（上海）股份有限公司2025年年度报告</t>
        </is>
      </c>
      <c r="K139" s="4" t="inlineStr">
        <is>
          <t>2026-04-10</t>
        </is>
      </c>
      <c r="L139" s="5" t="inlineStr">
        <is>
          <t>iFinD ifind_get_stock_info + ifind_get_stock_business_segmentation (as of 2026-10-27)；泰凌微电子（上海）股份有限公司2025年年度报告</t>
        </is>
      </c>
      <c r="M139" s="6" t="inlineStr">
        <is>
          <t>http://file.finance.sina.com.cn/211.154.219.97:9494/MRGG/CNSESH_STOCK/2026/2026-4/2026-04-10/12073254.PDF</t>
        </is>
      </c>
    </row>
    <row r="140" ht="104" customHeight="1">
      <c r="B140" s="7" t="inlineStr">
        <is>
          <t>688595</t>
        </is>
      </c>
      <c r="C140" s="7" t="inlineStr">
        <is>
          <t>芯海科技</t>
        </is>
      </c>
      <c r="D140" s="8" t="inlineStr">
        <is>
          <t>半导体：端侧AI芯片</t>
        </is>
      </c>
      <c r="E140" s="7" t="inlineStr">
        <is>
          <t>纠错</t>
        </is>
      </c>
      <c r="F140" s="7" t="inlineStr">
        <is>
          <t>半导体</t>
        </is>
      </c>
      <c r="G140" s="8" t="inlineStr">
        <is>
          <t>芯片设计-MCU与嵌入式、芯片设计-模拟与电源管理、芯片设计-SoC与端侧AI</t>
        </is>
      </c>
      <c r="H140" s="7" t="inlineStr">
        <is>
          <t>核心</t>
        </is>
      </c>
      <c r="I140" s="8" t="inlineStr">
        <is>
          <t>公司真实产品矩阵由模拟信号链、MCU和健康测量AIoT芯片构成，不能把全部业务简化为端侧AI，也不能只凭“信号链MCU”忽略各产品线的独立收入。2025年MCU芯片收入3.3986亿元，占总收入约8.4856亿元的40.05%；模拟信号链芯片2.9945亿元，占35.29%；健康测量AIoT芯片1.8317亿元，占21.59%，其余为其他产品和技术开发服务。三条主要产品线均已形成实际销售，集成电路主业足以定为半导体核心，但AIoT收入仅为其中一个分部，不能将MCU和模拟芯片收入也包装成AI收入。此次纠错把旧单一“端侧AI芯片”拆成MCU与嵌入式、模拟与电源管理、SoC与端侧AI三个白名单方向。</t>
        </is>
      </c>
      <c r="J140" s="7" t="inlineStr">
        <is>
          <t>芯海科技：2025年年度报告</t>
        </is>
      </c>
      <c r="K140" s="7" t="inlineStr">
        <is>
          <t>2026-03-31</t>
        </is>
      </c>
      <c r="L140" s="8" t="inlineStr">
        <is>
          <t>iFinD ifind_get_stock_info + ifind_get_stock_business_segmentation (as of 2026-10-27)；芯海科技：2025年年度报告</t>
        </is>
      </c>
      <c r="M140" s="9" t="inlineStr">
        <is>
          <t>http://money.finance.sina.com.cn/corp/view/vCB_AllBulletinDetail.php?stockid=688595&amp;id=12048712</t>
        </is>
      </c>
    </row>
    <row r="141" ht="104" customHeight="1">
      <c r="B141" s="4" t="inlineStr">
        <is>
          <t>688605</t>
        </is>
      </c>
      <c r="C141" s="4" t="inlineStr">
        <is>
          <t>先锋精科</t>
        </is>
      </c>
      <c r="D141" s="5" t="inlineStr">
        <is>
          <t>半导体：半导体设备-前道</t>
        </is>
      </c>
      <c r="E141" s="4" t="inlineStr">
        <is>
          <t>纠错</t>
        </is>
      </c>
      <c r="F141" s="4" t="inlineStr">
        <is>
          <t>半导体</t>
        </is>
      </c>
      <c r="G141" s="5" t="inlineStr">
        <is>
          <t>设备核心零部件</t>
        </is>
      </c>
      <c r="H141" s="4" t="inlineStr">
        <is>
          <t>核心</t>
        </is>
      </c>
      <c r="I141" s="5" t="inlineStr">
        <is>
          <t>公司实际从事半导体刻蚀、薄膜沉积设备关键零部件的精密制造，主要产品是腔体、内衬、加热器、匀气盘等工艺和结构部件，并不生产完整刻蚀机或薄膜沉积设备。2025年半导体行业收入11.9432亿元，占总收入约12.3773亿元的96.49%；其中工艺部件8.9409亿元、结构部件2.3785亿元，模组、其他部件及表面处理分别披露，半导体收入纯度和规模均很高，定为半导体核心没有疑问。但核心定级不改变其供应商层级，不能把零部件收入写成前道整机收入。此次纠错应将旧“半导体设备-前道”改为“设备核心零部件”，并保留刻蚀和薄膜沉积只是下游设备应用方向的边界。</t>
        </is>
      </c>
      <c r="J141" s="4" t="inlineStr">
        <is>
          <t>江苏先锋精密科技股份有限公司2025年年度报告</t>
        </is>
      </c>
      <c r="K141" s="4" t="inlineStr">
        <is>
          <t>2026-04-10</t>
        </is>
      </c>
      <c r="L141" s="5" t="inlineStr">
        <is>
          <t>iFinD ifind_get_stock_info + ifind_get_stock_business_segmentation (as of 2026-10-27)；江苏先锋精密科技股份有限公司2025年年度报告</t>
        </is>
      </c>
      <c r="M141" s="6" t="inlineStr">
        <is>
          <t>https://static.sse.com.cn/disclosure/listedinfo/announcement/c/new/2026-04-10/688605_20260410_L559.pdf</t>
        </is>
      </c>
    </row>
    <row r="142" ht="104" customHeight="1">
      <c r="B142" s="7" t="inlineStr">
        <is>
          <t>688608</t>
        </is>
      </c>
      <c r="C142" s="7" t="inlineStr">
        <is>
          <t>恒玄科技</t>
        </is>
      </c>
      <c r="D142" s="8" t="inlineStr">
        <is>
          <t>半导体：端侧AI芯片</t>
        </is>
      </c>
      <c r="E142" s="7" t="inlineStr">
        <is>
          <t>纠错</t>
        </is>
      </c>
      <c r="F142" s="7" t="inlineStr">
        <is>
          <t>半导体</t>
        </is>
      </c>
      <c r="G142" s="8" t="inlineStr">
        <is>
          <t>芯片设计-SoC与端侧AI、芯片设计-射频与通信芯片</t>
        </is>
      </c>
      <c r="H142" s="7" t="inlineStr">
        <is>
          <t>核心</t>
        </is>
      </c>
      <c r="I142" s="8" t="inlineStr">
        <is>
          <t>公司真实产品为智能无线音频、智能可穿戴和智能硬件SoC，集成低功耗无线连接、音频处理和计算能力，广泛用于耳机、手表、智能眼镜等终端，属于端侧SoC与无线通信芯片设计公司。2025年集成电路行业收入35.2389亿元，占总收入约35.2478亿元的99.97%；其中智能蓝牙音频芯片14.4351亿元、普通蓝牙音频芯片4.2874亿元，“其他”产品16.5164亿元还混合包含可穿戴和智能硬件等，不能将全部“其他”收入单列为某一AI产品。芯片收入规模及纯度支持核心定级，但端侧AI是SoC能力与应用方向，并非所有收入的同义词。此次纠错在保留SoC与端侧AI的同时补充射频与通信芯片，纠正旧标签过窄的问题。</t>
        </is>
      </c>
      <c r="J142" s="7" t="inlineStr">
        <is>
          <t>恒玄科技（上海）股份有限公司2025年年度报告</t>
        </is>
      </c>
      <c r="K142" s="7" t="inlineStr">
        <is>
          <t>2026-03-27</t>
        </is>
      </c>
      <c r="L142" s="8" t="inlineStr">
        <is>
          <t>iFinD ifind_get_stock_info + ifind_get_stock_business_segmentation (as of 2026-10-27)；恒玄科技（上海）股份有限公司2025年年度报告</t>
        </is>
      </c>
      <c r="M142" s="9" t="inlineStr">
        <is>
          <t>https://static.cninfo.com.cn/finalpage/2026-03-27/1225037702.PDF</t>
        </is>
      </c>
    </row>
    <row r="143" ht="104" customHeight="1">
      <c r="B143" s="4" t="inlineStr">
        <is>
          <t>688610</t>
        </is>
      </c>
      <c r="C143" s="4" t="inlineStr">
        <is>
          <t>埃科光电</t>
        </is>
      </c>
      <c r="D143" s="5" t="inlineStr">
        <is>
          <t>半导体：半导体设备</t>
        </is>
      </c>
      <c r="E143" s="4" t="inlineStr">
        <is>
          <t>纠错</t>
        </is>
      </c>
      <c r="F143" s="4" t="inlineStr">
        <is>
          <t>半导体</t>
        </is>
      </c>
      <c r="G143" s="5" t="inlineStr">
        <is>
          <t>设备核心零部件、半导体设备-量测与检测</t>
        </is>
      </c>
      <c r="H143" s="4" t="inlineStr">
        <is>
          <t>相关</t>
        </is>
      </c>
      <c r="I143" s="5" t="inlineStr">
        <is>
          <t>公司主营工业线扫描、面扫描相机、图像采集卡和智能光学单元，在半导体领域用于晶圆表面缺陷、宏观晶圆及封测检测，属于机器视觉核心硬件和检测方案供应商，不能笼统计为前道工艺设备。2025年总收入4.4031亿元，其中电子制造1.4371亿元、新型显示1.0216亿元、新能源0.8010亿元，其他行业0.8668亿元，年报没有单列半导体收入；这些行业收入还包含PCB、显示和锂电用途，不能混合归入半导体。正式互动亦说明半导体整体收入规模较小，部分产品为小批量导入，因此定为“相关”而非核心。旧“半导体设备”应细化并降格为检测及核心部件映射，明确真实应用已落地但收入占比低。</t>
        </is>
      </c>
      <c r="J143" s="4" t="inlineStr">
        <is>
          <t>合肥埃科光电科技股份有限公司2025年年度报告</t>
        </is>
      </c>
      <c r="K143" s="4" t="inlineStr">
        <is>
          <t>2026-03-31</t>
        </is>
      </c>
      <c r="L143" s="5" t="inlineStr">
        <is>
          <t>iFinD ifind_get_stock_info + ifind_get_stock_business_segmentation (as of 2026-10-27)；合肥埃科光电科技股份有限公司2025年年度报告</t>
        </is>
      </c>
      <c r="M143" s="6" t="inlineStr">
        <is>
          <t>https://static.cninfo.com.cn/finalpage/2026-03-31/1225059687.PDF</t>
        </is>
      </c>
    </row>
    <row r="144" ht="104" customHeight="1">
      <c r="B144" s="7" t="inlineStr">
        <is>
          <t>688620</t>
        </is>
      </c>
      <c r="C144" s="7" t="inlineStr">
        <is>
          <t>安凯微</t>
        </is>
      </c>
      <c r="D144" s="8" t="inlineStr">
        <is>
          <t>半导体：端侧AI芯片</t>
        </is>
      </c>
      <c r="E144" s="7" t="inlineStr">
        <is>
          <t>纠错</t>
        </is>
      </c>
      <c r="F144" s="7" t="inlineStr">
        <is>
          <t>半导体</t>
        </is>
      </c>
      <c r="G144" s="8" t="inlineStr">
        <is>
          <t>芯片设计-SoC与端侧AI</t>
        </is>
      </c>
      <c r="H144" s="7" t="inlineStr">
        <is>
          <t>核心</t>
        </is>
      </c>
      <c r="I144" s="8" t="inlineStr">
        <is>
          <t>公司实际研发和销售物联网摄像机芯片、物联网应用处理器芯片，产品属于面向智能摄像、视觉处理和物联网终端的SoC，具备端侧智能计算应用基础，而不是泛化的算力芯片或存储芯片标的。2025年芯片销售收入5.3282亿元，占总收入约5.3696亿元的99.23%；其中物联网摄像机芯片4.3337亿元，约占80.71%，物联网应用处理器芯片0.8984亿元，约占16.73%，其他芯片和其他业务占比较小。芯片产品销售规模和收入纯度均支持核心定级，但摄像机SoC收入不能全部解释为AI加速芯片收入，终端AI能力应与产品分部口径区分。此次纠错将旧“端侧AI芯片”规范为“SoC与端侧AI”，保留真实产品边界。</t>
        </is>
      </c>
      <c r="J144" s="7" t="inlineStr">
        <is>
          <t>广州安凯微电子股份有限公司2025年年度报告</t>
        </is>
      </c>
      <c r="K144" s="7" t="inlineStr">
        <is>
          <t>2026-04-23</t>
        </is>
      </c>
      <c r="L144" s="8" t="inlineStr">
        <is>
          <t>iFinD ifind_get_stock_info + ifind_get_stock_business_segmentation (as of 2026-10-27)；广州安凯微电子股份有限公司2025年年度报告</t>
        </is>
      </c>
      <c r="M144" s="9" t="inlineStr">
        <is>
          <t>http://file.finance.sina.com.cn/211.154.219.97:9494/MRGG/CNSESH_STOCK/2026/2026-4/2026-04-23/12151647.PDF</t>
        </is>
      </c>
    </row>
    <row r="145" ht="104" customHeight="1">
      <c r="B145" s="4" t="inlineStr">
        <is>
          <t>688627</t>
        </is>
      </c>
      <c r="C145" s="4" t="inlineStr">
        <is>
          <t>精智达</t>
        </is>
      </c>
      <c r="D145" s="5" t="inlineStr">
        <is>
          <t>半导体：半导体设备-存储测试</t>
        </is>
      </c>
      <c r="E145" s="4" t="inlineStr">
        <is>
          <t>纠错</t>
        </is>
      </c>
      <c r="F145" s="4" t="inlineStr">
        <is>
          <t>半导体</t>
        </is>
      </c>
      <c r="G145" s="5" t="inlineStr">
        <is>
          <t>半导体设备-测试机与分选机</t>
        </is>
      </c>
      <c r="H145" s="4" t="inlineStr">
        <is>
          <t>核心</t>
        </is>
      </c>
      <c r="I145" s="5" t="inlineStr">
        <is>
          <t>公司真实半导体产品包括存储器晶圆测试、老化测试及修复、封装测试设备，直接对应存储芯片测试环节，不是存储芯片制造商，也不能把其显示检测设备收入一并计入半导体。2025年半导体存储器件测试设备收入6.2452亿元，占总收入约11.2806亿元的55.36%；新型显示器件检测设备收入5.0061亿元，占44.38%，其他业务另列。半导体测试设备已经取代单一显示业务成为重要收入支柱，规模和独立性均足以支持核心定级，但公司仍是双主业结构，不能宣称全部收入来自存储测试。此次纠错把旧“半导体设备-存储测试”规范到白名单“测试机与分选机”，并明确保留显示业务混合收入边界。</t>
        </is>
      </c>
      <c r="J145" s="4" t="inlineStr">
        <is>
          <t>深圳精智达技术股份有限公司2025年年度报告</t>
        </is>
      </c>
      <c r="K145" s="4" t="inlineStr">
        <is>
          <t>2026-04-11</t>
        </is>
      </c>
      <c r="L145" s="5" t="inlineStr">
        <is>
          <t>iFinD ifind_get_stock_info + ifind_get_stock_business_segmentation (as of 2026-10-27)；深圳精智达技术股份有限公司2025年年度报告</t>
        </is>
      </c>
      <c r="M145" s="6" t="inlineStr">
        <is>
          <t>http://file.finance.sina.com.cn/211.154.219.97:9494/MRGG/CNSESH_STOCK/2026/2026-4/2026-04-11/12081335.PDF</t>
        </is>
      </c>
    </row>
    <row r="146" ht="104" customHeight="1">
      <c r="B146" s="7" t="inlineStr">
        <is>
          <t>688630</t>
        </is>
      </c>
      <c r="C146" s="7" t="inlineStr">
        <is>
          <t>芯碁微装</t>
        </is>
      </c>
      <c r="D146" s="8" t="inlineStr">
        <is>
          <t>半导体：半导体设备、半导体设备-前道</t>
        </is>
      </c>
      <c r="E146" s="7" t="inlineStr">
        <is>
          <t>纠错</t>
        </is>
      </c>
      <c r="F146" s="7" t="inlineStr">
        <is>
          <t>半导体</t>
        </is>
      </c>
      <c r="G146" s="8" t="inlineStr">
        <is>
          <t>半导体设备-其他专用设备</t>
        </is>
      </c>
      <c r="H146" s="7" t="inlineStr">
        <is>
          <t>相关</t>
        </is>
      </c>
      <c r="I146" s="8" t="inlineStr">
        <is>
          <t>公司以微纳直写光刻为技术核心，真实产品同时覆盖PCB直接成像和泛半导体直写光刻设备，后者可服务先进封装、掩膜版及泛半导体制造，但不能将PCB曝光设备或全部泛半导体设备直接写成晶圆前道光刻机。2025年泛半导体系列收入2.3342亿元，占总收入约14.0812亿元的16.58%；PCB系列收入10.7993亿元，占76.69%，另有维护租赁和其他收入。半导体方向已经形成亿元级真实收入，故不应摘除，但占比和混合应用口径不足以把公司整体定为半导体核心，宜列为“相关”。此次纠错删除旧“半导体设备-前道”的过度映射，改为“其他专用设备”，并保留PCB主业与泛半导体混合边界。</t>
        </is>
      </c>
      <c r="J146" s="7" t="inlineStr">
        <is>
          <t>芯碁微装：2025年年度报告</t>
        </is>
      </c>
      <c r="K146" s="7" t="inlineStr">
        <is>
          <t>2026-03-14</t>
        </is>
      </c>
      <c r="L146" s="8" t="inlineStr">
        <is>
          <t>iFinD ifind_get_stock_info + ifind_get_stock_business_segmentation (as of 2026-10-27)；芯碁微装：2025年年度报告</t>
        </is>
      </c>
      <c r="M146" s="9" t="inlineStr">
        <is>
          <t>https://money.finance.sina.com.cn/corp/view/vCB_AllBulletinDetail.php?stockid=688630&amp;id=11993950</t>
        </is>
      </c>
    </row>
    <row r="147" ht="104" customHeight="1">
      <c r="B147" s="4" t="inlineStr">
        <is>
          <t>688661</t>
        </is>
      </c>
      <c r="C147" s="4" t="inlineStr">
        <is>
          <t>和林微纳</t>
        </is>
      </c>
      <c r="D147" s="5" t="inlineStr">
        <is>
          <t>半导体：半导体材料</t>
        </is>
      </c>
      <c r="E147" s="4" t="inlineStr">
        <is>
          <t>纠错</t>
        </is>
      </c>
      <c r="F147" s="4" t="inlineStr">
        <is>
          <t>半导体</t>
        </is>
      </c>
      <c r="G147" s="5" t="inlineStr">
        <is>
          <t>半导体设备-探针台与测试接口</t>
        </is>
      </c>
      <c r="H147" s="4" t="inlineStr">
        <is>
          <t>核心</t>
        </is>
      </c>
      <c r="I147" s="5" t="inlineStr">
        <is>
          <t>公司真实半导体产品是芯片测试探针，用于测试设备与晶圆或芯片之间的精密电性连接，属于测试接口及耗材，不是硅片、化学品等半导体材料，也不是完整测试机。2025年半导体芯片测试探针收入2.5878亿元，占总收入约8.6756亿元的29.83%；精密结构件收入3.6749亿元、精微屏蔽罩1.6106亿元主要属于通信及其他电子零部件，不能随探针一起并入半导体收入。探针已经形成独立且规模化的第二主业，足以保留半导体核心定级，但公司整体仍是混合产品结构，不能宣称全部精密零部件都服务半导体。此次纠错删除旧“半导体材料”，改归“探针台与测试接口”，准确反映其产品层级和收入边界。</t>
        </is>
      </c>
      <c r="J147" s="4" t="inlineStr">
        <is>
          <t>苏州和林微纳科技股份有限公司2025年年度报告</t>
        </is>
      </c>
      <c r="K147" s="4" t="inlineStr">
        <is>
          <t>2026-03-31</t>
        </is>
      </c>
      <c r="L147" s="5" t="inlineStr">
        <is>
          <t>iFinD ifind_get_stock_info + ifind_get_stock_business_segmentation (as of 2026-10-27)；苏州和林微纳科技股份有限公司2025年年度报告</t>
        </is>
      </c>
      <c r="M147" s="6" t="inlineStr">
        <is>
          <t>http://static.cninfo.com.cn/finalpage/2026-03-31/1225060336.PDF</t>
        </is>
      </c>
    </row>
    <row r="148" ht="104" customHeight="1">
      <c r="B148" s="7" t="inlineStr">
        <is>
          <t>688665</t>
        </is>
      </c>
      <c r="C148" s="7" t="inlineStr">
        <is>
          <t>四方光电</t>
        </is>
      </c>
      <c r="D148" s="8" t="inlineStr">
        <is>
          <t>半导体：半导体设备</t>
        </is>
      </c>
      <c r="E148" s="7" t="inlineStr">
        <is>
          <t>纠错</t>
        </is>
      </c>
      <c r="F148" s="7" t="inlineStr">
        <is>
          <t>半导体</t>
        </is>
      </c>
      <c r="G148" s="8" t="inlineStr">
        <is>
          <t>设备核心零部件</t>
        </is>
      </c>
      <c r="H148" s="7" t="inlineStr">
        <is>
          <t>相关</t>
        </is>
      </c>
      <c r="I148" s="8" t="inlineStr">
        <is>
          <t>公司主营气体传感器和气体分析仪器，半导体业务的真实落点是向设备厂商提供腔室气体监测、洁净环境检测等传感部件和方案，并非生产刻蚀、沉积等半导体工艺整机。2025年气体传感器收入7.3740亿元，占总收入约10.2605亿元的71.87%，气体分析仪器收入1.1250亿元，但两项均广泛服务汽车、暖通、工业安全和环保等领域，不能全部算成半导体收入。正式投资者关系记录显示相关红外气体传感器自2025年起获得国内主要半导体设备厂商采购并批量供货，证明不是纯潜在用途，但未单列半导体收入，现阶段仍属低可见度延伸业务，故定为“相关”，旧“半导体设备”改纠为设备核心零部件。</t>
        </is>
      </c>
      <c r="J148" s="7" t="inlineStr">
        <is>
          <t>四方光电股份有限公司投资者关系活动记录表</t>
        </is>
      </c>
      <c r="K148" s="7" t="inlineStr">
        <is>
          <t>2026-06-17</t>
        </is>
      </c>
      <c r="L148" s="8" t="inlineStr">
        <is>
          <t>iFinD ifind_get_stock_info + ifind_get_stock_business_segmentation (as of 2026-10-27)；四方光电股份有限公司投资者关系活动记录表</t>
        </is>
      </c>
      <c r="M148" s="9" t="inlineStr">
        <is>
          <t>https://pdf.dfcfw.com/pdf/H2_AN202606171823634863_1.pdf</t>
        </is>
      </c>
    </row>
    <row r="149" ht="104" customHeight="1">
      <c r="B149" s="4" t="inlineStr">
        <is>
          <t>688691</t>
        </is>
      </c>
      <c r="C149" s="4" t="inlineStr">
        <is>
          <t>灿芯股份</t>
        </is>
      </c>
      <c r="D149" s="5" t="inlineStr">
        <is>
          <t>半导体：算力芯片</t>
        </is>
      </c>
      <c r="E149" s="4" t="inlineStr">
        <is>
          <t>纠错</t>
        </is>
      </c>
      <c r="F149" s="4" t="inlineStr">
        <is>
          <t>半导体</t>
        </is>
      </c>
      <c r="G149" s="5" t="inlineStr">
        <is>
          <t>EDA/IP与设计服务</t>
        </is>
      </c>
      <c r="H149" s="4" t="inlineStr">
        <is>
          <t>核心</t>
        </is>
      </c>
      <c r="I149" s="5" t="inlineStr">
        <is>
          <t>公司提供一站式芯片定制服务，按客户需求完成芯片设计，并承接由设计服务导入的量产交付，拥有IP和平台能力，但不等于销售自有品牌GPU或通用算力芯片。2025年芯片设计业务收入3.6733亿元，占总收入约7.2445亿元的50.70%；芯片量产业务收入3.5712亿元，占49.30%，两项共同构成全部集成电路收入。主营业务与半导体设计服务直接相关，规模足以定为半导体核心，不过量产业务包含客户定制芯片的供应链和制造交付，不能全部视为高毛利IP授权，也不能按终端用途把全部收入贴成算力。此次纠错以“EDA/IP与设计服务”替换旧“算力芯片”，保留定制ASIC可覆盖多种应用但不虚构自有产品的边界。</t>
        </is>
      </c>
      <c r="J149" s="4" t="inlineStr">
        <is>
          <t>灿芯半导体（上海）股份有限公司2025年年度报告</t>
        </is>
      </c>
      <c r="K149" s="4" t="inlineStr">
        <is>
          <t>2026-04-17</t>
        </is>
      </c>
      <c r="L149" s="5" t="inlineStr">
        <is>
          <t>iFinD ifind_get_stock_info + ifind_get_stock_business_segmentation (as of 2026-10-27)；灿芯半导体（上海）股份有限公司2025年年度报告</t>
        </is>
      </c>
      <c r="M149" s="6" t="inlineStr">
        <is>
          <t>http://file.finance.sina.com.cn/211.154.219.97:9494/MRGG/CNSESH_STOCK/2026/2026-4/2026-04-17/12101550.PDF</t>
        </is>
      </c>
    </row>
    <row r="150" ht="104" customHeight="1">
      <c r="B150" s="7" t="inlineStr">
        <is>
          <t>688693</t>
        </is>
      </c>
      <c r="C150" s="7" t="inlineStr">
        <is>
          <t>锴威特</t>
        </is>
      </c>
      <c r="D150" s="8" t="inlineStr">
        <is>
          <t>半导体：功率半导体</t>
        </is>
      </c>
      <c r="E150" s="7" t="inlineStr">
        <is>
          <t>纠错</t>
        </is>
      </c>
      <c r="F150" s="7" t="inlineStr">
        <is>
          <t>半导体</t>
        </is>
      </c>
      <c r="G150" s="8" t="inlineStr">
        <is>
          <t>芯片设计-功率半导体、芯片设计-模拟与电源管理</t>
        </is>
      </c>
      <c r="H150" s="7" t="inlineStr">
        <is>
          <t>核心</t>
        </is>
      </c>
      <c r="I150" s="8" t="inlineStr">
        <is>
          <t>公司真实产品包括平面及超结MOSFET、SiC MOSFET和SiC SBD等功率器件，以及PWM控制、电机驱动、DC-DC等功率IC，采用设计研发和销售模式并提供技术服务，属于功率半导体与电源管理芯片公司。2025年功率器件收入1.1023亿元，占总收入约2.5457亿元的43.30%；功率IC及其他收入1.3523亿元，占53.12%，集成电路行业收入合计约2.4938亿元，另有少量技术服务和其他业务。全部主业围绕功率及配套控制芯片展开，核心定级合理，但“功率IC及其他”是混合口径，不能把其中每一项都虚构为某一具体产品收入。此次纠错保留功率半导体，并补充模拟与电源管理，明确公司不是晶圆代工或IDM制造标签。</t>
        </is>
      </c>
      <c r="J150" s="7" t="inlineStr">
        <is>
          <t>苏州锴威特半导体股份有限公司2025年年度报告</t>
        </is>
      </c>
      <c r="K150" s="7" t="inlineStr">
        <is>
          <t>2026-04-09</t>
        </is>
      </c>
      <c r="L150" s="8" t="inlineStr">
        <is>
          <t>iFinD ifind_get_stock_info + ifind_get_stock_business_segmentation (as of 2026-10-27)；苏州锴威特半导体股份有限公司2025年年度报告</t>
        </is>
      </c>
      <c r="M150" s="9" t="inlineStr">
        <is>
          <t>http://dataclouds.cninfo.com.cn/shgonggao/hsomarket/2026/20260409/18faea5a4a3f4c8c8ada1122c5707c8a.PDF</t>
        </is>
      </c>
    </row>
    <row r="151" ht="104" customHeight="1">
      <c r="B151" s="4" t="inlineStr">
        <is>
          <t>688711</t>
        </is>
      </c>
      <c r="C151" s="4" t="inlineStr">
        <is>
          <t>宏微科技</t>
        </is>
      </c>
      <c r="D151" s="5" t="inlineStr">
        <is>
          <t>半导体：功率半导体</t>
        </is>
      </c>
      <c r="E151" s="4" t="inlineStr">
        <is>
          <t>纠错</t>
        </is>
      </c>
      <c r="F151" s="4" t="inlineStr">
        <is>
          <t>半导体</t>
        </is>
      </c>
      <c r="G151" s="5" t="inlineStr">
        <is>
          <t>芯片设计-功率半导体</t>
        </is>
      </c>
      <c r="H151" s="4" t="inlineStr">
        <is>
          <t>核心</t>
        </is>
      </c>
      <c r="I151" s="5" t="inlineStr">
        <is>
          <t>公司真实产品以IGBT、FRED以及SiC、GaN功率半导体芯片、单管和模块为主，并提供功率器件解决方案，模块封装和受托加工服务于其功率产品体系，不能因此扩写成独立通用封测代工企业。2025年功率半导体器件收入13.3367亿元，占总收入约13.4771亿元的98.96%；其中模块10.3429亿元，占76.74%，单管2.5486亿元，芯片0.1953亿元，受托加工0.2498亿元，其他业务另列。功率产品收入占比和绝对规模均充分，定为半导体核心明确。此次纠错将旧“IGBT模块”扩展为白名单“芯片设计-功率半导体”，同时保留模块为主、芯片和单管混合销售的真实结构，不把模块收入误当作晶圆制造收入。</t>
        </is>
      </c>
      <c r="J151" s="4" t="inlineStr">
        <is>
          <t>江苏宏微科技股份有限公司2025年年度报告</t>
        </is>
      </c>
      <c r="K151" s="4" t="inlineStr">
        <is>
          <t>2026-04-30</t>
        </is>
      </c>
      <c r="L151" s="5" t="inlineStr">
        <is>
          <t>iFinD ifind_get_stock_info + ifind_get_stock_business_segmentation (as of 2026-10-27)；江苏宏微科技股份有限公司2025年年度报告</t>
        </is>
      </c>
      <c r="M151" s="6" t="inlineStr">
        <is>
          <t>http://file.finance.sina.com.cn/211.154.219.97:9494/MRGG/CNSESH_STOCK/2026/2026-4/2026-04-30/12286103.PDF</t>
        </is>
      </c>
    </row>
    <row r="152" ht="104" customHeight="1">
      <c r="B152" s="7" t="inlineStr">
        <is>
          <t>688729</t>
        </is>
      </c>
      <c r="C152" s="7" t="inlineStr">
        <is>
          <t>屹唐股份</t>
        </is>
      </c>
      <c r="D152" s="8" t="inlineStr">
        <is>
          <t>半导体：半导体设备-前道</t>
        </is>
      </c>
      <c r="E152" s="7" t="inlineStr">
        <is>
          <t>纠错</t>
        </is>
      </c>
      <c r="F152" s="7" t="inlineStr">
        <is>
          <t>半导体</t>
        </is>
      </c>
      <c r="G152" s="8" t="inlineStr">
        <is>
          <t>半导体设备-热处理与去胶、半导体设备-刻蚀</t>
        </is>
      </c>
      <c r="H152" s="7" t="inlineStr">
        <is>
          <t>核心</t>
        </is>
      </c>
      <c r="I152" s="8" t="inlineStr">
        <is>
          <t>公司直接研发、生产和销售晶圆加工设备，真实产品包括Suprema、Optima干法去胶设备，Helios快速热处理、Millios毫秒退火设备，以及paradigmE、RENA-E等离子体刻蚀设备，属于规模化半导体前道专用设备供应商。2025年销售专用设备收入49.6424亿元，占总收入约50.7632亿元的97.79%；服务收入1.0931亿元，特许权使用费0.0277亿元，业务纯度极高，核心定级没有争议。年报产品分部没有把专用设备收入进一步拆成去胶、热处理和刻蚀各自金额，因此不能按产品线虚构收入占比。此次纠错将旧笼统“前道设备”细化为“热处理与去胶”和“刻蚀”，不追加公司没有明确规模产品证据的其他设备概念。</t>
        </is>
      </c>
      <c r="J152" s="7" t="inlineStr">
        <is>
          <t>屹唐股份：2025年年度报告</t>
        </is>
      </c>
      <c r="K152" s="7" t="inlineStr">
        <is>
          <t>2026-04-29</t>
        </is>
      </c>
      <c r="L152" s="8" t="inlineStr">
        <is>
          <t>iFinD ifind_get_stock_info + ifind_get_stock_business_segmentation (as of 2026-10-27)；屹唐股份：2025年年度报告</t>
        </is>
      </c>
      <c r="M152" s="9" t="inlineStr">
        <is>
          <t>http://vip.stock.finance.sina.com.cn/corp/view/vCB_AllBulletinDetail.php?stockid=688729&amp;id=12261296</t>
        </is>
      </c>
    </row>
    <row r="153" ht="104" customHeight="1">
      <c r="B153" s="4" t="inlineStr">
        <is>
          <t>688766</t>
        </is>
      </c>
      <c r="C153" s="4" t="inlineStr">
        <is>
          <t>普冉股份</t>
        </is>
      </c>
      <c r="D153" s="5" t="inlineStr">
        <is>
          <t>半导体：存储芯片-NOR Flash</t>
        </is>
      </c>
      <c r="E153" s="4" t="inlineStr">
        <is>
          <t>纠错</t>
        </is>
      </c>
      <c r="F153" s="4" t="inlineStr">
        <is>
          <t>半导体</t>
        </is>
      </c>
      <c r="G153" s="5" t="inlineStr">
        <is>
          <t>芯片设计-存储芯片、芯片设计-MCU与嵌入式、芯片设计-模拟与电源管理</t>
        </is>
      </c>
      <c r="H153" s="4" t="inlineStr">
        <is>
          <t>核心</t>
        </is>
      </c>
      <c r="I153" s="5" t="inlineStr">
        <is>
          <t>公司真实主业为非易失性存储器芯片设计，产品包括NOR Flash、EEPROM、SLC NAND及衍生产品，同时经营MCU和VCM Driver等模拟产品，属于芯片设计而非存储模组或晶圆代工企业。2025年存储芯片收入17.8736亿元，占总收入约23.1975亿元的77.05%；微控制器及其他收入5.3227亿元，占22.94%，但该分部混合包含MCU和其他产品，不能进一步虚构MCU或模拟芯片各自金额。存储设计收入占绝对主导，辅以已经销售的新产品线，整体定为半导体核心。此次纠错将旧“NOR Flash”扩展并规范为“存储芯片”，同时按真实产品补充MCU与嵌入式、模拟与电源管理，保留混合分部边界。</t>
        </is>
      </c>
      <c r="J153" s="4" t="inlineStr">
        <is>
          <t>普冉股份：2025年年度报告</t>
        </is>
      </c>
      <c r="K153" s="4" t="inlineStr">
        <is>
          <t>2026-03-21</t>
        </is>
      </c>
      <c r="L153" s="5" t="inlineStr">
        <is>
          <t>iFinD ifind_get_stock_info + ifind_get_stock_business_segmentation (as of 2026-10-27)；普冉股份：2025年年度报告</t>
        </is>
      </c>
      <c r="M153" s="6" t="inlineStr">
        <is>
          <t>https://money.finance.sina.com.cn/corp/view/vCB_AllBulletinDetail.php?stockid=688766&amp;id=12009745</t>
        </is>
      </c>
    </row>
    <row r="154" ht="104" customHeight="1">
      <c r="B154" s="7" t="inlineStr">
        <is>
          <t>688795</t>
        </is>
      </c>
      <c r="C154" s="7" t="inlineStr">
        <is>
          <t>摩尔线程-U</t>
        </is>
      </c>
      <c r="D154" s="8" t="inlineStr">
        <is>
          <t>半导体：算力芯片</t>
        </is>
      </c>
      <c r="E154" s="7" t="inlineStr">
        <is>
          <t>纠错</t>
        </is>
      </c>
      <c r="F154" s="7" t="inlineStr">
        <is>
          <t>半导体</t>
        </is>
      </c>
      <c r="G154" s="8" t="inlineStr">
        <is>
          <t>芯片设计-CPU/GPU/AI计算</t>
        </is>
      </c>
      <c r="H154" s="7" t="inlineStr">
        <is>
          <t>核心</t>
        </is>
      </c>
      <c r="I154" s="8" t="inlineStr">
        <is>
          <t>公司围绕全功能GPU开展研发设计和销售，真实产品包括云端智算板卡、智算一体机和集群，以及桌面图形加速、专业视觉、边缘AI模组等，GPU既覆盖人工智能训练推理，也覆盖图形渲染和通用计算，不能收窄成单一AI概念。2025年云端产品收入14.6097亿元，占总收入约15.0553亿元的97.04%；边缘与终端产品0.2551亿元，其他产品0.1905亿元，已形成明显规模化销售，核心定级充分。需要注意云端产品口径混合包含板卡、服务器或集群等系统交付，不能全部写成GPU芯片裸片收入，也不等于自有晶圆制造。此次纠错将旧“算力芯片”规范为“CPU/GPU/AI计算”，保留全功能GPU和系统级产品的真实边界。</t>
        </is>
      </c>
      <c r="J154" s="7" t="inlineStr">
        <is>
          <t>摩尔线程智能科技（北京）股份有限公司2025年年度报告</t>
        </is>
      </c>
      <c r="K154" s="7" t="inlineStr">
        <is>
          <t>2026-04-27</t>
        </is>
      </c>
      <c r="L154" s="8" t="inlineStr">
        <is>
          <t>iFinD ifind_get_stock_info + ifind_get_stock_business_segmentation (as of 2026-10-27)；摩尔线程智能科技（北京）股份有限公司2025年年度报告</t>
        </is>
      </c>
      <c r="M154" s="9" t="inlineStr">
        <is>
          <t>http://file.finance.sina.com.cn/211.154.219.97:9494/MRGG/CNSESH_STOCK/2026/2026-4/2026-04-27/12200843.PDF</t>
        </is>
      </c>
    </row>
    <row r="155" ht="104" customHeight="1">
      <c r="B155" s="4" t="inlineStr">
        <is>
          <t>688802</t>
        </is>
      </c>
      <c r="C155" s="4" t="inlineStr">
        <is>
          <t>沐曦股份-U</t>
        </is>
      </c>
      <c r="D155" s="5" t="inlineStr">
        <is>
          <t>半导体：算力芯片</t>
        </is>
      </c>
      <c r="E155" s="4" t="inlineStr">
        <is>
          <t>纠错</t>
        </is>
      </c>
      <c r="F155" s="4" t="inlineStr">
        <is>
          <t>半导体</t>
        </is>
      </c>
      <c r="G155" s="5" t="inlineStr">
        <is>
          <t>芯片设计-CPU/GPU/AI计算</t>
        </is>
      </c>
      <c r="H155" s="4" t="inlineStr">
        <is>
          <t>核心</t>
        </is>
      </c>
      <c r="I155" s="5" t="inlineStr">
        <is>
          <t>公司研发设计全栈GPU及配套软件栈和计算平台，真实产品覆盖训推一体GPU、智算推理GPU和图形渲染GPU，服务人工智能训练推理、通用计算与图形渲染，不是仅有研发管线或潜在用途的概念标的。2025年GPU产品及配件收入16.3075亿元，占总收入约16.4409亿元的99.19%；IP、技术服务及其他收入0.1334亿元，占0.81%，主营收入和GPU产品高度一致，核心定级依据充分。与此同时，GPU产品及配件是芯片、板卡和配件的混合销售口径，不能全部解释为GPU裸片收入，也不能据此增加晶圆制造标签。此次纠错把旧泛化“算力芯片”落到白名单“CPU/GPU/AI计算”，明确其GPU设计和系统交付边界。</t>
        </is>
      </c>
      <c r="J155" s="4" t="inlineStr">
        <is>
          <t>沐曦股份：2025年年度报告</t>
        </is>
      </c>
      <c r="K155" s="4" t="inlineStr">
        <is>
          <t>2026-03-27</t>
        </is>
      </c>
      <c r="L155" s="5" t="inlineStr">
        <is>
          <t>iFinD ifind_get_stock_info + ifind_get_stock_business_segmentation (as of 2026-10-27)；沐曦股份：2025年年度报告</t>
        </is>
      </c>
      <c r="M155" s="6" t="inlineStr">
        <is>
          <t>http://vip.stock.finance.sina.com.cn/corp/view/vCB_AllBulletinDetail.php?stockid=688802&amp;id=12022866</t>
        </is>
      </c>
    </row>
    <row r="156" ht="104" customHeight="1">
      <c r="B156" s="7" t="inlineStr">
        <is>
          <t>688825</t>
        </is>
      </c>
      <c r="C156" s="7" t="inlineStr">
        <is>
          <t>长鑫科技</t>
        </is>
      </c>
      <c r="D156" s="8" t="inlineStr">
        <is>
          <t>半导体：存储芯片-DRAM</t>
        </is>
      </c>
      <c r="E156" s="7" t="inlineStr">
        <is>
          <t>纠错</t>
        </is>
      </c>
      <c r="F156" s="7" t="inlineStr">
        <is>
          <t>半导体</t>
        </is>
      </c>
      <c r="G156" s="8" t="inlineStr">
        <is>
          <t>芯片设计-存储芯片、晶圆制造与IDM</t>
        </is>
      </c>
      <c r="H156" s="7" t="inlineStr">
        <is>
          <t>核心</t>
        </is>
      </c>
      <c r="I156" s="8" t="inlineStr">
        <is>
          <t>公司是DRAM研发、设计、生产及销售一体化企业，真实产品覆盖DDR4、DDR5、LPDDR4X、LPDDR5/5X以及DRAM晶圆和多类内存模组，与仅采购晶圆后组装模组的厂商有本质区别，必须同时体现存储芯片设计和IDM制造属性。2025年LPDDR系列收入407.0355亿元，占总收入约617.9938亿元的65.86%；DDR系列195.3129亿元，占31.60%，其他产品及服务10.4054亿元，其他业务5.2395亿元。两大DRAM系列构成绝对主体，核心定级明确，但系列收入包含不同产品形态，不能拆出晶圆和模组各自收入，也不能把模组分销口径替代自主DRAM制造事实。此次纠错将旧“DRAM”规范为存储芯片并补充晶圆制造与IDM。</t>
        </is>
      </c>
      <c r="J156" s="7" t="inlineStr">
        <is>
          <t>长鑫科技集团股份有限公司首次公开发行股票并在科创板上市招股说明书（注册稿）</t>
        </is>
      </c>
      <c r="K156" s="7" t="inlineStr">
        <is>
          <t>2026-05-27</t>
        </is>
      </c>
      <c r="L156" s="8" t="inlineStr">
        <is>
          <t>iFinD ifind_get_stock_info + ifind_get_stock_business_segmentation (as of 2026-10-27)；长鑫科技集团股份有限公司首次公开发行股票并在科创板上市招股说明书（注册稿）</t>
        </is>
      </c>
      <c r="M156" s="9" t="inlineStr">
        <is>
          <t>https://static.sse.com.cn/stock/disclosure/announcement/c/202605/002170_20260527_23QQ.pdf</t>
        </is>
      </c>
    </row>
    <row r="157" ht="104" customHeight="1">
      <c r="B157" s="4" t="inlineStr">
        <is>
          <t>600745</t>
        </is>
      </c>
      <c r="C157" s="4" t="inlineStr">
        <is>
          <t>闻泰科技</t>
        </is>
      </c>
      <c r="D157" s="5" t="inlineStr">
        <is>
          <t>半导体：功率半导体</t>
        </is>
      </c>
      <c r="E157" s="4" t="inlineStr">
        <is>
          <t>纠错</t>
        </is>
      </c>
      <c r="F157" s="4" t="inlineStr">
        <is>
          <t>半导体</t>
        </is>
      </c>
      <c r="G157" s="5" t="inlineStr">
        <is>
          <t>芯片设计-功率半导体、晶圆制造与IDM</t>
        </is>
      </c>
      <c r="H157" s="4" t="inlineStr">
        <is>
          <t>核心</t>
        </is>
      </c>
      <c r="I157" s="5" t="inlineStr">
        <is>
          <t>公司半导体业务以安世半导体为主体，真实产品包括二极管、双极性晶体管、ESD保护器件、MOSFET、GaN FET、SiC二极管、IGBT以及模拟和逻辑IC，具备设计、晶圆制造、封装测试一体的IDM属性，不只是功率模块组装厂。2025年半导体产品收入133.4755亿元，占总收入约312.5253亿元的42.71%；半导体行业分部收入136.1616亿元，产品集成业务收入175.2470亿元，占56.07%，两者不能混算。尽管当年产品集成收入更大，半导体产品收入绝对规模巨大且构成核心主业，故仍定为半导体核心。此次纠错保留功率半导体并补充晶圆制造与IDM，同时明确功率器件之外还有模拟、逻辑等混合产品边界。</t>
        </is>
      </c>
      <c r="J157" s="4" t="inlineStr">
        <is>
          <t>闻泰科技：2025年年度报告</t>
        </is>
      </c>
      <c r="K157" s="4" t="inlineStr">
        <is>
          <t>2026-04-30</t>
        </is>
      </c>
      <c r="L157" s="5" t="inlineStr">
        <is>
          <t>iFinD ifind_get_stock_info + ifind_get_stock_business_segmentation (as of 2026-10-27)；闻泰科技：2025年年度报告</t>
        </is>
      </c>
      <c r="M157" s="6" t="inlineStr">
        <is>
          <t>http://money.finance.sina.com.cn/corp/view/vCB_AllBulletinDetail.php?stockid=600745&amp;id=12289135</t>
        </is>
      </c>
    </row>
  </sheetData>
  <autoFilter ref="B4:M157"/>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摘除清单 · 8只证据不足或业务错标</t>
        </is>
      </c>
    </row>
    <row r="3">
      <c r="B3" s="2" t="inlineStr">
        <is>
          <t>通用产品潜在用途、央企背景、SpaceX预期、太空光伏设备及未决投资不直接计入半导体。</t>
        </is>
      </c>
    </row>
    <row r="4">
      <c r="B4" s="3" t="inlineStr">
        <is>
          <t>代码</t>
        </is>
      </c>
      <c r="C4" s="3" t="inlineStr">
        <is>
          <t>名称</t>
        </is>
      </c>
      <c r="D4" s="3" t="inlineStr">
        <is>
          <t>旧半导体概念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002881</t>
        </is>
      </c>
      <c r="C5" s="4" t="inlineStr">
        <is>
          <t>美格智能</t>
        </is>
      </c>
      <c r="D5" s="5" t="inlineStr">
        <is>
          <t>半导体：端侧ai芯片</t>
        </is>
      </c>
      <c r="E5" s="4" t="inlineStr">
        <is>
          <t>摘除</t>
        </is>
      </c>
      <c r="F5" s="4" t="inlineStr">
        <is>
          <t>—</t>
        </is>
      </c>
      <c r="G5" s="5" t="inlineStr">
        <is>
          <t>—</t>
        </is>
      </c>
      <c r="H5" s="4" t="inlineStr">
        <is>
          <t>摘除</t>
        </is>
      </c>
      <c r="I5" s="5" t="inlineStr">
        <is>
          <t>公司真实产品是无线通信模组、智能模组及物联网解决方案，高算力模组内部采用外部CPU、GPU或NPU平台并提供软硬件集成，不等于公司自行设计端侧AI芯片或SoC。iFinD二〇二五年无线模组及解决方案收入三十六点零九亿元，占营业收入百分之九十六点三一，未披露任何独立芯片设计或半导体产品收入，年报产品口径也无法支持将模组销售额转为芯片收入。模组高算力、端侧AI应用和客户场景只能证明下游使用芯片，不能跨越芯片设计与模组集成的经营边界，因此旧端侧AI芯片或SoC设计标签缺乏真实产品依据，应予摘除。若未来正式披露自研芯片、流片量产和销售收入，再依据具体芯片类型重新建立标签。</t>
        </is>
      </c>
      <c r="J5" s="4" t="inlineStr">
        <is>
          <t>美格智能：2025年年度报告</t>
        </is>
      </c>
      <c r="K5" s="4" t="inlineStr">
        <is>
          <t>2026-03-31</t>
        </is>
      </c>
      <c r="L5" s="5" t="inlineStr">
        <is>
          <t>iFinD ifind_get_stock_info + ifind_get_stock_business_segmentation (as of 2026-10-27)；美格智能：2025年年度报告</t>
        </is>
      </c>
      <c r="M5" s="6" t="inlineStr">
        <is>
          <t>https://money.finance.sina.com.cn/corp/view/vCB_AllBulletinDetail.php?stockid=002881&amp;id=12044935</t>
        </is>
      </c>
    </row>
    <row r="6" ht="104" customHeight="1">
      <c r="B6" s="7" t="inlineStr">
        <is>
          <t>300293</t>
        </is>
      </c>
      <c r="C6" s="7" t="inlineStr">
        <is>
          <t>蓝英装备</t>
        </is>
      </c>
      <c r="D6" s="8" t="inlineStr">
        <is>
          <t>半导体：半导体设备</t>
        </is>
      </c>
      <c r="E6" s="7" t="inlineStr">
        <is>
          <t>摘除</t>
        </is>
      </c>
      <c r="F6" s="7" t="inlineStr">
        <is>
          <t>—</t>
        </is>
      </c>
      <c r="G6" s="8" t="inlineStr">
        <is>
          <t>—</t>
        </is>
      </c>
      <c r="H6" s="7" t="inlineStr">
        <is>
          <t>摘除</t>
        </is>
      </c>
      <c r="I6" s="8" t="inlineStr">
        <is>
          <t>公司2025年披露的主营是工业清洗系统及表面处理、智能装备制造，真实应用集中在医疗、机械电子、汽车、新能源、精密光学和高精纯部件等领域。工业清洗及表面处理收入11.7260亿元，占总收入97.5463%，但这一高占比只能证明通用清洗主业规模，年报未给出晶圆清洗设备、半导体制程客户、订单或半导体收入的可核验拆分，不能把高精纯或精密光学用途外推为半导体设备收入。边界上，工业清洗与晶圆去胶、湿法清洗在工艺、客户和验证体系上并不等同，即使技术存在潜在迁移可能，也不满足本分类真实产品和供货证据要求。此次纠错对旧“半导体设备”及原相关定级一并摘除，pairs置空，避免以光刻机或高精纯概念替代正式经营证据。</t>
        </is>
      </c>
      <c r="J6" s="7" t="inlineStr">
        <is>
          <t>蓝英装备：2025年年度报告</t>
        </is>
      </c>
      <c r="K6" s="7" t="inlineStr">
        <is>
          <t>2026-04-28</t>
        </is>
      </c>
      <c r="L6" s="8" t="inlineStr">
        <is>
          <t>iFinD ifind_get_stock_info + ifind_get_stock_business_segmentation (as of 2026-10-27)；蓝英装备：2025年年度报告</t>
        </is>
      </c>
      <c r="M6" s="9" t="inlineStr">
        <is>
          <t>https://money.finance.sina.com.cn/corp/view/vCB_AllBulletinDetail.php?stockid=300293&amp;id=12228803</t>
        </is>
      </c>
    </row>
    <row r="7" ht="104" customHeight="1">
      <c r="B7" s="4" t="inlineStr">
        <is>
          <t>300457</t>
        </is>
      </c>
      <c r="C7" s="4" t="inlineStr">
        <is>
          <t>赢合科技</t>
        </is>
      </c>
      <c r="D7" s="5" t="inlineStr">
        <is>
          <t>半导体：半导体设备</t>
        </is>
      </c>
      <c r="E7" s="4" t="inlineStr">
        <is>
          <t>摘除</t>
        </is>
      </c>
      <c r="F7" s="4" t="inlineStr">
        <is>
          <t>—</t>
        </is>
      </c>
      <c r="G7" s="5" t="inlineStr">
        <is>
          <t>—</t>
        </is>
      </c>
      <c r="H7" s="4" t="inlineStr">
        <is>
          <t>摘除</t>
        </is>
      </c>
      <c r="I7" s="5" t="inlineStr">
        <is>
          <t>公司真实产品是锂电极片涂布、辊压、分切、卷绕、叠片、PACK及MES等生产装备，并经营电子烟相关业务，年报没有形成可核验的半导体设备产品、客户、订单或收入。2025年锂电专用设备收入64.2715亿元，占总收入68.05%，其他业务收入30.1806亿元，总收入94.4522亿元，收入结构清楚指向锂电而非半导体。边界上，固态电池仍是电化学电池技术路线，其涂布、卷绕和叠片设备不能因名称中的“固态”或精密制造属性被改挂半导体设备；其他收入为混合口径，也不可拆出并无公告依据的半导体收入。此次纠错否定旧理由“锂电设备为主、半导体为延伸”的外推，将旧半导体设备标签和边缘定级一并摘除，pairs置空。</t>
        </is>
      </c>
      <c r="J7" s="4" t="inlineStr">
        <is>
          <t>赢合科技：2025年年度报告</t>
        </is>
      </c>
      <c r="K7" s="4" t="inlineStr">
        <is>
          <t>2026-03-28</t>
        </is>
      </c>
      <c r="L7" s="5" t="inlineStr">
        <is>
          <t>iFinD ifind_get_stock_info + ifind_get_stock_business_segmentation (as of 2026-10-27)；赢合科技：2025年年度报告</t>
        </is>
      </c>
      <c r="M7" s="6" t="inlineStr">
        <is>
          <t>https://money.finance.sina.com.cn/corp/view/vCB_AllBulletinDetail.php?stockid=300457&amp;id=12030602</t>
        </is>
      </c>
    </row>
    <row r="8" ht="104" customHeight="1">
      <c r="B8" s="7" t="inlineStr">
        <is>
          <t>300638</t>
        </is>
      </c>
      <c r="C8" s="7" t="inlineStr">
        <is>
          <t>广和通</t>
        </is>
      </c>
      <c r="D8" s="8" t="inlineStr">
        <is>
          <t>半导体：端侧ai芯片</t>
        </is>
      </c>
      <c r="E8" s="7" t="inlineStr">
        <is>
          <t>摘除</t>
        </is>
      </c>
      <c r="F8" s="7" t="inlineStr">
        <is>
          <t>—</t>
        </is>
      </c>
      <c r="G8" s="8" t="inlineStr">
        <is>
          <t>—</t>
        </is>
      </c>
      <c r="H8" s="7" t="inlineStr">
        <is>
          <t>摘除</t>
        </is>
      </c>
      <c r="I8" s="8" t="inlineStr">
        <is>
          <t>公司真实产品是数传模组、智能模组、AI模组及无线通信解决方案，模组基于高通、联发科、爱芯等外部芯片平台进行集成设计，并未据此形成自研端侧AI芯片主业。2025年通讯模块收入64.4625亿元，解决方案收入4.7586亿元，总收入69.8761亿元，无线通信模组及应用业务占99.7399%；AI模组批量出货证明的是模组产品商业化，不等于芯片设计收入。边界上，通信模组与半导体芯片在产业环节、知识产权和收入确认上不可混同，本分类白名单也没有“通信模组”，不能为了保留标的而错挂SoC或端侧AI芯片。此次纠错删除旧“端侧ai芯片”及相关定级，pairs置空；这不否定其AI模组业务，只纠正把模组集成商当作半导体芯片设计公司的分类错误。</t>
        </is>
      </c>
      <c r="J8" s="7" t="inlineStr">
        <is>
          <t>广和通：2025年年度报告</t>
        </is>
      </c>
      <c r="K8" s="7" t="inlineStr">
        <is>
          <t>2026-03-31</t>
        </is>
      </c>
      <c r="L8" s="8" t="inlineStr">
        <is>
          <t>iFinD ifind_get_stock_info + ifind_get_stock_business_segmentation (as of 2026-10-27)；广和通：2025年年度报告</t>
        </is>
      </c>
      <c r="M8" s="9" t="inlineStr">
        <is>
          <t>https://money.finance.sina.com.cn/corp/view/vCB_AllBulletinDetail.php?stockid=300638&amp;id=12046744</t>
        </is>
      </c>
    </row>
    <row r="9" ht="104" customHeight="1">
      <c r="B9" s="4" t="inlineStr">
        <is>
          <t>301226</t>
        </is>
      </c>
      <c r="C9" s="4" t="inlineStr">
        <is>
          <t>祥明智能</t>
        </is>
      </c>
      <c r="D9" s="5" t="inlineStr">
        <is>
          <t>半导体：半导体设备</t>
        </is>
      </c>
      <c r="E9" s="4" t="inlineStr">
        <is>
          <t>摘除</t>
        </is>
      </c>
      <c r="F9" s="4" t="inlineStr">
        <is>
          <t>—</t>
        </is>
      </c>
      <c r="G9" s="5" t="inlineStr">
        <is>
          <t>—</t>
        </is>
      </c>
      <c r="H9" s="4" t="inlineStr">
        <is>
          <t>摘除</t>
        </is>
      </c>
      <c r="I9" s="5" t="inlineStr">
        <is>
          <t>公司真实主营是微特电机、风机及智能化组件的研发、生产和销售，产品包括交流异步电机、直流有刷及无刷电机、离心风机、横流风机和轴流风机，主要属于通用电气机械与器材，不是半导体工艺设备、测试设备或设备专用核心零部件。2025年总收入5.0796亿元，其中风机收入2.6395亿元，占51.96%；交流异步电机1.3506亿元、直流无刷电机0.5750亿元、直流有刷电机0.2785亿元，收入结构进一步证明主业为通用电机风机。年报未披露半导体设备客户、订单、专用产品或相应收入，不能仅凭电机、风机理论上可用于厂房通风或设备散热就建立半导体暴露。按通用业务和潜在用途不计入的规则，本次摘除旧“半导体设备”标签，不保留任何半导体概念。</t>
        </is>
      </c>
      <c r="J9" s="4" t="inlineStr">
        <is>
          <t>常州祥明智能动力股份有限公司2025年年度报告</t>
        </is>
      </c>
      <c r="K9" s="4" t="inlineStr">
        <is>
          <t>2026-04-24</t>
        </is>
      </c>
      <c r="L9" s="5" t="inlineStr">
        <is>
          <t>iFinD ifind_get_stock_info + ifind_get_stock_business_segmentation (as of 2026-10-27)；常州祥明智能动力股份有限公司2025年年度报告</t>
        </is>
      </c>
      <c r="M9" s="6" t="inlineStr">
        <is>
          <t>https://static.cninfo.com.cn/finalpage/2026-04-24/1225161993.PDF</t>
        </is>
      </c>
    </row>
    <row r="10" ht="104" customHeight="1">
      <c r="B10" s="7" t="inlineStr">
        <is>
          <t>600619</t>
        </is>
      </c>
      <c r="C10" s="7" t="inlineStr">
        <is>
          <t>海立股份</t>
        </is>
      </c>
      <c r="D10" s="8" t="inlineStr">
        <is>
          <t>半导体：半导体设备</t>
        </is>
      </c>
      <c r="E10" s="7" t="inlineStr">
        <is>
          <t>摘除</t>
        </is>
      </c>
      <c r="F10" s="7" t="inlineStr">
        <is>
          <t>—</t>
        </is>
      </c>
      <c r="G10" s="8" t="inlineStr">
        <is>
          <t>—</t>
        </is>
      </c>
      <c r="H10" s="7" t="inlineStr">
        <is>
          <t>摘除</t>
        </is>
      </c>
      <c r="I10" s="8" t="inlineStr">
        <is>
          <t>公司真实主业为冷暖关联解决方案及核心零部件、汽车零部件，具体产品是制冷转子式压缩机、制冷电机、铸件、汽车空调压缩机和新能源车热管理系统，不是光刻机、半导体工艺设备或设备专用零部件。2025年制冷设备收入134.6224亿元，占总收入204.9819亿元的65.68%；汽车零部件和贸易及房产租赁收入67.2501亿元，占32.81%，其他业务占1.52%。本次检索的2025年年报未出现半导体或光刻业务披露，也没有相关客户、订单和收入可核验。压缩机、电机等通用产品即使理论上可服务不同工业场景，也不能据此推导光刻机配套；股东或市场传闻同样不能替代上市公司真实业务。按通用业务和潜在用途不计入的规则，摘除旧“半导体设备”标签。</t>
        </is>
      </c>
      <c r="J10" s="7" t="inlineStr">
        <is>
          <t>上海海立（集团）股份有限公司2025年年度报告</t>
        </is>
      </c>
      <c r="K10" s="7" t="inlineStr">
        <is>
          <t>2026-04-08</t>
        </is>
      </c>
      <c r="L10" s="8" t="inlineStr">
        <is>
          <t>iFinD ifind_get_stock_info + ifind_get_stock_business_segmentation (as of 2026-10-27)；上海海立（集团）股份有限公司2025年年度报告</t>
        </is>
      </c>
      <c r="M10" s="9" t="inlineStr">
        <is>
          <t>https://static.cninfo.com.cn/finalpage/2026-04-08/1225082149.PDF</t>
        </is>
      </c>
    </row>
    <row r="11" ht="104" customHeight="1">
      <c r="B11" s="4" t="inlineStr">
        <is>
          <t>603236</t>
        </is>
      </c>
      <c r="C11" s="4" t="inlineStr">
        <is>
          <t>移远通信</t>
        </is>
      </c>
      <c r="D11" s="5" t="inlineStr">
        <is>
          <t>半导体：端侧ai芯片</t>
        </is>
      </c>
      <c r="E11" s="4" t="inlineStr">
        <is>
          <t>摘除</t>
        </is>
      </c>
      <c r="F11" s="4" t="inlineStr">
        <is>
          <t>—</t>
        </is>
      </c>
      <c r="G11" s="5" t="inlineStr">
        <is>
          <t>—</t>
        </is>
      </c>
      <c r="H11" s="4" t="inlineStr">
        <is>
          <t>摘除</t>
        </is>
      </c>
      <c r="I11" s="5" t="inlineStr">
        <is>
          <t>公司真实产品是蜂窝通信、车载、智能、短距、GNSS、卫星等无线通信模组以及天线，模组内可以集成处理器或人工智能算力，但这不等于公司自行设计并销售端侧人工智能芯片。2025年营业收入243.2647亿元，其中模组及天线收入240.0970亿元，占98.70%，该口径覆盖各类模组与天线，不能把其中集成第三方芯片或具备边缘计算能力的产品拆成自有芯片收入，年报也未给出可辨认的端侧芯片独立收入。因此旧“端侧ai芯片”及核心定级均属于把下游模组误标成上游芯片设计，应摘除半导体标签；本次仅纠正半导体分类，不处理其物理AI通信模组标签。</t>
        </is>
      </c>
      <c r="J11" s="4" t="inlineStr">
        <is>
          <t>移远通信2025年年度报告</t>
        </is>
      </c>
      <c r="K11" s="4" t="inlineStr">
        <is>
          <t>2026-04-24</t>
        </is>
      </c>
      <c r="L11" s="5" t="inlineStr">
        <is>
          <t>iFinD ifind_get_stock_info + ifind_get_stock_business_segmentation (as of 2026-10-27)；移远通信2025年年度报告</t>
        </is>
      </c>
      <c r="M11" s="6" t="inlineStr">
        <is>
          <t>http://money.finance.sina.com.cn/corp/view/vCB_AllBulletinDetail.php?stockid=603236&amp;id=12160154</t>
        </is>
      </c>
    </row>
    <row r="12" ht="104" customHeight="1">
      <c r="B12" s="7" t="inlineStr">
        <is>
          <t>688503</t>
        </is>
      </c>
      <c r="C12" s="7" t="inlineStr">
        <is>
          <t>聚和材料</t>
        </is>
      </c>
      <c r="D12" s="8" t="inlineStr">
        <is>
          <t>半导体：半导体材料</t>
        </is>
      </c>
      <c r="E12" s="7" t="inlineStr">
        <is>
          <t>摘除</t>
        </is>
      </c>
      <c r="F12" s="7" t="inlineStr">
        <is>
          <t>—</t>
        </is>
      </c>
      <c r="G12" s="8" t="inlineStr">
        <is>
          <t>—</t>
        </is>
      </c>
      <c r="H12" s="7" t="inlineStr">
        <is>
          <t>摘除</t>
        </is>
      </c>
      <c r="I12" s="8" t="inlineStr">
        <is>
          <t>公司2025年的真实规模化收入仍来自光伏导电银浆，主要产品为TOPCon、HJT、X-BC等太阳能电池用浆料，不能因经营范围出现“半导体材料”或后来布局空白掩膜版，就把既有收入改写为半导体收入。2025年正面银浆收入144.2219亿元，约占总收入145.9270亿元的98.83%；电子专用材料行业收入145.1504亿元同样是包含光伏浆料的宽口径，并非半导体材料收入。年报虽讨论空白掩膜版国产替代，但未披露其2025年形成可识别规模收入，属于新业务培育和潜在用途边界，不能与成熟主业等量齐观。因此本次摘除旧“半导体材料”标签，不保留任何半导体概念。</t>
        </is>
      </c>
      <c r="J12" s="7" t="inlineStr">
        <is>
          <t>聚和材料：2025年年度报告</t>
        </is>
      </c>
      <c r="K12" s="7" t="inlineStr">
        <is>
          <t>2026-03-31</t>
        </is>
      </c>
      <c r="L12" s="8" t="inlineStr">
        <is>
          <t>iFinD ifind_get_stock_info + ifind_get_stock_business_segmentation (as of 2026-10-27)；聚和材料：2025年年度报告</t>
        </is>
      </c>
      <c r="M12" s="9" t="inlineStr">
        <is>
          <t>http://money.finance.sina.com.cn/corp/view/vCB_AllBulletinDetail.php?stockid=688503&amp;id=12044269</t>
        </is>
      </c>
    </row>
  </sheetData>
  <autoFilter ref="B4:M12"/>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E230"/>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半导体</t>
        </is>
      </c>
      <c r="B2" t="inlineStr">
        <is>
          <t>封装测试</t>
        </is>
      </c>
      <c r="C2" t="inlineStr">
        <is>
          <t>核心</t>
        </is>
      </c>
      <c r="D2" t="inlineStr">
        <is>
          <t>000021</t>
        </is>
      </c>
      <c r="E2" t="inlineStr">
        <is>
          <t>深科技</t>
        </is>
      </c>
    </row>
    <row r="3">
      <c r="A3" t="inlineStr">
        <is>
          <t>半导体</t>
        </is>
      </c>
      <c r="B3" t="inlineStr">
        <is>
          <t>洁净室与厂务工程</t>
        </is>
      </c>
      <c r="C3" t="inlineStr">
        <is>
          <t>核心</t>
        </is>
      </c>
      <c r="D3" t="inlineStr">
        <is>
          <t>000032</t>
        </is>
      </c>
      <c r="E3" t="inlineStr">
        <is>
          <t>深桑达A</t>
        </is>
      </c>
    </row>
    <row r="4">
      <c r="A4" t="inlineStr">
        <is>
          <t>半导体</t>
        </is>
      </c>
      <c r="B4" t="inlineStr">
        <is>
          <t>半导体分销与供应链</t>
        </is>
      </c>
      <c r="C4" t="inlineStr">
        <is>
          <t>核心</t>
        </is>
      </c>
      <c r="D4" t="inlineStr">
        <is>
          <t>000062</t>
        </is>
      </c>
      <c r="E4" t="inlineStr">
        <is>
          <t>深圳华强</t>
        </is>
      </c>
    </row>
    <row r="5">
      <c r="A5" t="inlineStr">
        <is>
          <t>半导体</t>
        </is>
      </c>
      <c r="B5" t="inlineStr">
        <is>
          <t>芯片设计-CPU/GPU/AI计算</t>
        </is>
      </c>
      <c r="C5" t="inlineStr">
        <is>
          <t>相关</t>
        </is>
      </c>
      <c r="D5" t="inlineStr">
        <is>
          <t>000063</t>
        </is>
      </c>
      <c r="E5" t="inlineStr">
        <is>
          <t>中兴通讯</t>
        </is>
      </c>
    </row>
    <row r="6">
      <c r="A6" t="inlineStr">
        <is>
          <t>半导体</t>
        </is>
      </c>
      <c r="B6" t="inlineStr">
        <is>
          <t>半导体股权与产业投资</t>
        </is>
      </c>
      <c r="C6" t="inlineStr">
        <is>
          <t>相关</t>
        </is>
      </c>
      <c r="D6" t="inlineStr">
        <is>
          <t>000066</t>
        </is>
      </c>
      <c r="E6" t="inlineStr">
        <is>
          <t>中国长城</t>
        </is>
      </c>
    </row>
    <row r="7">
      <c r="A7" t="inlineStr">
        <is>
          <t>半导体</t>
        </is>
      </c>
      <c r="B7" t="inlineStr">
        <is>
          <t>洁净室与厂务工程</t>
        </is>
      </c>
      <c r="C7" t="inlineStr">
        <is>
          <t>相关</t>
        </is>
      </c>
      <c r="D7" t="inlineStr">
        <is>
          <t>000551</t>
        </is>
      </c>
      <c r="E7" t="inlineStr">
        <is>
          <t>创元科技</t>
        </is>
      </c>
    </row>
    <row r="8">
      <c r="A8" t="inlineStr">
        <is>
          <t>半导体</t>
        </is>
      </c>
      <c r="B8" t="inlineStr">
        <is>
          <t>半导体分销与供应链</t>
        </is>
      </c>
      <c r="C8" t="inlineStr">
        <is>
          <t>核心</t>
        </is>
      </c>
      <c r="D8" t="inlineStr">
        <is>
          <t>001287</t>
        </is>
      </c>
      <c r="E8" t="inlineStr">
        <is>
          <t>中电港</t>
        </is>
      </c>
    </row>
    <row r="9">
      <c r="A9" t="inlineStr">
        <is>
          <t>半导体</t>
        </is>
      </c>
      <c r="B9" t="inlineStr">
        <is>
          <t>存储模组与系统</t>
        </is>
      </c>
      <c r="C9" t="inlineStr">
        <is>
          <t>核心</t>
        </is>
      </c>
      <c r="D9" t="inlineStr">
        <is>
          <t>001309</t>
        </is>
      </c>
      <c r="E9" t="inlineStr">
        <is>
          <t>德明利</t>
        </is>
      </c>
    </row>
    <row r="10">
      <c r="A10" t="inlineStr">
        <is>
          <t>半导体</t>
        </is>
      </c>
      <c r="B10" t="inlineStr">
        <is>
          <t>芯片设计-存储主控与接口</t>
        </is>
      </c>
      <c r="C10" t="inlineStr">
        <is>
          <t>核心</t>
        </is>
      </c>
      <c r="D10" t="inlineStr">
        <is>
          <t>001309</t>
        </is>
      </c>
      <c r="E10" t="inlineStr">
        <is>
          <t>德明利</t>
        </is>
      </c>
    </row>
    <row r="11">
      <c r="A11" t="inlineStr">
        <is>
          <t>半导体</t>
        </is>
      </c>
      <c r="B11" t="inlineStr">
        <is>
          <t>半导体材料-封装材料</t>
        </is>
      </c>
      <c r="C11" t="inlineStr">
        <is>
          <t>核心</t>
        </is>
      </c>
      <c r="D11" t="inlineStr">
        <is>
          <t>002119</t>
        </is>
      </c>
      <c r="E11" t="inlineStr">
        <is>
          <t>康强电子</t>
        </is>
      </c>
    </row>
    <row r="12">
      <c r="A12" t="inlineStr">
        <is>
          <t>半导体</t>
        </is>
      </c>
      <c r="B12" t="inlineStr">
        <is>
          <t>半导体材料-硅片与硅部件</t>
        </is>
      </c>
      <c r="C12" t="inlineStr">
        <is>
          <t>核心</t>
        </is>
      </c>
      <c r="D12" t="inlineStr">
        <is>
          <t>002129</t>
        </is>
      </c>
      <c r="E12" t="inlineStr">
        <is>
          <t>TCL中环</t>
        </is>
      </c>
    </row>
    <row r="13">
      <c r="A13" t="inlineStr">
        <is>
          <t>半导体</t>
        </is>
      </c>
      <c r="B13" t="inlineStr">
        <is>
          <t>封装测试</t>
        </is>
      </c>
      <c r="C13" t="inlineStr">
        <is>
          <t>核心</t>
        </is>
      </c>
      <c r="D13" t="inlineStr">
        <is>
          <t>002156</t>
        </is>
      </c>
      <c r="E13" t="inlineStr">
        <is>
          <t>通富微电</t>
        </is>
      </c>
    </row>
    <row r="14">
      <c r="A14" t="inlineStr">
        <is>
          <t>半导体</t>
        </is>
      </c>
      <c r="B14" t="inlineStr">
        <is>
          <t>封装测试</t>
        </is>
      </c>
      <c r="C14" t="inlineStr">
        <is>
          <t>核心</t>
        </is>
      </c>
      <c r="D14" t="inlineStr">
        <is>
          <t>002185</t>
        </is>
      </c>
      <c r="E14" t="inlineStr">
        <is>
          <t>华天科技</t>
        </is>
      </c>
    </row>
    <row r="15">
      <c r="A15" t="inlineStr">
        <is>
          <t>半导体</t>
        </is>
      </c>
      <c r="B15" t="inlineStr">
        <is>
          <t>存储模组与系统</t>
        </is>
      </c>
      <c r="C15" t="inlineStr">
        <is>
          <t>核心</t>
        </is>
      </c>
      <c r="D15" t="inlineStr">
        <is>
          <t>002213</t>
        </is>
      </c>
      <c r="E15" t="inlineStr">
        <is>
          <t>大为股份</t>
        </is>
      </c>
    </row>
    <row r="16">
      <c r="A16" t="inlineStr">
        <is>
          <t>半导体</t>
        </is>
      </c>
      <c r="B16" t="inlineStr">
        <is>
          <t>半导体股权与产业投资</t>
        </is>
      </c>
      <c r="C16" t="inlineStr">
        <is>
          <t>相关</t>
        </is>
      </c>
      <c r="D16" t="inlineStr">
        <is>
          <t>002338</t>
        </is>
      </c>
      <c r="E16" t="inlineStr">
        <is>
          <t>奥普光电</t>
        </is>
      </c>
    </row>
    <row r="17">
      <c r="A17" t="inlineStr">
        <is>
          <t>半导体</t>
        </is>
      </c>
      <c r="B17" t="inlineStr">
        <is>
          <t>半导体设备-刻蚀</t>
        </is>
      </c>
      <c r="C17" t="inlineStr">
        <is>
          <t>核心</t>
        </is>
      </c>
      <c r="D17" t="inlineStr">
        <is>
          <t>002371</t>
        </is>
      </c>
      <c r="E17" t="inlineStr">
        <is>
          <t>北方华创</t>
        </is>
      </c>
    </row>
    <row r="18">
      <c r="A18" t="inlineStr">
        <is>
          <t>半导体</t>
        </is>
      </c>
      <c r="B18" t="inlineStr">
        <is>
          <t>半导体设备-薄膜沉积</t>
        </is>
      </c>
      <c r="C18" t="inlineStr">
        <is>
          <t>核心</t>
        </is>
      </c>
      <c r="D18" t="inlineStr">
        <is>
          <t>002371</t>
        </is>
      </c>
      <c r="E18" t="inlineStr">
        <is>
          <t>北方华创</t>
        </is>
      </c>
    </row>
    <row r="19">
      <c r="A19" t="inlineStr">
        <is>
          <t>半导体</t>
        </is>
      </c>
      <c r="B19" t="inlineStr">
        <is>
          <t>半导体设备-热处理与去胶</t>
        </is>
      </c>
      <c r="C19" t="inlineStr">
        <is>
          <t>核心</t>
        </is>
      </c>
      <c r="D19" t="inlineStr">
        <is>
          <t>002371</t>
        </is>
      </c>
      <c r="E19" t="inlineStr">
        <is>
          <t>北方华创</t>
        </is>
      </c>
    </row>
    <row r="20">
      <c r="A20" t="inlineStr">
        <is>
          <t>半导体</t>
        </is>
      </c>
      <c r="B20" t="inlineStr">
        <is>
          <t>半导体设备-清洗</t>
        </is>
      </c>
      <c r="C20" t="inlineStr">
        <is>
          <t>核心</t>
        </is>
      </c>
      <c r="D20" t="inlineStr">
        <is>
          <t>002371</t>
        </is>
      </c>
      <c r="E20" t="inlineStr">
        <is>
          <t>北方华创</t>
        </is>
      </c>
    </row>
    <row r="21">
      <c r="A21" t="inlineStr">
        <is>
          <t>半导体</t>
        </is>
      </c>
      <c r="B21" t="inlineStr">
        <is>
          <t>半导体设备-离子注入</t>
        </is>
      </c>
      <c r="C21" t="inlineStr">
        <is>
          <t>核心</t>
        </is>
      </c>
      <c r="D21" t="inlineStr">
        <is>
          <t>002371</t>
        </is>
      </c>
      <c r="E21" t="inlineStr">
        <is>
          <t>北方华创</t>
        </is>
      </c>
    </row>
    <row r="22">
      <c r="A22" t="inlineStr">
        <is>
          <t>半导体</t>
        </is>
      </c>
      <c r="B22" t="inlineStr">
        <is>
          <t>半导体设备-涂胶显影</t>
        </is>
      </c>
      <c r="C22" t="inlineStr">
        <is>
          <t>核心</t>
        </is>
      </c>
      <c r="D22" t="inlineStr">
        <is>
          <t>002371</t>
        </is>
      </c>
      <c r="E22" t="inlineStr">
        <is>
          <t>北方华创</t>
        </is>
      </c>
    </row>
    <row r="23">
      <c r="A23" t="inlineStr">
        <is>
          <t>半导体</t>
        </is>
      </c>
      <c r="B23" t="inlineStr">
        <is>
          <t>半导体设备-键合与焊接</t>
        </is>
      </c>
      <c r="C23" t="inlineStr">
        <is>
          <t>核心</t>
        </is>
      </c>
      <c r="D23" t="inlineStr">
        <is>
          <t>002371</t>
        </is>
      </c>
      <c r="E23" t="inlineStr">
        <is>
          <t>北方华创</t>
        </is>
      </c>
    </row>
    <row r="24">
      <c r="A24" t="inlineStr">
        <is>
          <t>半导体</t>
        </is>
      </c>
      <c r="B24" t="inlineStr">
        <is>
          <t>半导体材料-封装材料</t>
        </is>
      </c>
      <c r="C24" t="inlineStr">
        <is>
          <t>相关</t>
        </is>
      </c>
      <c r="D24" t="inlineStr">
        <is>
          <t>002388</t>
        </is>
      </c>
      <c r="E24" t="inlineStr">
        <is>
          <t>新亚制程</t>
        </is>
      </c>
    </row>
    <row r="25">
      <c r="A25" t="inlineStr">
        <is>
          <t>半导体</t>
        </is>
      </c>
      <c r="B25" t="inlineStr">
        <is>
          <t>半导体材料-电子特气与湿化学品</t>
        </is>
      </c>
      <c r="C25" t="inlineStr">
        <is>
          <t>相关</t>
        </is>
      </c>
      <c r="D25" t="inlineStr">
        <is>
          <t>002407</t>
        </is>
      </c>
      <c r="E25" t="inlineStr">
        <is>
          <t>多氟多</t>
        </is>
      </c>
    </row>
    <row r="26">
      <c r="A26" t="inlineStr">
        <is>
          <t>半导体</t>
        </is>
      </c>
      <c r="B26" t="inlineStr">
        <is>
          <t>半导体材料-其他关键材料</t>
        </is>
      </c>
      <c r="C26" t="inlineStr">
        <is>
          <t>核心</t>
        </is>
      </c>
      <c r="D26" t="inlineStr">
        <is>
          <t>002409</t>
        </is>
      </c>
      <c r="E26" t="inlineStr">
        <is>
          <t>雅克科技</t>
        </is>
      </c>
    </row>
    <row r="27">
      <c r="A27" t="inlineStr">
        <is>
          <t>半导体</t>
        </is>
      </c>
      <c r="B27" t="inlineStr">
        <is>
          <t>半导体材料-光刻胶与配套试剂</t>
        </is>
      </c>
      <c r="C27" t="inlineStr">
        <is>
          <t>核心</t>
        </is>
      </c>
      <c r="D27" t="inlineStr">
        <is>
          <t>002409</t>
        </is>
      </c>
      <c r="E27" t="inlineStr">
        <is>
          <t>雅克科技</t>
        </is>
      </c>
    </row>
    <row r="28">
      <c r="A28" t="inlineStr">
        <is>
          <t>半导体</t>
        </is>
      </c>
      <c r="B28" t="inlineStr">
        <is>
          <t>半导体材料-电子特气与湿化学品</t>
        </is>
      </c>
      <c r="C28" t="inlineStr">
        <is>
          <t>核心</t>
        </is>
      </c>
      <c r="D28" t="inlineStr">
        <is>
          <t>002409</t>
        </is>
      </c>
      <c r="E28" t="inlineStr">
        <is>
          <t>雅克科技</t>
        </is>
      </c>
    </row>
    <row r="29">
      <c r="A29" t="inlineStr">
        <is>
          <t>半导体</t>
        </is>
      </c>
      <c r="B29" t="inlineStr">
        <is>
          <t>半导体材料-封装材料</t>
        </is>
      </c>
      <c r="C29" t="inlineStr">
        <is>
          <t>核心</t>
        </is>
      </c>
      <c r="D29" t="inlineStr">
        <is>
          <t>002409</t>
        </is>
      </c>
      <c r="E29" t="inlineStr">
        <is>
          <t>雅克科技</t>
        </is>
      </c>
    </row>
    <row r="30">
      <c r="A30" t="inlineStr">
        <is>
          <t>半导体</t>
        </is>
      </c>
      <c r="B30" t="inlineStr">
        <is>
          <t>IC载板</t>
        </is>
      </c>
      <c r="C30" t="inlineStr">
        <is>
          <t>核心</t>
        </is>
      </c>
      <c r="D30" t="inlineStr">
        <is>
          <t>002436</t>
        </is>
      </c>
      <c r="E30" t="inlineStr">
        <is>
          <t>兴森科技</t>
        </is>
      </c>
    </row>
    <row r="31">
      <c r="A31" t="inlineStr">
        <is>
          <t>半导体</t>
        </is>
      </c>
      <c r="B31" t="inlineStr">
        <is>
          <t>半导体材料-封装材料</t>
        </is>
      </c>
      <c r="C31" t="inlineStr">
        <is>
          <t>相关</t>
        </is>
      </c>
      <c r="D31" t="inlineStr">
        <is>
          <t>002453</t>
        </is>
      </c>
      <c r="E31" t="inlineStr">
        <is>
          <t>华软科技</t>
        </is>
      </c>
    </row>
    <row r="32">
      <c r="A32" t="inlineStr">
        <is>
          <t>半导体</t>
        </is>
      </c>
      <c r="B32" t="inlineStr">
        <is>
          <t>半导体材料-电子特气与湿化学品</t>
        </is>
      </c>
      <c r="C32" t="inlineStr">
        <is>
          <t>相关</t>
        </is>
      </c>
      <c r="D32" t="inlineStr">
        <is>
          <t>002549</t>
        </is>
      </c>
      <c r="E32" t="inlineStr">
        <is>
          <t>凯美特气</t>
        </is>
      </c>
    </row>
    <row r="33">
      <c r="A33" t="inlineStr">
        <is>
          <t>半导体</t>
        </is>
      </c>
      <c r="B33" t="inlineStr">
        <is>
          <t>IC载板</t>
        </is>
      </c>
      <c r="C33" t="inlineStr">
        <is>
          <t>核心</t>
        </is>
      </c>
      <c r="D33" t="inlineStr">
        <is>
          <t>002916</t>
        </is>
      </c>
      <c r="E33" t="inlineStr">
        <is>
          <t>深南电路</t>
        </is>
      </c>
    </row>
    <row r="34">
      <c r="A34" t="inlineStr">
        <is>
          <t>半导体</t>
        </is>
      </c>
      <c r="B34" t="inlineStr">
        <is>
          <t>半导体材料-电子特气与湿化学品</t>
        </is>
      </c>
      <c r="C34" t="inlineStr">
        <is>
          <t>相关</t>
        </is>
      </c>
      <c r="D34" t="inlineStr">
        <is>
          <t>002971</t>
        </is>
      </c>
      <c r="E34" t="inlineStr">
        <is>
          <t>和远气体</t>
        </is>
      </c>
    </row>
    <row r="35">
      <c r="A35" t="inlineStr">
        <is>
          <t>半导体</t>
        </is>
      </c>
      <c r="B35" t="inlineStr">
        <is>
          <t>半导体材料-硅片与硅部件</t>
        </is>
      </c>
      <c r="C35" t="inlineStr">
        <is>
          <t>核心</t>
        </is>
      </c>
      <c r="D35" t="inlineStr">
        <is>
          <t>003026</t>
        </is>
      </c>
      <c r="E35" t="inlineStr">
        <is>
          <t>中晶科技</t>
        </is>
      </c>
    </row>
    <row r="36">
      <c r="A36" t="inlineStr">
        <is>
          <t>半导体</t>
        </is>
      </c>
      <c r="B36" t="inlineStr">
        <is>
          <t>芯片设计-功率半导体</t>
        </is>
      </c>
      <c r="C36" t="inlineStr">
        <is>
          <t>核心</t>
        </is>
      </c>
      <c r="D36" t="inlineStr">
        <is>
          <t>003026</t>
        </is>
      </c>
      <c r="E36" t="inlineStr">
        <is>
          <t>中晶科技</t>
        </is>
      </c>
    </row>
    <row r="37">
      <c r="A37" t="inlineStr">
        <is>
          <t>半导体</t>
        </is>
      </c>
      <c r="B37" t="inlineStr">
        <is>
          <t>半导体材料-封装材料</t>
        </is>
      </c>
      <c r="C37" t="inlineStr">
        <is>
          <t>核心</t>
        </is>
      </c>
      <c r="D37" t="inlineStr">
        <is>
          <t>003031</t>
        </is>
      </c>
      <c r="E37" t="inlineStr">
        <is>
          <t>中瓷电子</t>
        </is>
      </c>
    </row>
    <row r="38">
      <c r="A38" t="inlineStr">
        <is>
          <t>半导体</t>
        </is>
      </c>
      <c r="B38" t="inlineStr">
        <is>
          <t>芯片设计-射频与通信芯片</t>
        </is>
      </c>
      <c r="C38" t="inlineStr">
        <is>
          <t>核心</t>
        </is>
      </c>
      <c r="D38" t="inlineStr">
        <is>
          <t>003031</t>
        </is>
      </c>
      <c r="E38" t="inlineStr">
        <is>
          <t>中瓷电子</t>
        </is>
      </c>
    </row>
    <row r="39">
      <c r="A39" t="inlineStr">
        <is>
          <t>半导体</t>
        </is>
      </c>
      <c r="B39" t="inlineStr">
        <is>
          <t>芯片设计-功率半导体</t>
        </is>
      </c>
      <c r="C39" t="inlineStr">
        <is>
          <t>核心</t>
        </is>
      </c>
      <c r="D39" t="inlineStr">
        <is>
          <t>003031</t>
        </is>
      </c>
      <c r="E39" t="inlineStr">
        <is>
          <t>中瓷电子</t>
        </is>
      </c>
    </row>
    <row r="40">
      <c r="A40" t="inlineStr">
        <is>
          <t>半导体</t>
        </is>
      </c>
      <c r="B40" t="inlineStr">
        <is>
          <t>半导体材料-石英与陶瓷部件</t>
        </is>
      </c>
      <c r="C40" t="inlineStr">
        <is>
          <t>核心</t>
        </is>
      </c>
      <c r="D40" t="inlineStr">
        <is>
          <t>003031</t>
        </is>
      </c>
      <c r="E40" t="inlineStr">
        <is>
          <t>中瓷电子</t>
        </is>
      </c>
    </row>
    <row r="41">
      <c r="A41" t="inlineStr">
        <is>
          <t>半导体</t>
        </is>
      </c>
      <c r="B41" t="inlineStr">
        <is>
          <t>晶圆制造与IDM</t>
        </is>
      </c>
      <c r="C41" t="inlineStr">
        <is>
          <t>核心</t>
        </is>
      </c>
      <c r="D41" t="inlineStr">
        <is>
          <t>003031</t>
        </is>
      </c>
      <c r="E41" t="inlineStr">
        <is>
          <t>中瓷电子</t>
        </is>
      </c>
    </row>
    <row r="42">
      <c r="A42" t="inlineStr">
        <is>
          <t>半导体</t>
        </is>
      </c>
      <c r="B42" t="inlineStr">
        <is>
          <t>半导体材料-电子特气与湿化学品</t>
        </is>
      </c>
      <c r="C42" t="inlineStr">
        <is>
          <t>相关</t>
        </is>
      </c>
      <c r="D42" t="inlineStr">
        <is>
          <t>300037</t>
        </is>
      </c>
      <c r="E42" t="inlineStr">
        <is>
          <t>新宙邦</t>
        </is>
      </c>
    </row>
    <row r="43">
      <c r="A43" t="inlineStr">
        <is>
          <t>半导体</t>
        </is>
      </c>
      <c r="B43" t="inlineStr">
        <is>
          <t>存储模组与系统</t>
        </is>
      </c>
      <c r="C43" t="inlineStr">
        <is>
          <t>核心</t>
        </is>
      </c>
      <c r="D43" t="inlineStr">
        <is>
          <t>300042</t>
        </is>
      </c>
      <c r="E43" t="inlineStr">
        <is>
          <t>朗科科技</t>
        </is>
      </c>
    </row>
    <row r="44">
      <c r="A44" t="inlineStr">
        <is>
          <t>半导体</t>
        </is>
      </c>
      <c r="B44" t="inlineStr">
        <is>
          <t>半导体材料-CMP材料</t>
        </is>
      </c>
      <c r="C44" t="inlineStr">
        <is>
          <t>核心</t>
        </is>
      </c>
      <c r="D44" t="inlineStr">
        <is>
          <t>300054</t>
        </is>
      </c>
      <c r="E44" t="inlineStr">
        <is>
          <t>鼎龙股份</t>
        </is>
      </c>
    </row>
    <row r="45">
      <c r="A45" t="inlineStr">
        <is>
          <t>半导体</t>
        </is>
      </c>
      <c r="B45" t="inlineStr">
        <is>
          <t>半导体材料-光刻胶与配套试剂</t>
        </is>
      </c>
      <c r="C45" t="inlineStr">
        <is>
          <t>核心</t>
        </is>
      </c>
      <c r="D45" t="inlineStr">
        <is>
          <t>300054</t>
        </is>
      </c>
      <c r="E45" t="inlineStr">
        <is>
          <t>鼎龙股份</t>
        </is>
      </c>
    </row>
    <row r="46">
      <c r="A46" t="inlineStr">
        <is>
          <t>半导体</t>
        </is>
      </c>
      <c r="B46" t="inlineStr">
        <is>
          <t>半导体材料-封装材料</t>
        </is>
      </c>
      <c r="C46" t="inlineStr">
        <is>
          <t>核心</t>
        </is>
      </c>
      <c r="D46" t="inlineStr">
        <is>
          <t>300054</t>
        </is>
      </c>
      <c r="E46" t="inlineStr">
        <is>
          <t>鼎龙股份</t>
        </is>
      </c>
    </row>
    <row r="47">
      <c r="A47" t="inlineStr">
        <is>
          <t>半导体</t>
        </is>
      </c>
      <c r="B47" t="inlineStr">
        <is>
          <t>芯片设计-存储芯片</t>
        </is>
      </c>
      <c r="C47" t="inlineStr">
        <is>
          <t>核心</t>
        </is>
      </c>
      <c r="D47" t="inlineStr">
        <is>
          <t>300223</t>
        </is>
      </c>
      <c r="E47" t="inlineStr">
        <is>
          <t>北京君正</t>
        </is>
      </c>
    </row>
    <row r="48">
      <c r="A48" t="inlineStr">
        <is>
          <t>半导体</t>
        </is>
      </c>
      <c r="B48" t="inlineStr">
        <is>
          <t>芯片设计-SoC与端侧AI</t>
        </is>
      </c>
      <c r="C48" t="inlineStr">
        <is>
          <t>核心</t>
        </is>
      </c>
      <c r="D48" t="inlineStr">
        <is>
          <t>300223</t>
        </is>
      </c>
      <c r="E48" t="inlineStr">
        <is>
          <t>北京君正</t>
        </is>
      </c>
    </row>
    <row r="49">
      <c r="A49" t="inlineStr">
        <is>
          <t>半导体</t>
        </is>
      </c>
      <c r="B49" t="inlineStr">
        <is>
          <t>芯片设计-模拟与电源管理</t>
        </is>
      </c>
      <c r="C49" t="inlineStr">
        <is>
          <t>核心</t>
        </is>
      </c>
      <c r="D49" t="inlineStr">
        <is>
          <t>300223</t>
        </is>
      </c>
      <c r="E49" t="inlineStr">
        <is>
          <t>北京君正</t>
        </is>
      </c>
    </row>
    <row r="50">
      <c r="A50" t="inlineStr">
        <is>
          <t>半导体</t>
        </is>
      </c>
      <c r="B50" t="inlineStr">
        <is>
          <t>半导体材料-电子特气与湿化学品</t>
        </is>
      </c>
      <c r="C50" t="inlineStr">
        <is>
          <t>核心</t>
        </is>
      </c>
      <c r="D50" t="inlineStr">
        <is>
          <t>300236</t>
        </is>
      </c>
      <c r="E50" t="inlineStr">
        <is>
          <t>上海新阳</t>
        </is>
      </c>
    </row>
    <row r="51">
      <c r="A51" t="inlineStr">
        <is>
          <t>半导体</t>
        </is>
      </c>
      <c r="B51" t="inlineStr">
        <is>
          <t>半导体材料-光刻胶与配套试剂</t>
        </is>
      </c>
      <c r="C51" t="inlineStr">
        <is>
          <t>核心</t>
        </is>
      </c>
      <c r="D51" t="inlineStr">
        <is>
          <t>300236</t>
        </is>
      </c>
      <c r="E51" t="inlineStr">
        <is>
          <t>上海新阳</t>
        </is>
      </c>
    </row>
    <row r="52">
      <c r="A52" t="inlineStr">
        <is>
          <t>半导体</t>
        </is>
      </c>
      <c r="B52" t="inlineStr">
        <is>
          <t>半导体材料-CMP材料</t>
        </is>
      </c>
      <c r="C52" t="inlineStr">
        <is>
          <t>核心</t>
        </is>
      </c>
      <c r="D52" t="inlineStr">
        <is>
          <t>300236</t>
        </is>
      </c>
      <c r="E52" t="inlineStr">
        <is>
          <t>上海新阳</t>
        </is>
      </c>
    </row>
    <row r="53">
      <c r="A53" t="inlineStr">
        <is>
          <t>半导体</t>
        </is>
      </c>
      <c r="B53" t="inlineStr">
        <is>
          <t>设备核心零部件</t>
        </is>
      </c>
      <c r="C53" t="inlineStr">
        <is>
          <t>核心</t>
        </is>
      </c>
      <c r="D53" t="inlineStr">
        <is>
          <t>300260</t>
        </is>
      </c>
      <c r="E53" t="inlineStr">
        <is>
          <t>新莱应材</t>
        </is>
      </c>
    </row>
    <row r="54">
      <c r="A54" t="inlineStr">
        <is>
          <t>半导体</t>
        </is>
      </c>
      <c r="B54" t="inlineStr">
        <is>
          <t>存储模组与系统</t>
        </is>
      </c>
      <c r="C54" t="inlineStr">
        <is>
          <t>核心</t>
        </is>
      </c>
      <c r="D54" t="inlineStr">
        <is>
          <t>300302</t>
        </is>
      </c>
      <c r="E54" t="inlineStr">
        <is>
          <t>同有科技</t>
        </is>
      </c>
    </row>
    <row r="55">
      <c r="A55" t="inlineStr">
        <is>
          <t>半导体</t>
        </is>
      </c>
      <c r="B55" t="inlineStr">
        <is>
          <t>半导体设备-其他专用设备</t>
        </is>
      </c>
      <c r="C55" t="inlineStr">
        <is>
          <t>核心</t>
        </is>
      </c>
      <c r="D55" t="inlineStr">
        <is>
          <t>300316</t>
        </is>
      </c>
      <c r="E55" t="inlineStr">
        <is>
          <t>晶盛机电</t>
        </is>
      </c>
    </row>
    <row r="56">
      <c r="A56" t="inlineStr">
        <is>
          <t>半导体</t>
        </is>
      </c>
      <c r="B56" t="inlineStr">
        <is>
          <t>半导体材料-硅片与硅部件</t>
        </is>
      </c>
      <c r="C56" t="inlineStr">
        <is>
          <t>核心</t>
        </is>
      </c>
      <c r="D56" t="inlineStr">
        <is>
          <t>300316</t>
        </is>
      </c>
      <c r="E56" t="inlineStr">
        <is>
          <t>晶盛机电</t>
        </is>
      </c>
    </row>
    <row r="57">
      <c r="A57" t="inlineStr">
        <is>
          <t>半导体</t>
        </is>
      </c>
      <c r="B57" t="inlineStr">
        <is>
          <t>半导体材料-石英与陶瓷部件</t>
        </is>
      </c>
      <c r="C57" t="inlineStr">
        <is>
          <t>核心</t>
        </is>
      </c>
      <c r="D57" t="inlineStr">
        <is>
          <t>300316</t>
        </is>
      </c>
      <c r="E57" t="inlineStr">
        <is>
          <t>晶盛机电</t>
        </is>
      </c>
    </row>
    <row r="58">
      <c r="A58" t="inlineStr">
        <is>
          <t>半导体</t>
        </is>
      </c>
      <c r="B58" t="inlineStr">
        <is>
          <t>设备核心零部件</t>
        </is>
      </c>
      <c r="C58" t="inlineStr">
        <is>
          <t>核心</t>
        </is>
      </c>
      <c r="D58" t="inlineStr">
        <is>
          <t>300316</t>
        </is>
      </c>
      <c r="E58" t="inlineStr">
        <is>
          <t>晶盛机电</t>
        </is>
      </c>
    </row>
    <row r="59">
      <c r="A59" t="inlineStr">
        <is>
          <t>半导体</t>
        </is>
      </c>
      <c r="B59" t="inlineStr">
        <is>
          <t>半导体材料-电子特气与湿化学品</t>
        </is>
      </c>
      <c r="C59" t="inlineStr">
        <is>
          <t>核心</t>
        </is>
      </c>
      <c r="D59" t="inlineStr">
        <is>
          <t>300346</t>
        </is>
      </c>
      <c r="E59" t="inlineStr">
        <is>
          <t>南大光电</t>
        </is>
      </c>
    </row>
    <row r="60">
      <c r="A60" t="inlineStr">
        <is>
          <t>半导体</t>
        </is>
      </c>
      <c r="B60" t="inlineStr">
        <is>
          <t>半导体材料-光刻胶与配套试剂</t>
        </is>
      </c>
      <c r="C60" t="inlineStr">
        <is>
          <t>核心</t>
        </is>
      </c>
      <c r="D60" t="inlineStr">
        <is>
          <t>300346</t>
        </is>
      </c>
      <c r="E60" t="inlineStr">
        <is>
          <t>南大光电</t>
        </is>
      </c>
    </row>
    <row r="61">
      <c r="A61" t="inlineStr">
        <is>
          <t>半导体</t>
        </is>
      </c>
      <c r="B61" t="inlineStr">
        <is>
          <t>半导体材料-其他关键材料</t>
        </is>
      </c>
      <c r="C61" t="inlineStr">
        <is>
          <t>核心</t>
        </is>
      </c>
      <c r="D61" t="inlineStr">
        <is>
          <t>300346</t>
        </is>
      </c>
      <c r="E61" t="inlineStr">
        <is>
          <t>南大光电</t>
        </is>
      </c>
    </row>
    <row r="62">
      <c r="A62" t="inlineStr">
        <is>
          <t>半导体</t>
        </is>
      </c>
      <c r="B62" t="inlineStr">
        <is>
          <t>芯片设计-功率半导体</t>
        </is>
      </c>
      <c r="C62" t="inlineStr">
        <is>
          <t>核心</t>
        </is>
      </c>
      <c r="D62" t="inlineStr">
        <is>
          <t>300373</t>
        </is>
      </c>
      <c r="E62" t="inlineStr">
        <is>
          <t>扬杰科技</t>
        </is>
      </c>
    </row>
    <row r="63">
      <c r="A63" t="inlineStr">
        <is>
          <t>半导体</t>
        </is>
      </c>
      <c r="B63" t="inlineStr">
        <is>
          <t>晶圆制造与IDM</t>
        </is>
      </c>
      <c r="C63" t="inlineStr">
        <is>
          <t>核心</t>
        </is>
      </c>
      <c r="D63" t="inlineStr">
        <is>
          <t>300373</t>
        </is>
      </c>
      <c r="E63" t="inlineStr">
        <is>
          <t>扬杰科技</t>
        </is>
      </c>
    </row>
    <row r="64">
      <c r="A64" t="inlineStr">
        <is>
          <t>半导体</t>
        </is>
      </c>
      <c r="B64" t="inlineStr">
        <is>
          <t>芯片设计-SoC与端侧AI</t>
        </is>
      </c>
      <c r="C64" t="inlineStr">
        <is>
          <t>核心</t>
        </is>
      </c>
      <c r="D64" t="inlineStr">
        <is>
          <t>300458</t>
        </is>
      </c>
      <c r="E64" t="inlineStr">
        <is>
          <t>全志科技</t>
        </is>
      </c>
    </row>
    <row r="65">
      <c r="A65" t="inlineStr">
        <is>
          <t>半导体</t>
        </is>
      </c>
      <c r="B65" t="inlineStr">
        <is>
          <t>芯片设计-CPU/GPU/AI计算</t>
        </is>
      </c>
      <c r="C65" t="inlineStr">
        <is>
          <t>核心</t>
        </is>
      </c>
      <c r="D65" t="inlineStr">
        <is>
          <t>300474</t>
        </is>
      </c>
      <c r="E65" t="inlineStr">
        <is>
          <t>景嘉微</t>
        </is>
      </c>
    </row>
    <row r="66">
      <c r="A66" t="inlineStr">
        <is>
          <t>半导体</t>
        </is>
      </c>
      <c r="B66" t="inlineStr">
        <is>
          <t>半导体分销与供应链</t>
        </is>
      </c>
      <c r="C66" t="inlineStr">
        <is>
          <t>核心</t>
        </is>
      </c>
      <c r="D66" t="inlineStr">
        <is>
          <t>300475</t>
        </is>
      </c>
      <c r="E66" t="inlineStr">
        <is>
          <t>香农芯创</t>
        </is>
      </c>
    </row>
    <row r="67">
      <c r="A67" t="inlineStr">
        <is>
          <t>半导体</t>
        </is>
      </c>
      <c r="B67" t="inlineStr">
        <is>
          <t>存储模组与系统</t>
        </is>
      </c>
      <c r="C67" t="inlineStr">
        <is>
          <t>核心</t>
        </is>
      </c>
      <c r="D67" t="inlineStr">
        <is>
          <t>300475</t>
        </is>
      </c>
      <c r="E67" t="inlineStr">
        <is>
          <t>香农芯创</t>
        </is>
      </c>
    </row>
    <row r="68">
      <c r="A68" t="inlineStr">
        <is>
          <t>半导体</t>
        </is>
      </c>
      <c r="B68" t="inlineStr">
        <is>
          <t>半导体设备-划片与切割</t>
        </is>
      </c>
      <c r="C68" t="inlineStr">
        <is>
          <t>核心</t>
        </is>
      </c>
      <c r="D68" t="inlineStr">
        <is>
          <t>300480</t>
        </is>
      </c>
      <c r="E68" t="inlineStr">
        <is>
          <t>光力科技</t>
        </is>
      </c>
    </row>
    <row r="69">
      <c r="A69" t="inlineStr">
        <is>
          <t>半导体</t>
        </is>
      </c>
      <c r="B69" t="inlineStr">
        <is>
          <t>半导体分销与供应链</t>
        </is>
      </c>
      <c r="C69" t="inlineStr">
        <is>
          <t>核心</t>
        </is>
      </c>
      <c r="D69" t="inlineStr">
        <is>
          <t>300493</t>
        </is>
      </c>
      <c r="E69" t="inlineStr">
        <is>
          <t>润欣科技</t>
        </is>
      </c>
    </row>
    <row r="70">
      <c r="A70" t="inlineStr">
        <is>
          <t>半导体</t>
        </is>
      </c>
      <c r="B70" t="inlineStr">
        <is>
          <t>芯片设计-SoC与端侧AI</t>
        </is>
      </c>
      <c r="C70" t="inlineStr">
        <is>
          <t>核心</t>
        </is>
      </c>
      <c r="D70" t="inlineStr">
        <is>
          <t>300493</t>
        </is>
      </c>
      <c r="E70" t="inlineStr">
        <is>
          <t>润欣科技</t>
        </is>
      </c>
    </row>
    <row r="71">
      <c r="A71" t="inlineStr">
        <is>
          <t>半导体</t>
        </is>
      </c>
      <c r="B71" t="inlineStr">
        <is>
          <t>半导体材料-金刚石与加工耗材</t>
        </is>
      </c>
      <c r="C71" t="inlineStr">
        <is>
          <t>相关</t>
        </is>
      </c>
      <c r="D71" t="inlineStr">
        <is>
          <t>300554</t>
        </is>
      </c>
      <c r="E71" t="inlineStr">
        <is>
          <t>三超新材</t>
        </is>
      </c>
    </row>
    <row r="72">
      <c r="A72" t="inlineStr">
        <is>
          <t>半导体</t>
        </is>
      </c>
      <c r="B72" t="inlineStr">
        <is>
          <t>半导体设备-量测与检测</t>
        </is>
      </c>
      <c r="C72" t="inlineStr">
        <is>
          <t>核心</t>
        </is>
      </c>
      <c r="D72" t="inlineStr">
        <is>
          <t>300567</t>
        </is>
      </c>
      <c r="E72" t="inlineStr">
        <is>
          <t>精测电子</t>
        </is>
      </c>
    </row>
    <row r="73">
      <c r="A73" t="inlineStr">
        <is>
          <t>半导体</t>
        </is>
      </c>
      <c r="B73" t="inlineStr">
        <is>
          <t>半导体材料-光刻胶与配套试剂</t>
        </is>
      </c>
      <c r="C73" t="inlineStr">
        <is>
          <t>相关</t>
        </is>
      </c>
      <c r="D73" t="inlineStr">
        <is>
          <t>300576</t>
        </is>
      </c>
      <c r="E73" t="inlineStr">
        <is>
          <t>容大感光</t>
        </is>
      </c>
    </row>
    <row r="74">
      <c r="A74" t="inlineStr">
        <is>
          <t>半导体</t>
        </is>
      </c>
      <c r="B74" t="inlineStr">
        <is>
          <t>半导体设备-测试机与分选机</t>
        </is>
      </c>
      <c r="C74" t="inlineStr">
        <is>
          <t>核心</t>
        </is>
      </c>
      <c r="D74" t="inlineStr">
        <is>
          <t>300604</t>
        </is>
      </c>
      <c r="E74" t="inlineStr">
        <is>
          <t>长川科技</t>
        </is>
      </c>
    </row>
    <row r="75">
      <c r="A75" t="inlineStr">
        <is>
          <t>半导体</t>
        </is>
      </c>
      <c r="B75" t="inlineStr">
        <is>
          <t>芯片设计-SoC与端侧AI</t>
        </is>
      </c>
      <c r="C75" t="inlineStr">
        <is>
          <t>核心</t>
        </is>
      </c>
      <c r="D75" t="inlineStr">
        <is>
          <t>300613</t>
        </is>
      </c>
      <c r="E75" t="inlineStr">
        <is>
          <t>富瀚微</t>
        </is>
      </c>
    </row>
    <row r="76">
      <c r="A76" t="inlineStr">
        <is>
          <t>半导体</t>
        </is>
      </c>
      <c r="B76" t="inlineStr">
        <is>
          <t>半导体材料-电子特气与湿化学品</t>
        </is>
      </c>
      <c r="C76" t="inlineStr">
        <is>
          <t>核心</t>
        </is>
      </c>
      <c r="D76" t="inlineStr">
        <is>
          <t>300655</t>
        </is>
      </c>
      <c r="E76" t="inlineStr">
        <is>
          <t>晶瑞电材</t>
        </is>
      </c>
    </row>
    <row r="77">
      <c r="A77" t="inlineStr">
        <is>
          <t>半导体</t>
        </is>
      </c>
      <c r="B77" t="inlineStr">
        <is>
          <t>半导体材料-光刻胶与配套试剂</t>
        </is>
      </c>
      <c r="C77" t="inlineStr">
        <is>
          <t>核心</t>
        </is>
      </c>
      <c r="D77" t="inlineStr">
        <is>
          <t>300655</t>
        </is>
      </c>
      <c r="E77" t="inlineStr">
        <is>
          <t>晶瑞电材</t>
        </is>
      </c>
    </row>
    <row r="78">
      <c r="A78" t="inlineStr">
        <is>
          <t>半导体</t>
        </is>
      </c>
      <c r="B78" t="inlineStr">
        <is>
          <t>半导体材料-靶材与蒸镀材料</t>
        </is>
      </c>
      <c r="C78" t="inlineStr">
        <is>
          <t>核心</t>
        </is>
      </c>
      <c r="D78" t="inlineStr">
        <is>
          <t>300666</t>
        </is>
      </c>
      <c r="E78" t="inlineStr">
        <is>
          <t>江丰电子</t>
        </is>
      </c>
    </row>
    <row r="79">
      <c r="A79" t="inlineStr">
        <is>
          <t>半导体</t>
        </is>
      </c>
      <c r="B79" t="inlineStr">
        <is>
          <t>设备核心零部件</t>
        </is>
      </c>
      <c r="C79" t="inlineStr">
        <is>
          <t>核心</t>
        </is>
      </c>
      <c r="D79" t="inlineStr">
        <is>
          <t>300666</t>
        </is>
      </c>
      <c r="E79" t="inlineStr">
        <is>
          <t>江丰电子</t>
        </is>
      </c>
    </row>
    <row r="80">
      <c r="A80" t="inlineStr">
        <is>
          <t>半导体</t>
        </is>
      </c>
      <c r="B80" t="inlineStr">
        <is>
          <t>芯片设计-SoC与端侧AI</t>
        </is>
      </c>
      <c r="C80" t="inlineStr">
        <is>
          <t>核心</t>
        </is>
      </c>
      <c r="D80" t="inlineStr">
        <is>
          <t>300672</t>
        </is>
      </c>
      <c r="E80" t="inlineStr">
        <is>
          <t>国科微</t>
        </is>
      </c>
    </row>
    <row r="81">
      <c r="A81" t="inlineStr">
        <is>
          <t>半导体</t>
        </is>
      </c>
      <c r="B81" t="inlineStr">
        <is>
          <t>芯片设计-存储主控与接口</t>
        </is>
      </c>
      <c r="C81" t="inlineStr">
        <is>
          <t>核心</t>
        </is>
      </c>
      <c r="D81" t="inlineStr">
        <is>
          <t>300672</t>
        </is>
      </c>
      <c r="E81" t="inlineStr">
        <is>
          <t>国科微</t>
        </is>
      </c>
    </row>
    <row r="82">
      <c r="A82" t="inlineStr">
        <is>
          <t>半导体</t>
        </is>
      </c>
      <c r="B82" t="inlineStr">
        <is>
          <t>半导体材料-靶材与蒸镀材料</t>
        </is>
      </c>
      <c r="C82" t="inlineStr">
        <is>
          <t>相关</t>
        </is>
      </c>
      <c r="D82" t="inlineStr">
        <is>
          <t>300706</t>
        </is>
      </c>
      <c r="E82" t="inlineStr">
        <is>
          <t>阿石创</t>
        </is>
      </c>
    </row>
    <row r="83">
      <c r="A83" t="inlineStr">
        <is>
          <t>半导体</t>
        </is>
      </c>
      <c r="B83" t="inlineStr">
        <is>
          <t>半导体设备-清洗</t>
        </is>
      </c>
      <c r="C83" t="inlineStr">
        <is>
          <t>相关</t>
        </is>
      </c>
      <c r="D83" t="inlineStr">
        <is>
          <t>300786</t>
        </is>
      </c>
      <c r="E83" t="inlineStr">
        <is>
          <t>国林科技</t>
        </is>
      </c>
    </row>
    <row r="84">
      <c r="A84" t="inlineStr">
        <is>
          <t>半导体</t>
        </is>
      </c>
      <c r="B84" t="inlineStr">
        <is>
          <t>存储模组与系统</t>
        </is>
      </c>
      <c r="C84" t="inlineStr">
        <is>
          <t>核心</t>
        </is>
      </c>
      <c r="D84" t="inlineStr">
        <is>
          <t>300857</t>
        </is>
      </c>
      <c r="E84" t="inlineStr">
        <is>
          <t>协创数据</t>
        </is>
      </c>
    </row>
    <row r="85">
      <c r="A85" t="inlineStr">
        <is>
          <t>半导体</t>
        </is>
      </c>
      <c r="B85" t="inlineStr">
        <is>
          <t>半导体分销与供应链</t>
        </is>
      </c>
      <c r="C85" t="inlineStr">
        <is>
          <t>相关</t>
        </is>
      </c>
      <c r="D85" t="inlineStr">
        <is>
          <t>300975</t>
        </is>
      </c>
      <c r="E85" t="inlineStr">
        <is>
          <t>商络电子</t>
        </is>
      </c>
    </row>
    <row r="86">
      <c r="A86" t="inlineStr">
        <is>
          <t>半导体</t>
        </is>
      </c>
      <c r="B86" t="inlineStr">
        <is>
          <t>半导体分销与供应链</t>
        </is>
      </c>
      <c r="C86" t="inlineStr">
        <is>
          <t>相关</t>
        </is>
      </c>
      <c r="D86" t="inlineStr">
        <is>
          <t>301099</t>
        </is>
      </c>
      <c r="E86" t="inlineStr">
        <is>
          <t>雅创电子</t>
        </is>
      </c>
    </row>
    <row r="87">
      <c r="A87" t="inlineStr">
        <is>
          <t>半导体</t>
        </is>
      </c>
      <c r="B87" t="inlineStr">
        <is>
          <t>芯片设计-模拟与电源管理</t>
        </is>
      </c>
      <c r="C87" t="inlineStr">
        <is>
          <t>相关</t>
        </is>
      </c>
      <c r="D87" t="inlineStr">
        <is>
          <t>301099</t>
        </is>
      </c>
      <c r="E87" t="inlineStr">
        <is>
          <t>雅创电子</t>
        </is>
      </c>
    </row>
    <row r="88">
      <c r="A88" t="inlineStr">
        <is>
          <t>半导体</t>
        </is>
      </c>
      <c r="B88" t="inlineStr">
        <is>
          <t>洁净室与厂务工程</t>
        </is>
      </c>
      <c r="C88" t="inlineStr">
        <is>
          <t>相关</t>
        </is>
      </c>
      <c r="D88" t="inlineStr">
        <is>
          <t>301235</t>
        </is>
      </c>
      <c r="E88" t="inlineStr">
        <is>
          <t>华康洁净</t>
        </is>
      </c>
    </row>
    <row r="89">
      <c r="A89" t="inlineStr">
        <is>
          <t>半导体</t>
        </is>
      </c>
      <c r="B89" t="inlineStr">
        <is>
          <t>半导体材料-封装材料</t>
        </is>
      </c>
      <c r="C89" t="inlineStr">
        <is>
          <t>核心</t>
        </is>
      </c>
      <c r="D89" t="inlineStr">
        <is>
          <t>301297</t>
        </is>
      </c>
      <c r="E89" t="inlineStr">
        <is>
          <t>富乐德</t>
        </is>
      </c>
    </row>
    <row r="90">
      <c r="A90" t="inlineStr">
        <is>
          <t>半导体</t>
        </is>
      </c>
      <c r="B90" t="inlineStr">
        <is>
          <t>设备核心零部件</t>
        </is>
      </c>
      <c r="C90" t="inlineStr">
        <is>
          <t>核心</t>
        </is>
      </c>
      <c r="D90" t="inlineStr">
        <is>
          <t>301297</t>
        </is>
      </c>
      <c r="E90" t="inlineStr">
        <is>
          <t>富乐德</t>
        </is>
      </c>
    </row>
    <row r="91">
      <c r="A91" t="inlineStr">
        <is>
          <t>半导体</t>
        </is>
      </c>
      <c r="B91" t="inlineStr">
        <is>
          <t>存储模组与系统</t>
        </is>
      </c>
      <c r="C91" t="inlineStr">
        <is>
          <t>核心</t>
        </is>
      </c>
      <c r="D91" t="inlineStr">
        <is>
          <t>301308</t>
        </is>
      </c>
      <c r="E91" t="inlineStr">
        <is>
          <t>江波龙</t>
        </is>
      </c>
    </row>
    <row r="92">
      <c r="A92" t="inlineStr">
        <is>
          <t>半导体</t>
        </is>
      </c>
      <c r="B92" t="inlineStr">
        <is>
          <t>芯片设计-存储主控与接口</t>
        </is>
      </c>
      <c r="C92" t="inlineStr">
        <is>
          <t>核心</t>
        </is>
      </c>
      <c r="D92" t="inlineStr">
        <is>
          <t>301308</t>
        </is>
      </c>
      <c r="E92" t="inlineStr">
        <is>
          <t>江波龙</t>
        </is>
      </c>
    </row>
    <row r="93">
      <c r="A93" t="inlineStr">
        <is>
          <t>半导体</t>
        </is>
      </c>
      <c r="B93" t="inlineStr">
        <is>
          <t>半导体设备-测试机与分选机</t>
        </is>
      </c>
      <c r="C93" t="inlineStr">
        <is>
          <t>核心</t>
        </is>
      </c>
      <c r="D93" t="inlineStr">
        <is>
          <t>301369</t>
        </is>
      </c>
      <c r="E93" t="inlineStr">
        <is>
          <t>联动科技</t>
        </is>
      </c>
    </row>
    <row r="94">
      <c r="A94" t="inlineStr">
        <is>
          <t>半导体</t>
        </is>
      </c>
      <c r="B94" t="inlineStr">
        <is>
          <t>半导体设备-CMP</t>
        </is>
      </c>
      <c r="C94" t="inlineStr">
        <is>
          <t>相关</t>
        </is>
      </c>
      <c r="D94" t="inlineStr">
        <is>
          <t>301486</t>
        </is>
      </c>
      <c r="E94" t="inlineStr">
        <is>
          <t>致尚科技</t>
        </is>
      </c>
    </row>
    <row r="95">
      <c r="A95" t="inlineStr">
        <is>
          <t>半导体</t>
        </is>
      </c>
      <c r="B95" t="inlineStr">
        <is>
          <t>芯片设计-SoC与端侧AI</t>
        </is>
      </c>
      <c r="C95" t="inlineStr">
        <is>
          <t>核心</t>
        </is>
      </c>
      <c r="D95" t="inlineStr">
        <is>
          <t>301536</t>
        </is>
      </c>
      <c r="E95" t="inlineStr">
        <is>
          <t>星宸科技</t>
        </is>
      </c>
    </row>
    <row r="96">
      <c r="A96" t="inlineStr">
        <is>
          <t>半导体</t>
        </is>
      </c>
      <c r="B96" t="inlineStr">
        <is>
          <t>半导体设备-探针台与测试接口</t>
        </is>
      </c>
      <c r="C96" t="inlineStr">
        <is>
          <t>核心</t>
        </is>
      </c>
      <c r="D96" t="inlineStr">
        <is>
          <t>301629</t>
        </is>
      </c>
      <c r="E96" t="inlineStr">
        <is>
          <t>矽电股份</t>
        </is>
      </c>
    </row>
    <row r="97">
      <c r="A97" t="inlineStr">
        <is>
          <t>半导体</t>
        </is>
      </c>
      <c r="B97" t="inlineStr">
        <is>
          <t>芯片设计-模拟与电源管理</t>
        </is>
      </c>
      <c r="C97" t="inlineStr">
        <is>
          <t>核心</t>
        </is>
      </c>
      <c r="D97" t="inlineStr">
        <is>
          <t>600171</t>
        </is>
      </c>
      <c r="E97" t="inlineStr">
        <is>
          <t>上海贝岭</t>
        </is>
      </c>
    </row>
    <row r="98">
      <c r="A98" t="inlineStr">
        <is>
          <t>半导体</t>
        </is>
      </c>
      <c r="B98" t="inlineStr">
        <is>
          <t>芯片设计-功率半导体</t>
        </is>
      </c>
      <c r="C98" t="inlineStr">
        <is>
          <t>核心</t>
        </is>
      </c>
      <c r="D98" t="inlineStr">
        <is>
          <t>600171</t>
        </is>
      </c>
      <c r="E98" t="inlineStr">
        <is>
          <t>上海贝岭</t>
        </is>
      </c>
    </row>
    <row r="99">
      <c r="A99" t="inlineStr">
        <is>
          <t>半导体</t>
        </is>
      </c>
      <c r="B99" t="inlineStr">
        <is>
          <t>半导体材料-靶材与蒸镀材料</t>
        </is>
      </c>
      <c r="C99" t="inlineStr">
        <is>
          <t>核心</t>
        </is>
      </c>
      <c r="D99" t="inlineStr">
        <is>
          <t>600206</t>
        </is>
      </c>
      <c r="E99" t="inlineStr">
        <is>
          <t>有研新材</t>
        </is>
      </c>
    </row>
    <row r="100">
      <c r="A100" t="inlineStr">
        <is>
          <t>半导体</t>
        </is>
      </c>
      <c r="B100" t="inlineStr">
        <is>
          <t>芯片设计-存储主控与接口</t>
        </is>
      </c>
      <c r="C100" t="inlineStr">
        <is>
          <t>相关</t>
        </is>
      </c>
      <c r="D100" t="inlineStr">
        <is>
          <t>600246</t>
        </is>
      </c>
      <c r="E100" t="inlineStr">
        <is>
          <t>万通发展</t>
        </is>
      </c>
    </row>
    <row r="101">
      <c r="A101" t="inlineStr">
        <is>
          <t>半导体</t>
        </is>
      </c>
      <c r="B101" t="inlineStr">
        <is>
          <t>芯片设计-功率半导体</t>
        </is>
      </c>
      <c r="C101" t="inlineStr">
        <is>
          <t>核心</t>
        </is>
      </c>
      <c r="D101" t="inlineStr">
        <is>
          <t>600360</t>
        </is>
      </c>
      <c r="E101" t="inlineStr">
        <is>
          <t>华微电子</t>
        </is>
      </c>
    </row>
    <row r="102">
      <c r="A102" t="inlineStr">
        <is>
          <t>半导体</t>
        </is>
      </c>
      <c r="B102" t="inlineStr">
        <is>
          <t>晶圆制造与IDM</t>
        </is>
      </c>
      <c r="C102" t="inlineStr">
        <is>
          <t>核心</t>
        </is>
      </c>
      <c r="D102" t="inlineStr">
        <is>
          <t>600360</t>
        </is>
      </c>
      <c r="E102" t="inlineStr">
        <is>
          <t>华微电子</t>
        </is>
      </c>
    </row>
    <row r="103">
      <c r="A103" t="inlineStr">
        <is>
          <t>半导体</t>
        </is>
      </c>
      <c r="B103" t="inlineStr">
        <is>
          <t>芯片设计-功率半导体</t>
        </is>
      </c>
      <c r="C103" t="inlineStr">
        <is>
          <t>核心</t>
        </is>
      </c>
      <c r="D103" t="inlineStr">
        <is>
          <t>600460</t>
        </is>
      </c>
      <c r="E103" t="inlineStr">
        <is>
          <t>士兰微</t>
        </is>
      </c>
    </row>
    <row r="104">
      <c r="A104" t="inlineStr">
        <is>
          <t>半导体</t>
        </is>
      </c>
      <c r="B104" t="inlineStr">
        <is>
          <t>晶圆制造与IDM</t>
        </is>
      </c>
      <c r="C104" t="inlineStr">
        <is>
          <t>核心</t>
        </is>
      </c>
      <c r="D104" t="inlineStr">
        <is>
          <t>600460</t>
        </is>
      </c>
      <c r="E104" t="inlineStr">
        <is>
          <t>士兰微</t>
        </is>
      </c>
    </row>
    <row r="105">
      <c r="A105" t="inlineStr">
        <is>
          <t>半导体</t>
        </is>
      </c>
      <c r="B105" t="inlineStr">
        <is>
          <t>半导体设备-封装设备</t>
        </is>
      </c>
      <c r="C105" t="inlineStr">
        <is>
          <t>核心</t>
        </is>
      </c>
      <c r="D105" t="inlineStr">
        <is>
          <t>600520</t>
        </is>
      </c>
      <c r="E105" t="inlineStr">
        <is>
          <t>三佳科技</t>
        </is>
      </c>
    </row>
    <row r="106">
      <c r="A106" t="inlineStr">
        <is>
          <t>半导体</t>
        </is>
      </c>
      <c r="B106" t="inlineStr">
        <is>
          <t>封装测试</t>
        </is>
      </c>
      <c r="C106" t="inlineStr">
        <is>
          <t>核心</t>
        </is>
      </c>
      <c r="D106" t="inlineStr">
        <is>
          <t>600584</t>
        </is>
      </c>
      <c r="E106" t="inlineStr">
        <is>
          <t>长电科技</t>
        </is>
      </c>
    </row>
    <row r="107">
      <c r="A107" t="inlineStr">
        <is>
          <t>半导体</t>
        </is>
      </c>
      <c r="B107" t="inlineStr">
        <is>
          <t>半导体设备-离子注入</t>
        </is>
      </c>
      <c r="C107" t="inlineStr">
        <is>
          <t>核心</t>
        </is>
      </c>
      <c r="D107" t="inlineStr">
        <is>
          <t>600641</t>
        </is>
      </c>
      <c r="E107" t="inlineStr">
        <is>
          <t>先导基电</t>
        </is>
      </c>
    </row>
    <row r="108">
      <c r="A108" t="inlineStr">
        <is>
          <t>半导体</t>
        </is>
      </c>
      <c r="B108" t="inlineStr">
        <is>
          <t>封装测试</t>
        </is>
      </c>
      <c r="C108" t="inlineStr">
        <is>
          <t>相关</t>
        </is>
      </c>
      <c r="D108" t="inlineStr">
        <is>
          <t>600667</t>
        </is>
      </c>
      <c r="E108" t="inlineStr">
        <is>
          <t>太极实业</t>
        </is>
      </c>
    </row>
    <row r="109">
      <c r="A109" t="inlineStr">
        <is>
          <t>半导体</t>
        </is>
      </c>
      <c r="B109" t="inlineStr">
        <is>
          <t>洁净室与厂务工程</t>
        </is>
      </c>
      <c r="C109" t="inlineStr">
        <is>
          <t>相关</t>
        </is>
      </c>
      <c r="D109" t="inlineStr">
        <is>
          <t>600667</t>
        </is>
      </c>
      <c r="E109" t="inlineStr">
        <is>
          <t>太极实业</t>
        </is>
      </c>
    </row>
    <row r="110">
      <c r="A110" t="inlineStr">
        <is>
          <t>半导体</t>
        </is>
      </c>
      <c r="B110" t="inlineStr">
        <is>
          <t>半导体股权与产业投资</t>
        </is>
      </c>
      <c r="C110" t="inlineStr">
        <is>
          <t>相关</t>
        </is>
      </c>
      <c r="D110" t="inlineStr">
        <is>
          <t>600895</t>
        </is>
      </c>
      <c r="E110" t="inlineStr">
        <is>
          <t>张江高科</t>
        </is>
      </c>
    </row>
    <row r="111">
      <c r="A111" t="inlineStr">
        <is>
          <t>半导体</t>
        </is>
      </c>
      <c r="B111" t="inlineStr">
        <is>
          <t>洁净室与厂务工程</t>
        </is>
      </c>
      <c r="C111" t="inlineStr">
        <is>
          <t>核心</t>
        </is>
      </c>
      <c r="D111" t="inlineStr">
        <is>
          <t>601133</t>
        </is>
      </c>
      <c r="E111" t="inlineStr">
        <is>
          <t>柏诚股份</t>
        </is>
      </c>
    </row>
    <row r="112">
      <c r="A112" t="inlineStr">
        <is>
          <t>半导体</t>
        </is>
      </c>
      <c r="B112" t="inlineStr">
        <is>
          <t>半导体设备-测试机与分选机</t>
        </is>
      </c>
      <c r="C112" t="inlineStr">
        <is>
          <t>核心</t>
        </is>
      </c>
      <c r="D112" t="inlineStr">
        <is>
          <t>603061</t>
        </is>
      </c>
      <c r="E112" t="inlineStr">
        <is>
          <t>金海通</t>
        </is>
      </c>
    </row>
    <row r="113">
      <c r="A113" t="inlineStr">
        <is>
          <t>半导体</t>
        </is>
      </c>
      <c r="B113" t="inlineStr">
        <is>
          <t>芯片设计-射频与通信芯片</t>
        </is>
      </c>
      <c r="C113" t="inlineStr">
        <is>
          <t>核心</t>
        </is>
      </c>
      <c r="D113" t="inlineStr">
        <is>
          <t>603068</t>
        </is>
      </c>
      <c r="E113" t="inlineStr">
        <is>
          <t>博通集成</t>
        </is>
      </c>
    </row>
    <row r="114">
      <c r="A114" t="inlineStr">
        <is>
          <t>半导体</t>
        </is>
      </c>
      <c r="B114" t="inlineStr">
        <is>
          <t>半导体材料-电子特气与湿化学品</t>
        </is>
      </c>
      <c r="C114" t="inlineStr">
        <is>
          <t>核心</t>
        </is>
      </c>
      <c r="D114" t="inlineStr">
        <is>
          <t>603078</t>
        </is>
      </c>
      <c r="E114" t="inlineStr">
        <is>
          <t>江化微</t>
        </is>
      </c>
    </row>
    <row r="115">
      <c r="A115" t="inlineStr">
        <is>
          <t>半导体</t>
        </is>
      </c>
      <c r="B115" t="inlineStr">
        <is>
          <t>半导体材料-光刻胶与配套试剂</t>
        </is>
      </c>
      <c r="C115" t="inlineStr">
        <is>
          <t>核心</t>
        </is>
      </c>
      <c r="D115" t="inlineStr">
        <is>
          <t>603078</t>
        </is>
      </c>
      <c r="E115" t="inlineStr">
        <is>
          <t>江化微</t>
        </is>
      </c>
    </row>
    <row r="116">
      <c r="A116" t="inlineStr">
        <is>
          <t>半导体</t>
        </is>
      </c>
      <c r="B116" t="inlineStr">
        <is>
          <t>洁净室与厂务工程</t>
        </is>
      </c>
      <c r="C116" t="inlineStr">
        <is>
          <t>核心</t>
        </is>
      </c>
      <c r="D116" t="inlineStr">
        <is>
          <t>603163</t>
        </is>
      </c>
      <c r="E116" t="inlineStr">
        <is>
          <t>圣晖集成</t>
        </is>
      </c>
    </row>
    <row r="117">
      <c r="A117" t="inlineStr">
        <is>
          <t>半导体</t>
        </is>
      </c>
      <c r="B117" t="inlineStr">
        <is>
          <t>半导体材料-其他关键材料</t>
        </is>
      </c>
      <c r="C117" t="inlineStr">
        <is>
          <t>相关</t>
        </is>
      </c>
      <c r="D117" t="inlineStr">
        <is>
          <t>603260</t>
        </is>
      </c>
      <c r="E117" t="inlineStr">
        <is>
          <t>合盛硅业</t>
        </is>
      </c>
    </row>
    <row r="118">
      <c r="A118" t="inlineStr">
        <is>
          <t>半导体</t>
        </is>
      </c>
      <c r="B118" t="inlineStr">
        <is>
          <t>半导体设备-量测与检测</t>
        </is>
      </c>
      <c r="C118" t="inlineStr">
        <is>
          <t>相关</t>
        </is>
      </c>
      <c r="D118" t="inlineStr">
        <is>
          <t>603283</t>
        </is>
      </c>
      <c r="E118" t="inlineStr">
        <is>
          <t>赛腾股份</t>
        </is>
      </c>
    </row>
    <row r="119">
      <c r="A119" t="inlineStr">
        <is>
          <t>半导体</t>
        </is>
      </c>
      <c r="B119" t="inlineStr">
        <is>
          <t>芯片设计-功率半导体</t>
        </is>
      </c>
      <c r="C119" t="inlineStr">
        <is>
          <t>核心</t>
        </is>
      </c>
      <c r="D119" t="inlineStr">
        <is>
          <t>603290</t>
        </is>
      </c>
      <c r="E119" t="inlineStr">
        <is>
          <t>斯达半导</t>
        </is>
      </c>
    </row>
    <row r="120">
      <c r="A120" t="inlineStr">
        <is>
          <t>半导体</t>
        </is>
      </c>
      <c r="B120" t="inlineStr">
        <is>
          <t>半导体设备-洁净与厂务设备</t>
        </is>
      </c>
      <c r="C120" t="inlineStr">
        <is>
          <t>核心</t>
        </is>
      </c>
      <c r="D120" t="inlineStr">
        <is>
          <t>603324</t>
        </is>
      </c>
      <c r="E120" t="inlineStr">
        <is>
          <t>盛剑科技</t>
        </is>
      </c>
    </row>
    <row r="121">
      <c r="A121" t="inlineStr">
        <is>
          <t>半导体</t>
        </is>
      </c>
      <c r="B121" t="inlineStr">
        <is>
          <t>半导体设备-洁净与厂务设备</t>
        </is>
      </c>
      <c r="C121" t="inlineStr">
        <is>
          <t>相关</t>
        </is>
      </c>
      <c r="D121" t="inlineStr">
        <is>
          <t>603601</t>
        </is>
      </c>
      <c r="E121" t="inlineStr">
        <is>
          <t>再升科技</t>
        </is>
      </c>
    </row>
    <row r="122">
      <c r="A122" t="inlineStr">
        <is>
          <t>半导体</t>
        </is>
      </c>
      <c r="B122" t="inlineStr">
        <is>
          <t>半导体材料-光刻胶与配套试剂</t>
        </is>
      </c>
      <c r="C122" t="inlineStr">
        <is>
          <t>相关</t>
        </is>
      </c>
      <c r="D122" t="inlineStr">
        <is>
          <t>603650</t>
        </is>
      </c>
      <c r="E122" t="inlineStr">
        <is>
          <t>彤程新材</t>
        </is>
      </c>
    </row>
    <row r="123">
      <c r="A123" t="inlineStr">
        <is>
          <t>半导体</t>
        </is>
      </c>
      <c r="B123" t="inlineStr">
        <is>
          <t>半导体材料-CMP材料</t>
        </is>
      </c>
      <c r="C123" t="inlineStr">
        <is>
          <t>相关</t>
        </is>
      </c>
      <c r="D123" t="inlineStr">
        <is>
          <t>603650</t>
        </is>
      </c>
      <c r="E123" t="inlineStr">
        <is>
          <t>彤程新材</t>
        </is>
      </c>
    </row>
    <row r="124">
      <c r="A124" t="inlineStr">
        <is>
          <t>半导体</t>
        </is>
      </c>
      <c r="B124" t="inlineStr">
        <is>
          <t>半导体设备-清洗</t>
        </is>
      </c>
      <c r="C124" t="inlineStr">
        <is>
          <t>核心</t>
        </is>
      </c>
      <c r="D124" t="inlineStr">
        <is>
          <t>603690</t>
        </is>
      </c>
      <c r="E124" t="inlineStr">
        <is>
          <t>至纯科技</t>
        </is>
      </c>
    </row>
    <row r="125">
      <c r="A125" t="inlineStr">
        <is>
          <t>半导体</t>
        </is>
      </c>
      <c r="B125" t="inlineStr">
        <is>
          <t>半导体设备-洁净与厂务设备</t>
        </is>
      </c>
      <c r="C125" t="inlineStr">
        <is>
          <t>核心</t>
        </is>
      </c>
      <c r="D125" t="inlineStr">
        <is>
          <t>603690</t>
        </is>
      </c>
      <c r="E125" t="inlineStr">
        <is>
          <t>至纯科技</t>
        </is>
      </c>
    </row>
    <row r="126">
      <c r="A126" t="inlineStr">
        <is>
          <t>半导体</t>
        </is>
      </c>
      <c r="B126" t="inlineStr">
        <is>
          <t>芯片设计-SoC与端侧AI</t>
        </is>
      </c>
      <c r="C126" t="inlineStr">
        <is>
          <t>核心</t>
        </is>
      </c>
      <c r="D126" t="inlineStr">
        <is>
          <t>603893</t>
        </is>
      </c>
      <c r="E126" t="inlineStr">
        <is>
          <t>瑞芯微</t>
        </is>
      </c>
    </row>
    <row r="127">
      <c r="A127" t="inlineStr">
        <is>
          <t>半导体</t>
        </is>
      </c>
      <c r="B127" t="inlineStr">
        <is>
          <t>洁净室与厂务工程</t>
        </is>
      </c>
      <c r="C127" t="inlineStr">
        <is>
          <t>核心</t>
        </is>
      </c>
      <c r="D127" t="inlineStr">
        <is>
          <t>603929</t>
        </is>
      </c>
      <c r="E127" t="inlineStr">
        <is>
          <t>亚翔集成</t>
        </is>
      </c>
    </row>
    <row r="128">
      <c r="A128" t="inlineStr">
        <is>
          <t>半导体</t>
        </is>
      </c>
      <c r="B128" t="inlineStr">
        <is>
          <t>半导体材料-电子特气与湿化学品</t>
        </is>
      </c>
      <c r="C128" t="inlineStr">
        <is>
          <t>相关</t>
        </is>
      </c>
      <c r="D128" t="inlineStr">
        <is>
          <t>603931</t>
        </is>
      </c>
      <c r="E128" t="inlineStr">
        <is>
          <t>格林达</t>
        </is>
      </c>
    </row>
    <row r="129">
      <c r="A129" t="inlineStr">
        <is>
          <t>半导体</t>
        </is>
      </c>
      <c r="B129" t="inlineStr">
        <is>
          <t>半导体材料-光刻胶与配套试剂</t>
        </is>
      </c>
      <c r="C129" t="inlineStr">
        <is>
          <t>相关</t>
        </is>
      </c>
      <c r="D129" t="inlineStr">
        <is>
          <t>603931</t>
        </is>
      </c>
      <c r="E129" t="inlineStr">
        <is>
          <t>格林达</t>
        </is>
      </c>
    </row>
    <row r="130">
      <c r="A130" t="inlineStr">
        <is>
          <t>半导体</t>
        </is>
      </c>
      <c r="B130" t="inlineStr">
        <is>
          <t>半导体材料-电子特气与湿化学品</t>
        </is>
      </c>
      <c r="C130" t="inlineStr">
        <is>
          <t>相关</t>
        </is>
      </c>
      <c r="D130" t="inlineStr">
        <is>
          <t>603938</t>
        </is>
      </c>
      <c r="E130" t="inlineStr">
        <is>
          <t>三孚股份</t>
        </is>
      </c>
    </row>
    <row r="131">
      <c r="A131" t="inlineStr">
        <is>
          <t>半导体</t>
        </is>
      </c>
      <c r="B131" t="inlineStr">
        <is>
          <t>芯片设计-存储芯片</t>
        </is>
      </c>
      <c r="C131" t="inlineStr">
        <is>
          <t>核心</t>
        </is>
      </c>
      <c r="D131" t="inlineStr">
        <is>
          <t>603986</t>
        </is>
      </c>
      <c r="E131" t="inlineStr">
        <is>
          <t>兆易创新</t>
        </is>
      </c>
    </row>
    <row r="132">
      <c r="A132" t="inlineStr">
        <is>
          <t>半导体</t>
        </is>
      </c>
      <c r="B132" t="inlineStr">
        <is>
          <t>芯片设计-MCU与嵌入式</t>
        </is>
      </c>
      <c r="C132" t="inlineStr">
        <is>
          <t>核心</t>
        </is>
      </c>
      <c r="D132" t="inlineStr">
        <is>
          <t>603986</t>
        </is>
      </c>
      <c r="E132" t="inlineStr">
        <is>
          <t>兆易创新</t>
        </is>
      </c>
    </row>
    <row r="133">
      <c r="A133" t="inlineStr">
        <is>
          <t>半导体</t>
        </is>
      </c>
      <c r="B133" t="inlineStr">
        <is>
          <t>芯片设计-模拟与电源管理</t>
        </is>
      </c>
      <c r="C133" t="inlineStr">
        <is>
          <t>核心</t>
        </is>
      </c>
      <c r="D133" t="inlineStr">
        <is>
          <t>603986</t>
        </is>
      </c>
      <c r="E133" t="inlineStr">
        <is>
          <t>兆易创新</t>
        </is>
      </c>
    </row>
    <row r="134">
      <c r="A134" t="inlineStr">
        <is>
          <t>半导体</t>
        </is>
      </c>
      <c r="B134" t="inlineStr">
        <is>
          <t>芯片设计-功率半导体</t>
        </is>
      </c>
      <c r="C134" t="inlineStr">
        <is>
          <t>核心</t>
        </is>
      </c>
      <c r="D134" t="inlineStr">
        <is>
          <t>605111</t>
        </is>
      </c>
      <c r="E134" t="inlineStr">
        <is>
          <t>新洁能</t>
        </is>
      </c>
    </row>
    <row r="135">
      <c r="A135" t="inlineStr">
        <is>
          <t>半导体</t>
        </is>
      </c>
      <c r="B135" t="inlineStr">
        <is>
          <t>半导体材料-硅片与硅部件</t>
        </is>
      </c>
      <c r="C135" t="inlineStr">
        <is>
          <t>核心</t>
        </is>
      </c>
      <c r="D135" t="inlineStr">
        <is>
          <t>605358</t>
        </is>
      </c>
      <c r="E135" t="inlineStr">
        <is>
          <t>立昂微</t>
        </is>
      </c>
    </row>
    <row r="136">
      <c r="A136" t="inlineStr">
        <is>
          <t>半导体</t>
        </is>
      </c>
      <c r="B136" t="inlineStr">
        <is>
          <t>芯片设计-功率半导体</t>
        </is>
      </c>
      <c r="C136" t="inlineStr">
        <is>
          <t>核心</t>
        </is>
      </c>
      <c r="D136" t="inlineStr">
        <is>
          <t>605358</t>
        </is>
      </c>
      <c r="E136" t="inlineStr">
        <is>
          <t>立昂微</t>
        </is>
      </c>
    </row>
    <row r="137">
      <c r="A137" t="inlineStr">
        <is>
          <t>半导体</t>
        </is>
      </c>
      <c r="B137" t="inlineStr">
        <is>
          <t>芯片设计-射频与通信芯片</t>
        </is>
      </c>
      <c r="C137" t="inlineStr">
        <is>
          <t>核心</t>
        </is>
      </c>
      <c r="D137" t="inlineStr">
        <is>
          <t>605358</t>
        </is>
      </c>
      <c r="E137" t="inlineStr">
        <is>
          <t>立昂微</t>
        </is>
      </c>
    </row>
    <row r="138">
      <c r="A138" t="inlineStr">
        <is>
          <t>半导体</t>
        </is>
      </c>
      <c r="B138" t="inlineStr">
        <is>
          <t>芯片设计-存储主控与接口</t>
        </is>
      </c>
      <c r="C138" t="inlineStr">
        <is>
          <t>核心</t>
        </is>
      </c>
      <c r="D138" t="inlineStr">
        <is>
          <t>688008</t>
        </is>
      </c>
      <c r="E138" t="inlineStr">
        <is>
          <t>澜起科技</t>
        </is>
      </c>
    </row>
    <row r="139">
      <c r="A139" t="inlineStr">
        <is>
          <t>半导体</t>
        </is>
      </c>
      <c r="B139" t="inlineStr">
        <is>
          <t>半导体设备-刻蚀</t>
        </is>
      </c>
      <c r="C139" t="inlineStr">
        <is>
          <t>核心</t>
        </is>
      </c>
      <c r="D139" t="inlineStr">
        <is>
          <t>688012</t>
        </is>
      </c>
      <c r="E139" t="inlineStr">
        <is>
          <t>中微公司</t>
        </is>
      </c>
    </row>
    <row r="140">
      <c r="A140" t="inlineStr">
        <is>
          <t>半导体</t>
        </is>
      </c>
      <c r="B140" t="inlineStr">
        <is>
          <t>半导体设备-薄膜沉积</t>
        </is>
      </c>
      <c r="C140" t="inlineStr">
        <is>
          <t>核心</t>
        </is>
      </c>
      <c r="D140" t="inlineStr">
        <is>
          <t>688012</t>
        </is>
      </c>
      <c r="E140" t="inlineStr">
        <is>
          <t>中微公司</t>
        </is>
      </c>
    </row>
    <row r="141">
      <c r="A141" t="inlineStr">
        <is>
          <t>半导体</t>
        </is>
      </c>
      <c r="B141" t="inlineStr">
        <is>
          <t>芯片设计-SoC与端侧AI</t>
        </is>
      </c>
      <c r="C141" t="inlineStr">
        <is>
          <t>核心</t>
        </is>
      </c>
      <c r="D141" t="inlineStr">
        <is>
          <t>688018</t>
        </is>
      </c>
      <c r="E141" t="inlineStr">
        <is>
          <t>乐鑫科技</t>
        </is>
      </c>
    </row>
    <row r="142">
      <c r="A142" t="inlineStr">
        <is>
          <t>半导体</t>
        </is>
      </c>
      <c r="B142" t="inlineStr">
        <is>
          <t>半导体材料-CMP材料</t>
        </is>
      </c>
      <c r="C142" t="inlineStr">
        <is>
          <t>核心</t>
        </is>
      </c>
      <c r="D142" t="inlineStr">
        <is>
          <t>688019</t>
        </is>
      </c>
      <c r="E142" t="inlineStr">
        <is>
          <t>安集科技</t>
        </is>
      </c>
    </row>
    <row r="143">
      <c r="A143" t="inlineStr">
        <is>
          <t>半导体</t>
        </is>
      </c>
      <c r="B143" t="inlineStr">
        <is>
          <t>半导体材料-电子特气与湿化学品</t>
        </is>
      </c>
      <c r="C143" t="inlineStr">
        <is>
          <t>核心</t>
        </is>
      </c>
      <c r="D143" t="inlineStr">
        <is>
          <t>688019</t>
        </is>
      </c>
      <c r="E143" t="inlineStr">
        <is>
          <t>安集科技</t>
        </is>
      </c>
    </row>
    <row r="144">
      <c r="A144" t="inlineStr">
        <is>
          <t>半导体</t>
        </is>
      </c>
      <c r="B144" t="inlineStr">
        <is>
          <t>半导体设备-涂胶显影</t>
        </is>
      </c>
      <c r="C144" t="inlineStr">
        <is>
          <t>核心</t>
        </is>
      </c>
      <c r="D144" t="inlineStr">
        <is>
          <t>688037</t>
        </is>
      </c>
      <c r="E144" t="inlineStr">
        <is>
          <t>芯源微</t>
        </is>
      </c>
    </row>
    <row r="145">
      <c r="A145" t="inlineStr">
        <is>
          <t>半导体</t>
        </is>
      </c>
      <c r="B145" t="inlineStr">
        <is>
          <t>半导体设备-清洗</t>
        </is>
      </c>
      <c r="C145" t="inlineStr">
        <is>
          <t>核心</t>
        </is>
      </c>
      <c r="D145" t="inlineStr">
        <is>
          <t>688037</t>
        </is>
      </c>
      <c r="E145" t="inlineStr">
        <is>
          <t>芯源微</t>
        </is>
      </c>
    </row>
    <row r="146">
      <c r="A146" t="inlineStr">
        <is>
          <t>半导体</t>
        </is>
      </c>
      <c r="B146" t="inlineStr">
        <is>
          <t>芯片设计-CPU/GPU/AI计算</t>
        </is>
      </c>
      <c r="C146" t="inlineStr">
        <is>
          <t>核心</t>
        </is>
      </c>
      <c r="D146" t="inlineStr">
        <is>
          <t>688041</t>
        </is>
      </c>
      <c r="E146" t="inlineStr">
        <is>
          <t>海光信息</t>
        </is>
      </c>
    </row>
    <row r="147">
      <c r="A147" t="inlineStr">
        <is>
          <t>半导体</t>
        </is>
      </c>
      <c r="B147" t="inlineStr">
        <is>
          <t>芯片设计-CPU/GPU/AI计算</t>
        </is>
      </c>
      <c r="C147" t="inlineStr">
        <is>
          <t>核心</t>
        </is>
      </c>
      <c r="D147" t="inlineStr">
        <is>
          <t>688047</t>
        </is>
      </c>
      <c r="E147" t="inlineStr">
        <is>
          <t>龙芯中科</t>
        </is>
      </c>
    </row>
    <row r="148">
      <c r="A148" t="inlineStr">
        <is>
          <t>半导体</t>
        </is>
      </c>
      <c r="B148" t="inlineStr">
        <is>
          <t>芯片设计-SoC与端侧AI</t>
        </is>
      </c>
      <c r="C148" t="inlineStr">
        <is>
          <t>核心</t>
        </is>
      </c>
      <c r="D148" t="inlineStr">
        <is>
          <t>688049</t>
        </is>
      </c>
      <c r="E148" t="inlineStr">
        <is>
          <t>炬芯科技</t>
        </is>
      </c>
    </row>
    <row r="149">
      <c r="A149" t="inlineStr">
        <is>
          <t>半导体</t>
        </is>
      </c>
      <c r="B149" t="inlineStr">
        <is>
          <t>半导体设备-薄膜沉积</t>
        </is>
      </c>
      <c r="C149" t="inlineStr">
        <is>
          <t>核心</t>
        </is>
      </c>
      <c r="D149" t="inlineStr">
        <is>
          <t>688072</t>
        </is>
      </c>
      <c r="E149" t="inlineStr">
        <is>
          <t>拓荆科技</t>
        </is>
      </c>
    </row>
    <row r="150">
      <c r="A150" t="inlineStr">
        <is>
          <t>半导体</t>
        </is>
      </c>
      <c r="B150" t="inlineStr">
        <is>
          <t>半导体设备-键合与焊接</t>
        </is>
      </c>
      <c r="C150" t="inlineStr">
        <is>
          <t>核心</t>
        </is>
      </c>
      <c r="D150" t="inlineStr">
        <is>
          <t>688072</t>
        </is>
      </c>
      <c r="E150" t="inlineStr">
        <is>
          <t>拓荆科技</t>
        </is>
      </c>
    </row>
    <row r="151">
      <c r="A151" t="inlineStr">
        <is>
          <t>半导体</t>
        </is>
      </c>
      <c r="B151" t="inlineStr">
        <is>
          <t>半导体设备-清洗</t>
        </is>
      </c>
      <c r="C151" t="inlineStr">
        <is>
          <t>核心</t>
        </is>
      </c>
      <c r="D151" t="inlineStr">
        <is>
          <t>688082</t>
        </is>
      </c>
      <c r="E151" t="inlineStr">
        <is>
          <t>盛美上海</t>
        </is>
      </c>
    </row>
    <row r="152">
      <c r="A152" t="inlineStr">
        <is>
          <t>半导体</t>
        </is>
      </c>
      <c r="B152" t="inlineStr">
        <is>
          <t>半导体设备-其他专用设备</t>
        </is>
      </c>
      <c r="C152" t="inlineStr">
        <is>
          <t>核心</t>
        </is>
      </c>
      <c r="D152" t="inlineStr">
        <is>
          <t>688082</t>
        </is>
      </c>
      <c r="E152" t="inlineStr">
        <is>
          <t>盛美上海</t>
        </is>
      </c>
    </row>
    <row r="153">
      <c r="A153" t="inlineStr">
        <is>
          <t>半导体</t>
        </is>
      </c>
      <c r="B153" t="inlineStr">
        <is>
          <t>芯片设计-SoC与端侧AI</t>
        </is>
      </c>
      <c r="C153" t="inlineStr">
        <is>
          <t>核心</t>
        </is>
      </c>
      <c r="D153" t="inlineStr">
        <is>
          <t>688099</t>
        </is>
      </c>
      <c r="E153" t="inlineStr">
        <is>
          <t>晶晨股份</t>
        </is>
      </c>
    </row>
    <row r="154">
      <c r="A154" t="inlineStr">
        <is>
          <t>半导体</t>
        </is>
      </c>
      <c r="B154" t="inlineStr">
        <is>
          <t>半导体材料-电子特气与湿化学品</t>
        </is>
      </c>
      <c r="C154" t="inlineStr">
        <is>
          <t>相关</t>
        </is>
      </c>
      <c r="D154" t="inlineStr">
        <is>
          <t>688106</t>
        </is>
      </c>
      <c r="E154" t="inlineStr">
        <is>
          <t>金宏气体</t>
        </is>
      </c>
    </row>
    <row r="155">
      <c r="A155" t="inlineStr">
        <is>
          <t>半导体</t>
        </is>
      </c>
      <c r="B155" t="inlineStr">
        <is>
          <t>芯片设计-存储芯片</t>
        </is>
      </c>
      <c r="C155" t="inlineStr">
        <is>
          <t>核心</t>
        </is>
      </c>
      <c r="D155" t="inlineStr">
        <is>
          <t>688110</t>
        </is>
      </c>
      <c r="E155" t="inlineStr">
        <is>
          <t>东芯股份</t>
        </is>
      </c>
    </row>
    <row r="156">
      <c r="A156" t="inlineStr">
        <is>
          <t>半导体</t>
        </is>
      </c>
      <c r="B156" t="inlineStr">
        <is>
          <t>半导体设备-CMP</t>
        </is>
      </c>
      <c r="C156" t="inlineStr">
        <is>
          <t>核心</t>
        </is>
      </c>
      <c r="D156" t="inlineStr">
        <is>
          <t>688120</t>
        </is>
      </c>
      <c r="E156" t="inlineStr">
        <is>
          <t>华海清科</t>
        </is>
      </c>
    </row>
    <row r="157">
      <c r="A157" t="inlineStr">
        <is>
          <t>半导体</t>
        </is>
      </c>
      <c r="B157" t="inlineStr">
        <is>
          <t>芯片设计-存储芯片</t>
        </is>
      </c>
      <c r="C157" t="inlineStr">
        <is>
          <t>核心</t>
        </is>
      </c>
      <c r="D157" t="inlineStr">
        <is>
          <t>688123</t>
        </is>
      </c>
      <c r="E157" t="inlineStr">
        <is>
          <t>聚辰股份</t>
        </is>
      </c>
    </row>
    <row r="158">
      <c r="A158" t="inlineStr">
        <is>
          <t>半导体</t>
        </is>
      </c>
      <c r="B158" t="inlineStr">
        <is>
          <t>半导体材料-硅片与硅部件</t>
        </is>
      </c>
      <c r="C158" t="inlineStr">
        <is>
          <t>核心</t>
        </is>
      </c>
      <c r="D158" t="inlineStr">
        <is>
          <t>688126</t>
        </is>
      </c>
      <c r="E158" t="inlineStr">
        <is>
          <t>沪硅产业</t>
        </is>
      </c>
    </row>
    <row r="159">
      <c r="A159" t="inlineStr">
        <is>
          <t>半导体</t>
        </is>
      </c>
      <c r="B159" t="inlineStr">
        <is>
          <t>半导体材料-掩膜版</t>
        </is>
      </c>
      <c r="C159" t="inlineStr">
        <is>
          <t>相关</t>
        </is>
      </c>
      <c r="D159" t="inlineStr">
        <is>
          <t>688138</t>
        </is>
      </c>
      <c r="E159" t="inlineStr">
        <is>
          <t>清溢光电</t>
        </is>
      </c>
    </row>
    <row r="160">
      <c r="A160" t="inlineStr">
        <is>
          <t>半导体</t>
        </is>
      </c>
      <c r="B160" t="inlineStr">
        <is>
          <t>半导体设备-薄膜沉积</t>
        </is>
      </c>
      <c r="C160" t="inlineStr">
        <is>
          <t>相关</t>
        </is>
      </c>
      <c r="D160" t="inlineStr">
        <is>
          <t>688147</t>
        </is>
      </c>
      <c r="E160" t="inlineStr">
        <is>
          <t>微导纳米</t>
        </is>
      </c>
    </row>
    <row r="161">
      <c r="A161" t="inlineStr">
        <is>
          <t>半导体</t>
        </is>
      </c>
      <c r="B161" t="inlineStr">
        <is>
          <t>芯片设计-功率半导体</t>
        </is>
      </c>
      <c r="C161" t="inlineStr">
        <is>
          <t>相关</t>
        </is>
      </c>
      <c r="D161" t="inlineStr">
        <is>
          <t>688187</t>
        </is>
      </c>
      <c r="E161" t="inlineStr">
        <is>
          <t>时代电气</t>
        </is>
      </c>
    </row>
    <row r="162">
      <c r="A162" t="inlineStr">
        <is>
          <t>半导体</t>
        </is>
      </c>
      <c r="B162" t="inlineStr">
        <is>
          <t>晶圆制造与IDM</t>
        </is>
      </c>
      <c r="C162" t="inlineStr">
        <is>
          <t>相关</t>
        </is>
      </c>
      <c r="D162" t="inlineStr">
        <is>
          <t>688187</t>
        </is>
      </c>
      <c r="E162" t="inlineStr">
        <is>
          <t>时代电气</t>
        </is>
      </c>
    </row>
    <row r="163">
      <c r="A163" t="inlineStr">
        <is>
          <t>半导体</t>
        </is>
      </c>
      <c r="B163" t="inlineStr">
        <is>
          <t>半导体设备-测试机与分选机</t>
        </is>
      </c>
      <c r="C163" t="inlineStr">
        <is>
          <t>核心</t>
        </is>
      </c>
      <c r="D163" t="inlineStr">
        <is>
          <t>688200</t>
        </is>
      </c>
      <c r="E163" t="inlineStr">
        <is>
          <t>华峰测控</t>
        </is>
      </c>
    </row>
    <row r="164">
      <c r="A164" t="inlineStr">
        <is>
          <t>半导体</t>
        </is>
      </c>
      <c r="B164" t="inlineStr">
        <is>
          <t>芯片设计-射频与通信芯片</t>
        </is>
      </c>
      <c r="C164" t="inlineStr">
        <is>
          <t>核心</t>
        </is>
      </c>
      <c r="D164" t="inlineStr">
        <is>
          <t>688220</t>
        </is>
      </c>
      <c r="E164" t="inlineStr">
        <is>
          <t>翱捷科技-U</t>
        </is>
      </c>
    </row>
    <row r="165">
      <c r="A165" t="inlineStr">
        <is>
          <t>半导体</t>
        </is>
      </c>
      <c r="B165" t="inlineStr">
        <is>
          <t>半导体材料-硅片与硅部件</t>
        </is>
      </c>
      <c r="C165" t="inlineStr">
        <is>
          <t>核心</t>
        </is>
      </c>
      <c r="D165" t="inlineStr">
        <is>
          <t>688233</t>
        </is>
      </c>
      <c r="E165" t="inlineStr">
        <is>
          <t>神工股份</t>
        </is>
      </c>
    </row>
    <row r="166">
      <c r="A166" t="inlineStr">
        <is>
          <t>半导体</t>
        </is>
      </c>
      <c r="B166" t="inlineStr">
        <is>
          <t>芯片设计-CPU/GPU/AI计算</t>
        </is>
      </c>
      <c r="C166" t="inlineStr">
        <is>
          <t>核心</t>
        </is>
      </c>
      <c r="D166" t="inlineStr">
        <is>
          <t>688256</t>
        </is>
      </c>
      <c r="E166" t="inlineStr">
        <is>
          <t>寒武纪</t>
        </is>
      </c>
    </row>
    <row r="167">
      <c r="A167" t="inlineStr">
        <is>
          <t>半导体</t>
        </is>
      </c>
      <c r="B167" t="inlineStr">
        <is>
          <t>芯片设计-功率半导体</t>
        </is>
      </c>
      <c r="C167" t="inlineStr">
        <is>
          <t>核心</t>
        </is>
      </c>
      <c r="D167" t="inlineStr">
        <is>
          <t>688261</t>
        </is>
      </c>
      <c r="E167" t="inlineStr">
        <is>
          <t>东微半导</t>
        </is>
      </c>
    </row>
    <row r="168">
      <c r="A168" t="inlineStr">
        <is>
          <t>半导体</t>
        </is>
      </c>
      <c r="B168" t="inlineStr">
        <is>
          <t>芯片设计-MCU与嵌入式</t>
        </is>
      </c>
      <c r="C168" t="inlineStr">
        <is>
          <t>核心</t>
        </is>
      </c>
      <c r="D168" t="inlineStr">
        <is>
          <t>688262</t>
        </is>
      </c>
      <c r="E168" t="inlineStr">
        <is>
          <t>国芯科技</t>
        </is>
      </c>
    </row>
    <row r="169">
      <c r="A169" t="inlineStr">
        <is>
          <t>半导体</t>
        </is>
      </c>
      <c r="B169" t="inlineStr">
        <is>
          <t>EDA/IP与设计服务</t>
        </is>
      </c>
      <c r="C169" t="inlineStr">
        <is>
          <t>核心</t>
        </is>
      </c>
      <c r="D169" t="inlineStr">
        <is>
          <t>688262</t>
        </is>
      </c>
      <c r="E169" t="inlineStr">
        <is>
          <t>国芯科技</t>
        </is>
      </c>
    </row>
    <row r="170">
      <c r="A170" t="inlineStr">
        <is>
          <t>半导体</t>
        </is>
      </c>
      <c r="B170" t="inlineStr">
        <is>
          <t>半导体材料-电子特气与湿化学品</t>
        </is>
      </c>
      <c r="C170" t="inlineStr">
        <is>
          <t>相关</t>
        </is>
      </c>
      <c r="D170" t="inlineStr">
        <is>
          <t>688268</t>
        </is>
      </c>
      <c r="E170" t="inlineStr">
        <is>
          <t>华特气体</t>
        </is>
      </c>
    </row>
    <row r="171">
      <c r="A171" t="inlineStr">
        <is>
          <t>半导体</t>
        </is>
      </c>
      <c r="B171" t="inlineStr">
        <is>
          <t>半导体材料-封装材料</t>
        </is>
      </c>
      <c r="C171" t="inlineStr">
        <is>
          <t>相关</t>
        </is>
      </c>
      <c r="D171" t="inlineStr">
        <is>
          <t>688300</t>
        </is>
      </c>
      <c r="E171" t="inlineStr">
        <is>
          <t>联瑞新材</t>
        </is>
      </c>
    </row>
    <row r="172">
      <c r="A172" t="inlineStr">
        <is>
          <t>半导体</t>
        </is>
      </c>
      <c r="B172" t="inlineStr">
        <is>
          <t>芯片设计-SoC与端侧AI</t>
        </is>
      </c>
      <c r="C172" t="inlineStr">
        <is>
          <t>核心</t>
        </is>
      </c>
      <c r="D172" t="inlineStr">
        <is>
          <t>688332</t>
        </is>
      </c>
      <c r="E172" t="inlineStr">
        <is>
          <t>中科蓝讯</t>
        </is>
      </c>
    </row>
    <row r="173">
      <c r="A173" t="inlineStr">
        <is>
          <t>半导体</t>
        </is>
      </c>
      <c r="B173" t="inlineStr">
        <is>
          <t>芯片设计-射频与通信芯片</t>
        </is>
      </c>
      <c r="C173" t="inlineStr">
        <is>
          <t>核心</t>
        </is>
      </c>
      <c r="D173" t="inlineStr">
        <is>
          <t>688332</t>
        </is>
      </c>
      <c r="E173" t="inlineStr">
        <is>
          <t>中科蓝讯</t>
        </is>
      </c>
    </row>
    <row r="174">
      <c r="A174" t="inlineStr">
        <is>
          <t>半导体</t>
        </is>
      </c>
      <c r="B174" t="inlineStr">
        <is>
          <t>半导体设备-量测与检测</t>
        </is>
      </c>
      <c r="C174" t="inlineStr">
        <is>
          <t>核心</t>
        </is>
      </c>
      <c r="D174" t="inlineStr">
        <is>
          <t>688361</t>
        </is>
      </c>
      <c r="E174" t="inlineStr">
        <is>
          <t>中科飞测</t>
        </is>
      </c>
    </row>
    <row r="175">
      <c r="A175" t="inlineStr">
        <is>
          <t>半导体</t>
        </is>
      </c>
      <c r="B175" t="inlineStr">
        <is>
          <t>芯片设计-模拟与电源管理</t>
        </is>
      </c>
      <c r="C175" t="inlineStr">
        <is>
          <t>核心</t>
        </is>
      </c>
      <c r="D175" t="inlineStr">
        <is>
          <t>688368</t>
        </is>
      </c>
      <c r="E175" t="inlineStr">
        <is>
          <t>晶丰明源</t>
        </is>
      </c>
    </row>
    <row r="176">
      <c r="A176" t="inlineStr">
        <is>
          <t>半导体</t>
        </is>
      </c>
      <c r="B176" t="inlineStr">
        <is>
          <t>洁净室与厂务工程</t>
        </is>
      </c>
      <c r="C176" t="inlineStr">
        <is>
          <t>相关</t>
        </is>
      </c>
      <c r="D176" t="inlineStr">
        <is>
          <t>688376</t>
        </is>
      </c>
      <c r="E176" t="inlineStr">
        <is>
          <t>美埃科技</t>
        </is>
      </c>
    </row>
    <row r="177">
      <c r="A177" t="inlineStr">
        <is>
          <t>半导体</t>
        </is>
      </c>
      <c r="B177" t="inlineStr">
        <is>
          <t>半导体设备-封装设备</t>
        </is>
      </c>
      <c r="C177" t="inlineStr">
        <is>
          <t>相关</t>
        </is>
      </c>
      <c r="D177" t="inlineStr">
        <is>
          <t>688383</t>
        </is>
      </c>
      <c r="E177" t="inlineStr">
        <is>
          <t>新益昌</t>
        </is>
      </c>
    </row>
    <row r="178">
      <c r="A178" t="inlineStr">
        <is>
          <t>半导体</t>
        </is>
      </c>
      <c r="B178" t="inlineStr">
        <is>
          <t>芯片设计-存储芯片</t>
        </is>
      </c>
      <c r="C178" t="inlineStr">
        <is>
          <t>核心</t>
        </is>
      </c>
      <c r="D178" t="inlineStr">
        <is>
          <t>688385</t>
        </is>
      </c>
      <c r="E178" t="inlineStr">
        <is>
          <t>复旦微电</t>
        </is>
      </c>
    </row>
    <row r="179">
      <c r="A179" t="inlineStr">
        <is>
          <t>半导体</t>
        </is>
      </c>
      <c r="B179" t="inlineStr">
        <is>
          <t>芯片设计-FPGA与特种集成电路</t>
        </is>
      </c>
      <c r="C179" t="inlineStr">
        <is>
          <t>核心</t>
        </is>
      </c>
      <c r="D179" t="inlineStr">
        <is>
          <t>688385</t>
        </is>
      </c>
      <c r="E179" t="inlineStr">
        <is>
          <t>复旦微电</t>
        </is>
      </c>
    </row>
    <row r="180">
      <c r="A180" t="inlineStr">
        <is>
          <t>半导体</t>
        </is>
      </c>
      <c r="B180" t="inlineStr">
        <is>
          <t>半导体设备-键合与焊接</t>
        </is>
      </c>
      <c r="C180" t="inlineStr">
        <is>
          <t>相关</t>
        </is>
      </c>
      <c r="D180" t="inlineStr">
        <is>
          <t>688392</t>
        </is>
      </c>
      <c r="E180" t="inlineStr">
        <is>
          <t>骄成超声</t>
        </is>
      </c>
    </row>
    <row r="181">
      <c r="A181" t="inlineStr">
        <is>
          <t>半导体</t>
        </is>
      </c>
      <c r="B181" t="inlineStr">
        <is>
          <t>半导体设备-量测与检测</t>
        </is>
      </c>
      <c r="C181" t="inlineStr">
        <is>
          <t>相关</t>
        </is>
      </c>
      <c r="D181" t="inlineStr">
        <is>
          <t>688392</t>
        </is>
      </c>
      <c r="E181" t="inlineStr">
        <is>
          <t>骄成超声</t>
        </is>
      </c>
    </row>
    <row r="182">
      <c r="A182" t="inlineStr">
        <is>
          <t>半导体</t>
        </is>
      </c>
      <c r="B182" t="inlineStr">
        <is>
          <t>芯片设计-功率半导体</t>
        </is>
      </c>
      <c r="C182" t="inlineStr">
        <is>
          <t>核心</t>
        </is>
      </c>
      <c r="D182" t="inlineStr">
        <is>
          <t>688396</t>
        </is>
      </c>
      <c r="E182" t="inlineStr">
        <is>
          <t>华润微</t>
        </is>
      </c>
    </row>
    <row r="183">
      <c r="A183" t="inlineStr">
        <is>
          <t>半导体</t>
        </is>
      </c>
      <c r="B183" t="inlineStr">
        <is>
          <t>晶圆制造与IDM</t>
        </is>
      </c>
      <c r="C183" t="inlineStr">
        <is>
          <t>核心</t>
        </is>
      </c>
      <c r="D183" t="inlineStr">
        <is>
          <t>688396</t>
        </is>
      </c>
      <c r="E183" t="inlineStr">
        <is>
          <t>华润微</t>
        </is>
      </c>
    </row>
    <row r="184">
      <c r="A184" t="inlineStr">
        <is>
          <t>半导体</t>
        </is>
      </c>
      <c r="B184" t="inlineStr">
        <is>
          <t>半导体材料-掩膜版</t>
        </is>
      </c>
      <c r="C184" t="inlineStr">
        <is>
          <t>相关</t>
        </is>
      </c>
      <c r="D184" t="inlineStr">
        <is>
          <t>688401</t>
        </is>
      </c>
      <c r="E184" t="inlineStr">
        <is>
          <t>路维光电</t>
        </is>
      </c>
    </row>
    <row r="185">
      <c r="A185" t="inlineStr">
        <is>
          <t>半导体</t>
        </is>
      </c>
      <c r="B185" t="inlineStr">
        <is>
          <t>芯片设计-存储芯片</t>
        </is>
      </c>
      <c r="C185" t="inlineStr">
        <is>
          <t>核心</t>
        </is>
      </c>
      <c r="D185" t="inlineStr">
        <is>
          <t>688416</t>
        </is>
      </c>
      <c r="E185" t="inlineStr">
        <is>
          <t>恒烁股份</t>
        </is>
      </c>
    </row>
    <row r="186">
      <c r="A186" t="inlineStr">
        <is>
          <t>半导体</t>
        </is>
      </c>
      <c r="B186" t="inlineStr">
        <is>
          <t>芯片设计-MCU与嵌入式</t>
        </is>
      </c>
      <c r="C186" t="inlineStr">
        <is>
          <t>核心</t>
        </is>
      </c>
      <c r="D186" t="inlineStr">
        <is>
          <t>688416</t>
        </is>
      </c>
      <c r="E186" t="inlineStr">
        <is>
          <t>恒烁股份</t>
        </is>
      </c>
    </row>
    <row r="187">
      <c r="A187" t="inlineStr">
        <is>
          <t>半导体</t>
        </is>
      </c>
      <c r="B187" t="inlineStr">
        <is>
          <t>半导体设备-封装设备</t>
        </is>
      </c>
      <c r="C187" t="inlineStr">
        <is>
          <t>相关</t>
        </is>
      </c>
      <c r="D187" t="inlineStr">
        <is>
          <t>688419</t>
        </is>
      </c>
      <c r="E187" t="inlineStr">
        <is>
          <t>耐科装备</t>
        </is>
      </c>
    </row>
    <row r="188">
      <c r="A188" t="inlineStr">
        <is>
          <t>半导体</t>
        </is>
      </c>
      <c r="B188" t="inlineStr">
        <is>
          <t>芯片设计-存储主控与接口</t>
        </is>
      </c>
      <c r="C188" t="inlineStr">
        <is>
          <t>核心</t>
        </is>
      </c>
      <c r="D188" t="inlineStr">
        <is>
          <t>688449</t>
        </is>
      </c>
      <c r="E188" t="inlineStr">
        <is>
          <t>联芸科技</t>
        </is>
      </c>
    </row>
    <row r="189">
      <c r="A189" t="inlineStr">
        <is>
          <t>半导体</t>
        </is>
      </c>
      <c r="B189" t="inlineStr">
        <is>
          <t>晶圆制造与IDM</t>
        </is>
      </c>
      <c r="C189" t="inlineStr">
        <is>
          <t>核心</t>
        </is>
      </c>
      <c r="D189" t="inlineStr">
        <is>
          <t>688469</t>
        </is>
      </c>
      <c r="E189" t="inlineStr">
        <is>
          <t>芯联集成-U</t>
        </is>
      </c>
    </row>
    <row r="190">
      <c r="A190" t="inlineStr">
        <is>
          <t>半导体</t>
        </is>
      </c>
      <c r="B190" t="inlineStr">
        <is>
          <t>芯片设计-功率半导体</t>
        </is>
      </c>
      <c r="C190" t="inlineStr">
        <is>
          <t>核心</t>
        </is>
      </c>
      <c r="D190" t="inlineStr">
        <is>
          <t>688469</t>
        </is>
      </c>
      <c r="E190" t="inlineStr">
        <is>
          <t>芯联集成-U</t>
        </is>
      </c>
    </row>
    <row r="191">
      <c r="A191" t="inlineStr">
        <is>
          <t>半导体</t>
        </is>
      </c>
      <c r="B191" t="inlineStr">
        <is>
          <t>封装测试</t>
        </is>
      </c>
      <c r="C191" t="inlineStr">
        <is>
          <t>核心</t>
        </is>
      </c>
      <c r="D191" t="inlineStr">
        <is>
          <t>688469</t>
        </is>
      </c>
      <c r="E191" t="inlineStr">
        <is>
          <t>芯联集成-U</t>
        </is>
      </c>
    </row>
    <row r="192">
      <c r="A192" t="inlineStr">
        <is>
          <t>半导体</t>
        </is>
      </c>
      <c r="B192" t="inlineStr">
        <is>
          <t>半导体设备-封装设备</t>
        </is>
      </c>
      <c r="C192" t="inlineStr">
        <is>
          <t>相关</t>
        </is>
      </c>
      <c r="D192" t="inlineStr">
        <is>
          <t>688516</t>
        </is>
      </c>
      <c r="E192" t="inlineStr">
        <is>
          <t>奥特维</t>
        </is>
      </c>
    </row>
    <row r="193">
      <c r="A193" t="inlineStr">
        <is>
          <t>半导体</t>
        </is>
      </c>
      <c r="B193" t="inlineStr">
        <is>
          <t>半导体设备-划片与切割</t>
        </is>
      </c>
      <c r="C193" t="inlineStr">
        <is>
          <t>相关</t>
        </is>
      </c>
      <c r="D193" t="inlineStr">
        <is>
          <t>688516</t>
        </is>
      </c>
      <c r="E193" t="inlineStr">
        <is>
          <t>奥特维</t>
        </is>
      </c>
    </row>
    <row r="194">
      <c r="A194" t="inlineStr">
        <is>
          <t>半导体</t>
        </is>
      </c>
      <c r="B194" t="inlineStr">
        <is>
          <t>半导体设备-键合与焊接</t>
        </is>
      </c>
      <c r="C194" t="inlineStr">
        <is>
          <t>相关</t>
        </is>
      </c>
      <c r="D194" t="inlineStr">
        <is>
          <t>688516</t>
        </is>
      </c>
      <c r="E194" t="inlineStr">
        <is>
          <t>奥特维</t>
        </is>
      </c>
    </row>
    <row r="195">
      <c r="A195" t="inlineStr">
        <is>
          <t>半导体</t>
        </is>
      </c>
      <c r="B195" t="inlineStr">
        <is>
          <t>半导体设备-量测与检测</t>
        </is>
      </c>
      <c r="C195" t="inlineStr">
        <is>
          <t>相关</t>
        </is>
      </c>
      <c r="D195" t="inlineStr">
        <is>
          <t>688516</t>
        </is>
      </c>
      <c r="E195" t="inlineStr">
        <is>
          <t>奥特维</t>
        </is>
      </c>
    </row>
    <row r="196">
      <c r="A196" t="inlineStr">
        <is>
          <t>半导体</t>
        </is>
      </c>
      <c r="B196" t="inlineStr">
        <is>
          <t>EDA/IP与设计服务</t>
        </is>
      </c>
      <c r="C196" t="inlineStr">
        <is>
          <t>核心</t>
        </is>
      </c>
      <c r="D196" t="inlineStr">
        <is>
          <t>688521</t>
        </is>
      </c>
      <c r="E196" t="inlineStr">
        <is>
          <t>芯原股份</t>
        </is>
      </c>
    </row>
    <row r="197">
      <c r="A197" t="inlineStr">
        <is>
          <t>半导体</t>
        </is>
      </c>
      <c r="B197" t="inlineStr">
        <is>
          <t>存储模组与系统</t>
        </is>
      </c>
      <c r="C197" t="inlineStr">
        <is>
          <t>核心</t>
        </is>
      </c>
      <c r="D197" t="inlineStr">
        <is>
          <t>688525</t>
        </is>
      </c>
      <c r="E197" t="inlineStr">
        <is>
          <t>佰维存储</t>
        </is>
      </c>
    </row>
    <row r="198">
      <c r="A198" t="inlineStr">
        <is>
          <t>半导体</t>
        </is>
      </c>
      <c r="B198" t="inlineStr">
        <is>
          <t>封装测试</t>
        </is>
      </c>
      <c r="C198" t="inlineStr">
        <is>
          <t>核心</t>
        </is>
      </c>
      <c r="D198" t="inlineStr">
        <is>
          <t>688525</t>
        </is>
      </c>
      <c r="E198" t="inlineStr">
        <is>
          <t>佰维存储</t>
        </is>
      </c>
    </row>
    <row r="199">
      <c r="A199" t="inlineStr">
        <is>
          <t>半导体</t>
        </is>
      </c>
      <c r="B199" t="inlineStr">
        <is>
          <t>半导体材料-封装材料</t>
        </is>
      </c>
      <c r="C199" t="inlineStr">
        <is>
          <t>核心</t>
        </is>
      </c>
      <c r="D199" t="inlineStr">
        <is>
          <t>688535</t>
        </is>
      </c>
      <c r="E199" t="inlineStr">
        <is>
          <t>华海诚科</t>
        </is>
      </c>
    </row>
    <row r="200">
      <c r="A200" t="inlineStr">
        <is>
          <t>半导体</t>
        </is>
      </c>
      <c r="B200" t="inlineStr">
        <is>
          <t>半导体材料-电子特气与湿化学品</t>
        </is>
      </c>
      <c r="C200" t="inlineStr">
        <is>
          <t>核心</t>
        </is>
      </c>
      <c r="D200" t="inlineStr">
        <is>
          <t>688545</t>
        </is>
      </c>
      <c r="E200" t="inlineStr">
        <is>
          <t>兴福电子</t>
        </is>
      </c>
    </row>
    <row r="201">
      <c r="A201" t="inlineStr">
        <is>
          <t>半导体</t>
        </is>
      </c>
      <c r="B201" t="inlineStr">
        <is>
          <t>芯片设计-SoC与端侧AI</t>
        </is>
      </c>
      <c r="C201" t="inlineStr">
        <is>
          <t>核心</t>
        </is>
      </c>
      <c r="D201" t="inlineStr">
        <is>
          <t>688591</t>
        </is>
      </c>
      <c r="E201" t="inlineStr">
        <is>
          <t>泰凌微</t>
        </is>
      </c>
    </row>
    <row r="202">
      <c r="A202" t="inlineStr">
        <is>
          <t>半导体</t>
        </is>
      </c>
      <c r="B202" t="inlineStr">
        <is>
          <t>芯片设计-射频与通信芯片</t>
        </is>
      </c>
      <c r="C202" t="inlineStr">
        <is>
          <t>核心</t>
        </is>
      </c>
      <c r="D202" t="inlineStr">
        <is>
          <t>688591</t>
        </is>
      </c>
      <c r="E202" t="inlineStr">
        <is>
          <t>泰凌微</t>
        </is>
      </c>
    </row>
    <row r="203">
      <c r="A203" t="inlineStr">
        <is>
          <t>半导体</t>
        </is>
      </c>
      <c r="B203" t="inlineStr">
        <is>
          <t>芯片设计-MCU与嵌入式</t>
        </is>
      </c>
      <c r="C203" t="inlineStr">
        <is>
          <t>核心</t>
        </is>
      </c>
      <c r="D203" t="inlineStr">
        <is>
          <t>688595</t>
        </is>
      </c>
      <c r="E203" t="inlineStr">
        <is>
          <t>芯海科技</t>
        </is>
      </c>
    </row>
    <row r="204">
      <c r="A204" t="inlineStr">
        <is>
          <t>半导体</t>
        </is>
      </c>
      <c r="B204" t="inlineStr">
        <is>
          <t>芯片设计-模拟与电源管理</t>
        </is>
      </c>
      <c r="C204" t="inlineStr">
        <is>
          <t>核心</t>
        </is>
      </c>
      <c r="D204" t="inlineStr">
        <is>
          <t>688595</t>
        </is>
      </c>
      <c r="E204" t="inlineStr">
        <is>
          <t>芯海科技</t>
        </is>
      </c>
    </row>
    <row r="205">
      <c r="A205" t="inlineStr">
        <is>
          <t>半导体</t>
        </is>
      </c>
      <c r="B205" t="inlineStr">
        <is>
          <t>芯片设计-SoC与端侧AI</t>
        </is>
      </c>
      <c r="C205" t="inlineStr">
        <is>
          <t>核心</t>
        </is>
      </c>
      <c r="D205" t="inlineStr">
        <is>
          <t>688595</t>
        </is>
      </c>
      <c r="E205" t="inlineStr">
        <is>
          <t>芯海科技</t>
        </is>
      </c>
    </row>
    <row r="206">
      <c r="A206" t="inlineStr">
        <is>
          <t>半导体</t>
        </is>
      </c>
      <c r="B206" t="inlineStr">
        <is>
          <t>设备核心零部件</t>
        </is>
      </c>
      <c r="C206" t="inlineStr">
        <is>
          <t>核心</t>
        </is>
      </c>
      <c r="D206" t="inlineStr">
        <is>
          <t>688605</t>
        </is>
      </c>
      <c r="E206" t="inlineStr">
        <is>
          <t>先锋精科</t>
        </is>
      </c>
    </row>
    <row r="207">
      <c r="A207" t="inlineStr">
        <is>
          <t>半导体</t>
        </is>
      </c>
      <c r="B207" t="inlineStr">
        <is>
          <t>芯片设计-SoC与端侧AI</t>
        </is>
      </c>
      <c r="C207" t="inlineStr">
        <is>
          <t>核心</t>
        </is>
      </c>
      <c r="D207" t="inlineStr">
        <is>
          <t>688608</t>
        </is>
      </c>
      <c r="E207" t="inlineStr">
        <is>
          <t>恒玄科技</t>
        </is>
      </c>
    </row>
    <row r="208">
      <c r="A208" t="inlineStr">
        <is>
          <t>半导体</t>
        </is>
      </c>
      <c r="B208" t="inlineStr">
        <is>
          <t>芯片设计-射频与通信芯片</t>
        </is>
      </c>
      <c r="C208" t="inlineStr">
        <is>
          <t>核心</t>
        </is>
      </c>
      <c r="D208" t="inlineStr">
        <is>
          <t>688608</t>
        </is>
      </c>
      <c r="E208" t="inlineStr">
        <is>
          <t>恒玄科技</t>
        </is>
      </c>
    </row>
    <row r="209">
      <c r="A209" t="inlineStr">
        <is>
          <t>半导体</t>
        </is>
      </c>
      <c r="B209" t="inlineStr">
        <is>
          <t>设备核心零部件</t>
        </is>
      </c>
      <c r="C209" t="inlineStr">
        <is>
          <t>相关</t>
        </is>
      </c>
      <c r="D209" t="inlineStr">
        <is>
          <t>688610</t>
        </is>
      </c>
      <c r="E209" t="inlineStr">
        <is>
          <t>埃科光电</t>
        </is>
      </c>
    </row>
    <row r="210">
      <c r="A210" t="inlineStr">
        <is>
          <t>半导体</t>
        </is>
      </c>
      <c r="B210" t="inlineStr">
        <is>
          <t>半导体设备-量测与检测</t>
        </is>
      </c>
      <c r="C210" t="inlineStr">
        <is>
          <t>相关</t>
        </is>
      </c>
      <c r="D210" t="inlineStr">
        <is>
          <t>688610</t>
        </is>
      </c>
      <c r="E210" t="inlineStr">
        <is>
          <t>埃科光电</t>
        </is>
      </c>
    </row>
    <row r="211">
      <c r="A211" t="inlineStr">
        <is>
          <t>半导体</t>
        </is>
      </c>
      <c r="B211" t="inlineStr">
        <is>
          <t>芯片设计-SoC与端侧AI</t>
        </is>
      </c>
      <c r="C211" t="inlineStr">
        <is>
          <t>核心</t>
        </is>
      </c>
      <c r="D211" t="inlineStr">
        <is>
          <t>688620</t>
        </is>
      </c>
      <c r="E211" t="inlineStr">
        <is>
          <t>安凯微</t>
        </is>
      </c>
    </row>
    <row r="212">
      <c r="A212" t="inlineStr">
        <is>
          <t>半导体</t>
        </is>
      </c>
      <c r="B212" t="inlineStr">
        <is>
          <t>半导体设备-测试机与分选机</t>
        </is>
      </c>
      <c r="C212" t="inlineStr">
        <is>
          <t>核心</t>
        </is>
      </c>
      <c r="D212" t="inlineStr">
        <is>
          <t>688627</t>
        </is>
      </c>
      <c r="E212" t="inlineStr">
        <is>
          <t>精智达</t>
        </is>
      </c>
    </row>
    <row r="213">
      <c r="A213" t="inlineStr">
        <is>
          <t>半导体</t>
        </is>
      </c>
      <c r="B213" t="inlineStr">
        <is>
          <t>半导体设备-其他专用设备</t>
        </is>
      </c>
      <c r="C213" t="inlineStr">
        <is>
          <t>相关</t>
        </is>
      </c>
      <c r="D213" t="inlineStr">
        <is>
          <t>688630</t>
        </is>
      </c>
      <c r="E213" t="inlineStr">
        <is>
          <t>芯碁微装</t>
        </is>
      </c>
    </row>
    <row r="214">
      <c r="A214" t="inlineStr">
        <is>
          <t>半导体</t>
        </is>
      </c>
      <c r="B214" t="inlineStr">
        <is>
          <t>半导体设备-探针台与测试接口</t>
        </is>
      </c>
      <c r="C214" t="inlineStr">
        <is>
          <t>核心</t>
        </is>
      </c>
      <c r="D214" t="inlineStr">
        <is>
          <t>688661</t>
        </is>
      </c>
      <c r="E214" t="inlineStr">
        <is>
          <t>和林微纳</t>
        </is>
      </c>
    </row>
    <row r="215">
      <c r="A215" t="inlineStr">
        <is>
          <t>半导体</t>
        </is>
      </c>
      <c r="B215" t="inlineStr">
        <is>
          <t>设备核心零部件</t>
        </is>
      </c>
      <c r="C215" t="inlineStr">
        <is>
          <t>相关</t>
        </is>
      </c>
      <c r="D215" t="inlineStr">
        <is>
          <t>688665</t>
        </is>
      </c>
      <c r="E215" t="inlineStr">
        <is>
          <t>四方光电</t>
        </is>
      </c>
    </row>
    <row r="216">
      <c r="A216" t="inlineStr">
        <is>
          <t>半导体</t>
        </is>
      </c>
      <c r="B216" t="inlineStr">
        <is>
          <t>EDA/IP与设计服务</t>
        </is>
      </c>
      <c r="C216" t="inlineStr">
        <is>
          <t>核心</t>
        </is>
      </c>
      <c r="D216" t="inlineStr">
        <is>
          <t>688691</t>
        </is>
      </c>
      <c r="E216" t="inlineStr">
        <is>
          <t>灿芯股份</t>
        </is>
      </c>
    </row>
    <row r="217">
      <c r="A217" t="inlineStr">
        <is>
          <t>半导体</t>
        </is>
      </c>
      <c r="B217" t="inlineStr">
        <is>
          <t>芯片设计-功率半导体</t>
        </is>
      </c>
      <c r="C217" t="inlineStr">
        <is>
          <t>核心</t>
        </is>
      </c>
      <c r="D217" t="inlineStr">
        <is>
          <t>688693</t>
        </is>
      </c>
      <c r="E217" t="inlineStr">
        <is>
          <t>锴威特</t>
        </is>
      </c>
    </row>
    <row r="218">
      <c r="A218" t="inlineStr">
        <is>
          <t>半导体</t>
        </is>
      </c>
      <c r="B218" t="inlineStr">
        <is>
          <t>芯片设计-模拟与电源管理</t>
        </is>
      </c>
      <c r="C218" t="inlineStr">
        <is>
          <t>核心</t>
        </is>
      </c>
      <c r="D218" t="inlineStr">
        <is>
          <t>688693</t>
        </is>
      </c>
      <c r="E218" t="inlineStr">
        <is>
          <t>锴威特</t>
        </is>
      </c>
    </row>
    <row r="219">
      <c r="A219" t="inlineStr">
        <is>
          <t>半导体</t>
        </is>
      </c>
      <c r="B219" t="inlineStr">
        <is>
          <t>芯片设计-功率半导体</t>
        </is>
      </c>
      <c r="C219" t="inlineStr">
        <is>
          <t>核心</t>
        </is>
      </c>
      <c r="D219" t="inlineStr">
        <is>
          <t>688711</t>
        </is>
      </c>
      <c r="E219" t="inlineStr">
        <is>
          <t>宏微科技</t>
        </is>
      </c>
    </row>
    <row r="220">
      <c r="A220" t="inlineStr">
        <is>
          <t>半导体</t>
        </is>
      </c>
      <c r="B220" t="inlineStr">
        <is>
          <t>半导体设备-热处理与去胶</t>
        </is>
      </c>
      <c r="C220" t="inlineStr">
        <is>
          <t>核心</t>
        </is>
      </c>
      <c r="D220" t="inlineStr">
        <is>
          <t>688729</t>
        </is>
      </c>
      <c r="E220" t="inlineStr">
        <is>
          <t>屹唐股份</t>
        </is>
      </c>
    </row>
    <row r="221">
      <c r="A221" t="inlineStr">
        <is>
          <t>半导体</t>
        </is>
      </c>
      <c r="B221" t="inlineStr">
        <is>
          <t>半导体设备-刻蚀</t>
        </is>
      </c>
      <c r="C221" t="inlineStr">
        <is>
          <t>核心</t>
        </is>
      </c>
      <c r="D221" t="inlineStr">
        <is>
          <t>688729</t>
        </is>
      </c>
      <c r="E221" t="inlineStr">
        <is>
          <t>屹唐股份</t>
        </is>
      </c>
    </row>
    <row r="222">
      <c r="A222" t="inlineStr">
        <is>
          <t>半导体</t>
        </is>
      </c>
      <c r="B222" t="inlineStr">
        <is>
          <t>芯片设计-存储芯片</t>
        </is>
      </c>
      <c r="C222" t="inlineStr">
        <is>
          <t>核心</t>
        </is>
      </c>
      <c r="D222" t="inlineStr">
        <is>
          <t>688766</t>
        </is>
      </c>
      <c r="E222" t="inlineStr">
        <is>
          <t>普冉股份</t>
        </is>
      </c>
    </row>
    <row r="223">
      <c r="A223" t="inlineStr">
        <is>
          <t>半导体</t>
        </is>
      </c>
      <c r="B223" t="inlineStr">
        <is>
          <t>芯片设计-MCU与嵌入式</t>
        </is>
      </c>
      <c r="C223" t="inlineStr">
        <is>
          <t>核心</t>
        </is>
      </c>
      <c r="D223" t="inlineStr">
        <is>
          <t>688766</t>
        </is>
      </c>
      <c r="E223" t="inlineStr">
        <is>
          <t>普冉股份</t>
        </is>
      </c>
    </row>
    <row r="224">
      <c r="A224" t="inlineStr">
        <is>
          <t>半导体</t>
        </is>
      </c>
      <c r="B224" t="inlineStr">
        <is>
          <t>芯片设计-模拟与电源管理</t>
        </is>
      </c>
      <c r="C224" t="inlineStr">
        <is>
          <t>核心</t>
        </is>
      </c>
      <c r="D224" t="inlineStr">
        <is>
          <t>688766</t>
        </is>
      </c>
      <c r="E224" t="inlineStr">
        <is>
          <t>普冉股份</t>
        </is>
      </c>
    </row>
    <row r="225">
      <c r="A225" t="inlineStr">
        <is>
          <t>半导体</t>
        </is>
      </c>
      <c r="B225" t="inlineStr">
        <is>
          <t>芯片设计-CPU/GPU/AI计算</t>
        </is>
      </c>
      <c r="C225" t="inlineStr">
        <is>
          <t>核心</t>
        </is>
      </c>
      <c r="D225" t="inlineStr">
        <is>
          <t>688795</t>
        </is>
      </c>
      <c r="E225" t="inlineStr">
        <is>
          <t>摩尔线程-U</t>
        </is>
      </c>
    </row>
    <row r="226">
      <c r="A226" t="inlineStr">
        <is>
          <t>半导体</t>
        </is>
      </c>
      <c r="B226" t="inlineStr">
        <is>
          <t>芯片设计-CPU/GPU/AI计算</t>
        </is>
      </c>
      <c r="C226" t="inlineStr">
        <is>
          <t>核心</t>
        </is>
      </c>
      <c r="D226" t="inlineStr">
        <is>
          <t>688802</t>
        </is>
      </c>
      <c r="E226" t="inlineStr">
        <is>
          <t>沐曦股份-U</t>
        </is>
      </c>
    </row>
    <row r="227">
      <c r="A227" t="inlineStr">
        <is>
          <t>半导体</t>
        </is>
      </c>
      <c r="B227" t="inlineStr">
        <is>
          <t>芯片设计-存储芯片</t>
        </is>
      </c>
      <c r="C227" t="inlineStr">
        <is>
          <t>核心</t>
        </is>
      </c>
      <c r="D227" t="inlineStr">
        <is>
          <t>688825</t>
        </is>
      </c>
      <c r="E227" t="inlineStr">
        <is>
          <t>长鑫科技</t>
        </is>
      </c>
    </row>
    <row r="228">
      <c r="A228" t="inlineStr">
        <is>
          <t>半导体</t>
        </is>
      </c>
      <c r="B228" t="inlineStr">
        <is>
          <t>晶圆制造与IDM</t>
        </is>
      </c>
      <c r="C228" t="inlineStr">
        <is>
          <t>核心</t>
        </is>
      </c>
      <c r="D228" t="inlineStr">
        <is>
          <t>688825</t>
        </is>
      </c>
      <c r="E228" t="inlineStr">
        <is>
          <t>长鑫科技</t>
        </is>
      </c>
    </row>
    <row r="229">
      <c r="A229" t="inlineStr">
        <is>
          <t>半导体</t>
        </is>
      </c>
      <c r="B229" t="inlineStr">
        <is>
          <t>芯片设计-功率半导体</t>
        </is>
      </c>
      <c r="C229" t="inlineStr">
        <is>
          <t>核心</t>
        </is>
      </c>
      <c r="D229" t="inlineStr">
        <is>
          <t>600745</t>
        </is>
      </c>
      <c r="E229" t="inlineStr">
        <is>
          <t>闻泰科技</t>
        </is>
      </c>
    </row>
    <row r="230">
      <c r="A230" t="inlineStr">
        <is>
          <t>半导体</t>
        </is>
      </c>
      <c r="B230" t="inlineStr">
        <is>
          <t>晶圆制造与IDM</t>
        </is>
      </c>
      <c r="C230" t="inlineStr">
        <is>
          <t>核心</t>
        </is>
      </c>
      <c r="D230" t="inlineStr">
        <is>
          <t>600745</t>
        </is>
      </c>
      <c r="E230" t="inlineStr">
        <is>
          <t>闻泰科技</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4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42"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公式引用隐藏展开表精确计数；一只股票可对应多个概念。</t>
        </is>
      </c>
    </row>
    <row r="4">
      <c r="B4" s="10" t="inlineStr">
        <is>
          <t>一级分类</t>
        </is>
      </c>
      <c r="C4" s="10" t="inlineStr">
        <is>
          <t>二级概念</t>
        </is>
      </c>
      <c r="D4" s="10" t="inlineStr">
        <is>
          <t>核心（只）</t>
        </is>
      </c>
      <c r="E4" s="10" t="inlineStr">
        <is>
          <t>相关（只）</t>
        </is>
      </c>
      <c r="F4" s="10" t="inlineStr">
        <is>
          <t>合计（只）</t>
        </is>
      </c>
    </row>
    <row r="5">
      <c r="B5" t="inlineStr">
        <is>
          <t>半导体</t>
        </is>
      </c>
      <c r="C5" s="11" t="inlineStr">
        <is>
          <t>EDA/IP与设计服务</t>
        </is>
      </c>
      <c r="D5" s="12">
        <f>COUNTIFS('概念展开'!$A$2:$A$230,B5,'概念展开'!$B$2:$B$230,C5,'概念展开'!$C$2:$C$230,"核心")</f>
        <v/>
      </c>
      <c r="E5" s="12">
        <f>COUNTIFS('概念展开'!$A$2:$A$230,B5,'概念展开'!$B$2:$B$230,C5,'概念展开'!$C$2:$C$230,"相关")</f>
        <v/>
      </c>
      <c r="F5">
        <f>SUM(D5:E5)</f>
        <v/>
      </c>
    </row>
    <row r="6">
      <c r="B6" s="13" t="inlineStr">
        <is>
          <t>半导体</t>
        </is>
      </c>
      <c r="C6" s="14" t="inlineStr">
        <is>
          <t>IC载板</t>
        </is>
      </c>
      <c r="D6" s="15">
        <f>COUNTIFS('概念展开'!$A$2:$A$230,B6,'概念展开'!$B$2:$B$230,C6,'概念展开'!$C$2:$C$230,"核心")</f>
        <v/>
      </c>
      <c r="E6" s="15">
        <f>COUNTIFS('概念展开'!$A$2:$A$230,B6,'概念展开'!$B$2:$B$230,C6,'概念展开'!$C$2:$C$230,"相关")</f>
        <v/>
      </c>
      <c r="F6" s="13">
        <f>SUM(D6:E6)</f>
        <v/>
      </c>
    </row>
    <row r="7">
      <c r="B7" t="inlineStr">
        <is>
          <t>半导体</t>
        </is>
      </c>
      <c r="C7" s="11" t="inlineStr">
        <is>
          <t>半导体分销与供应链</t>
        </is>
      </c>
      <c r="D7" s="12">
        <f>COUNTIFS('概念展开'!$A$2:$A$230,B7,'概念展开'!$B$2:$B$230,C7,'概念展开'!$C$2:$C$230,"核心")</f>
        <v/>
      </c>
      <c r="E7" s="12">
        <f>COUNTIFS('概念展开'!$A$2:$A$230,B7,'概念展开'!$B$2:$B$230,C7,'概念展开'!$C$2:$C$230,"相关")</f>
        <v/>
      </c>
      <c r="F7">
        <f>SUM(D7:E7)</f>
        <v/>
      </c>
    </row>
    <row r="8">
      <c r="B8" s="13" t="inlineStr">
        <is>
          <t>半导体</t>
        </is>
      </c>
      <c r="C8" s="14" t="inlineStr">
        <is>
          <t>半导体材料-CMP材料</t>
        </is>
      </c>
      <c r="D8" s="15">
        <f>COUNTIFS('概念展开'!$A$2:$A$230,B8,'概念展开'!$B$2:$B$230,C8,'概念展开'!$C$2:$C$230,"核心")</f>
        <v/>
      </c>
      <c r="E8" s="15">
        <f>COUNTIFS('概念展开'!$A$2:$A$230,B8,'概念展开'!$B$2:$B$230,C8,'概念展开'!$C$2:$C$230,"相关")</f>
        <v/>
      </c>
      <c r="F8" s="13">
        <f>SUM(D8:E8)</f>
        <v/>
      </c>
    </row>
    <row r="9">
      <c r="B9" t="inlineStr">
        <is>
          <t>半导体</t>
        </is>
      </c>
      <c r="C9" s="11" t="inlineStr">
        <is>
          <t>半导体材料-光刻胶与配套试剂</t>
        </is>
      </c>
      <c r="D9" s="12">
        <f>COUNTIFS('概念展开'!$A$2:$A$230,B9,'概念展开'!$B$2:$B$230,C9,'概念展开'!$C$2:$C$230,"核心")</f>
        <v/>
      </c>
      <c r="E9" s="12">
        <f>COUNTIFS('概念展开'!$A$2:$A$230,B9,'概念展开'!$B$2:$B$230,C9,'概念展开'!$C$2:$C$230,"相关")</f>
        <v/>
      </c>
      <c r="F9">
        <f>SUM(D9:E9)</f>
        <v/>
      </c>
    </row>
    <row r="10">
      <c r="B10" s="13" t="inlineStr">
        <is>
          <t>半导体</t>
        </is>
      </c>
      <c r="C10" s="14" t="inlineStr">
        <is>
          <t>半导体材料-其他关键材料</t>
        </is>
      </c>
      <c r="D10" s="15">
        <f>COUNTIFS('概念展开'!$A$2:$A$230,B10,'概念展开'!$B$2:$B$230,C10,'概念展开'!$C$2:$C$230,"核心")</f>
        <v/>
      </c>
      <c r="E10" s="15">
        <f>COUNTIFS('概念展开'!$A$2:$A$230,B10,'概念展开'!$B$2:$B$230,C10,'概念展开'!$C$2:$C$230,"相关")</f>
        <v/>
      </c>
      <c r="F10" s="13">
        <f>SUM(D10:E10)</f>
        <v/>
      </c>
    </row>
    <row r="11">
      <c r="B11" t="inlineStr">
        <is>
          <t>半导体</t>
        </is>
      </c>
      <c r="C11" s="11" t="inlineStr">
        <is>
          <t>半导体材料-封装材料</t>
        </is>
      </c>
      <c r="D11" s="12">
        <f>COUNTIFS('概念展开'!$A$2:$A$230,B11,'概念展开'!$B$2:$B$230,C11,'概念展开'!$C$2:$C$230,"核心")</f>
        <v/>
      </c>
      <c r="E11" s="12">
        <f>COUNTIFS('概念展开'!$A$2:$A$230,B11,'概念展开'!$B$2:$B$230,C11,'概念展开'!$C$2:$C$230,"相关")</f>
        <v/>
      </c>
      <c r="F11">
        <f>SUM(D11:E11)</f>
        <v/>
      </c>
    </row>
    <row r="12">
      <c r="B12" s="13" t="inlineStr">
        <is>
          <t>半导体</t>
        </is>
      </c>
      <c r="C12" s="14" t="inlineStr">
        <is>
          <t>半导体材料-掩膜版</t>
        </is>
      </c>
      <c r="D12" s="15">
        <f>COUNTIFS('概念展开'!$A$2:$A$230,B12,'概念展开'!$B$2:$B$230,C12,'概念展开'!$C$2:$C$230,"核心")</f>
        <v/>
      </c>
      <c r="E12" s="15">
        <f>COUNTIFS('概念展开'!$A$2:$A$230,B12,'概念展开'!$B$2:$B$230,C12,'概念展开'!$C$2:$C$230,"相关")</f>
        <v/>
      </c>
      <c r="F12" s="13">
        <f>SUM(D12:E12)</f>
        <v/>
      </c>
    </row>
    <row r="13">
      <c r="B13" t="inlineStr">
        <is>
          <t>半导体</t>
        </is>
      </c>
      <c r="C13" s="11" t="inlineStr">
        <is>
          <t>半导体材料-电子特气与湿化学品</t>
        </is>
      </c>
      <c r="D13" s="12">
        <f>COUNTIFS('概念展开'!$A$2:$A$230,B13,'概念展开'!$B$2:$B$230,C13,'概念展开'!$C$2:$C$230,"核心")</f>
        <v/>
      </c>
      <c r="E13" s="12">
        <f>COUNTIFS('概念展开'!$A$2:$A$230,B13,'概念展开'!$B$2:$B$230,C13,'概念展开'!$C$2:$C$230,"相关")</f>
        <v/>
      </c>
      <c r="F13">
        <f>SUM(D13:E13)</f>
        <v/>
      </c>
    </row>
    <row r="14">
      <c r="B14" s="13" t="inlineStr">
        <is>
          <t>半导体</t>
        </is>
      </c>
      <c r="C14" s="14" t="inlineStr">
        <is>
          <t>半导体材料-石英与陶瓷部件</t>
        </is>
      </c>
      <c r="D14" s="15">
        <f>COUNTIFS('概念展开'!$A$2:$A$230,B14,'概念展开'!$B$2:$B$230,C14,'概念展开'!$C$2:$C$230,"核心")</f>
        <v/>
      </c>
      <c r="E14" s="15">
        <f>COUNTIFS('概念展开'!$A$2:$A$230,B14,'概念展开'!$B$2:$B$230,C14,'概念展开'!$C$2:$C$230,"相关")</f>
        <v/>
      </c>
      <c r="F14" s="13">
        <f>SUM(D14:E14)</f>
        <v/>
      </c>
    </row>
    <row r="15">
      <c r="B15" t="inlineStr">
        <is>
          <t>半导体</t>
        </is>
      </c>
      <c r="C15" s="11" t="inlineStr">
        <is>
          <t>半导体材料-硅片与硅部件</t>
        </is>
      </c>
      <c r="D15" s="12">
        <f>COUNTIFS('概念展开'!$A$2:$A$230,B15,'概念展开'!$B$2:$B$230,C15,'概念展开'!$C$2:$C$230,"核心")</f>
        <v/>
      </c>
      <c r="E15" s="12">
        <f>COUNTIFS('概念展开'!$A$2:$A$230,B15,'概念展开'!$B$2:$B$230,C15,'概念展开'!$C$2:$C$230,"相关")</f>
        <v/>
      </c>
      <c r="F15">
        <f>SUM(D15:E15)</f>
        <v/>
      </c>
    </row>
    <row r="16">
      <c r="B16" s="13" t="inlineStr">
        <is>
          <t>半导体</t>
        </is>
      </c>
      <c r="C16" s="14" t="inlineStr">
        <is>
          <t>半导体材料-金刚石与加工耗材</t>
        </is>
      </c>
      <c r="D16" s="15">
        <f>COUNTIFS('概念展开'!$A$2:$A$230,B16,'概念展开'!$B$2:$B$230,C16,'概念展开'!$C$2:$C$230,"核心")</f>
        <v/>
      </c>
      <c r="E16" s="15">
        <f>COUNTIFS('概念展开'!$A$2:$A$230,B16,'概念展开'!$B$2:$B$230,C16,'概念展开'!$C$2:$C$230,"相关")</f>
        <v/>
      </c>
      <c r="F16" s="13">
        <f>SUM(D16:E16)</f>
        <v/>
      </c>
    </row>
    <row r="17">
      <c r="B17" t="inlineStr">
        <is>
          <t>半导体</t>
        </is>
      </c>
      <c r="C17" s="11" t="inlineStr">
        <is>
          <t>半导体材料-靶材与蒸镀材料</t>
        </is>
      </c>
      <c r="D17" s="12">
        <f>COUNTIFS('概念展开'!$A$2:$A$230,B17,'概念展开'!$B$2:$B$230,C17,'概念展开'!$C$2:$C$230,"核心")</f>
        <v/>
      </c>
      <c r="E17" s="12">
        <f>COUNTIFS('概念展开'!$A$2:$A$230,B17,'概念展开'!$B$2:$B$230,C17,'概念展开'!$C$2:$C$230,"相关")</f>
        <v/>
      </c>
      <c r="F17">
        <f>SUM(D17:E17)</f>
        <v/>
      </c>
    </row>
    <row r="18">
      <c r="B18" s="13" t="inlineStr">
        <is>
          <t>半导体</t>
        </is>
      </c>
      <c r="C18" s="14" t="inlineStr">
        <is>
          <t>半导体股权与产业投资</t>
        </is>
      </c>
      <c r="D18" s="15">
        <f>COUNTIFS('概念展开'!$A$2:$A$230,B18,'概念展开'!$B$2:$B$230,C18,'概念展开'!$C$2:$C$230,"核心")</f>
        <v/>
      </c>
      <c r="E18" s="15">
        <f>COUNTIFS('概念展开'!$A$2:$A$230,B18,'概念展开'!$B$2:$B$230,C18,'概念展开'!$C$2:$C$230,"相关")</f>
        <v/>
      </c>
      <c r="F18" s="13">
        <f>SUM(D18:E18)</f>
        <v/>
      </c>
    </row>
    <row r="19">
      <c r="B19" t="inlineStr">
        <is>
          <t>半导体</t>
        </is>
      </c>
      <c r="C19" s="11" t="inlineStr">
        <is>
          <t>半导体设备-CMP</t>
        </is>
      </c>
      <c r="D19" s="12">
        <f>COUNTIFS('概念展开'!$A$2:$A$230,B19,'概念展开'!$B$2:$B$230,C19,'概念展开'!$C$2:$C$230,"核心")</f>
        <v/>
      </c>
      <c r="E19" s="12">
        <f>COUNTIFS('概念展开'!$A$2:$A$230,B19,'概念展开'!$B$2:$B$230,C19,'概念展开'!$C$2:$C$230,"相关")</f>
        <v/>
      </c>
      <c r="F19">
        <f>SUM(D19:E19)</f>
        <v/>
      </c>
    </row>
    <row r="20">
      <c r="B20" s="13" t="inlineStr">
        <is>
          <t>半导体</t>
        </is>
      </c>
      <c r="C20" s="14" t="inlineStr">
        <is>
          <t>半导体设备-其他专用设备</t>
        </is>
      </c>
      <c r="D20" s="15">
        <f>COUNTIFS('概念展开'!$A$2:$A$230,B20,'概念展开'!$B$2:$B$230,C20,'概念展开'!$C$2:$C$230,"核心")</f>
        <v/>
      </c>
      <c r="E20" s="15">
        <f>COUNTIFS('概念展开'!$A$2:$A$230,B20,'概念展开'!$B$2:$B$230,C20,'概念展开'!$C$2:$C$230,"相关")</f>
        <v/>
      </c>
      <c r="F20" s="13">
        <f>SUM(D20:E20)</f>
        <v/>
      </c>
    </row>
    <row r="21">
      <c r="B21" t="inlineStr">
        <is>
          <t>半导体</t>
        </is>
      </c>
      <c r="C21" s="11" t="inlineStr">
        <is>
          <t>半导体设备-划片与切割</t>
        </is>
      </c>
      <c r="D21" s="12">
        <f>COUNTIFS('概念展开'!$A$2:$A$230,B21,'概念展开'!$B$2:$B$230,C21,'概念展开'!$C$2:$C$230,"核心")</f>
        <v/>
      </c>
      <c r="E21" s="12">
        <f>COUNTIFS('概念展开'!$A$2:$A$230,B21,'概念展开'!$B$2:$B$230,C21,'概念展开'!$C$2:$C$230,"相关")</f>
        <v/>
      </c>
      <c r="F21">
        <f>SUM(D21:E21)</f>
        <v/>
      </c>
    </row>
    <row r="22">
      <c r="B22" s="13" t="inlineStr">
        <is>
          <t>半导体</t>
        </is>
      </c>
      <c r="C22" s="14" t="inlineStr">
        <is>
          <t>半导体设备-刻蚀</t>
        </is>
      </c>
      <c r="D22" s="15">
        <f>COUNTIFS('概念展开'!$A$2:$A$230,B22,'概念展开'!$B$2:$B$230,C22,'概念展开'!$C$2:$C$230,"核心")</f>
        <v/>
      </c>
      <c r="E22" s="15">
        <f>COUNTIFS('概念展开'!$A$2:$A$230,B22,'概念展开'!$B$2:$B$230,C22,'概念展开'!$C$2:$C$230,"相关")</f>
        <v/>
      </c>
      <c r="F22" s="13">
        <f>SUM(D22:E22)</f>
        <v/>
      </c>
    </row>
    <row r="23">
      <c r="B23" t="inlineStr">
        <is>
          <t>半导体</t>
        </is>
      </c>
      <c r="C23" s="11" t="inlineStr">
        <is>
          <t>半导体设备-封装设备</t>
        </is>
      </c>
      <c r="D23" s="12">
        <f>COUNTIFS('概念展开'!$A$2:$A$230,B23,'概念展开'!$B$2:$B$230,C23,'概念展开'!$C$2:$C$230,"核心")</f>
        <v/>
      </c>
      <c r="E23" s="12">
        <f>COUNTIFS('概念展开'!$A$2:$A$230,B23,'概念展开'!$B$2:$B$230,C23,'概念展开'!$C$2:$C$230,"相关")</f>
        <v/>
      </c>
      <c r="F23">
        <f>SUM(D23:E23)</f>
        <v/>
      </c>
    </row>
    <row r="24">
      <c r="B24" s="13" t="inlineStr">
        <is>
          <t>半导体</t>
        </is>
      </c>
      <c r="C24" s="14" t="inlineStr">
        <is>
          <t>半导体设备-探针台与测试接口</t>
        </is>
      </c>
      <c r="D24" s="15">
        <f>COUNTIFS('概念展开'!$A$2:$A$230,B24,'概念展开'!$B$2:$B$230,C24,'概念展开'!$C$2:$C$230,"核心")</f>
        <v/>
      </c>
      <c r="E24" s="15">
        <f>COUNTIFS('概念展开'!$A$2:$A$230,B24,'概念展开'!$B$2:$B$230,C24,'概念展开'!$C$2:$C$230,"相关")</f>
        <v/>
      </c>
      <c r="F24" s="13">
        <f>SUM(D24:E24)</f>
        <v/>
      </c>
    </row>
    <row r="25">
      <c r="B25" t="inlineStr">
        <is>
          <t>半导体</t>
        </is>
      </c>
      <c r="C25" s="11" t="inlineStr">
        <is>
          <t>半导体设备-洁净与厂务设备</t>
        </is>
      </c>
      <c r="D25" s="12">
        <f>COUNTIFS('概念展开'!$A$2:$A$230,B25,'概念展开'!$B$2:$B$230,C25,'概念展开'!$C$2:$C$230,"核心")</f>
        <v/>
      </c>
      <c r="E25" s="12">
        <f>COUNTIFS('概念展开'!$A$2:$A$230,B25,'概念展开'!$B$2:$B$230,C25,'概念展开'!$C$2:$C$230,"相关")</f>
        <v/>
      </c>
      <c r="F25">
        <f>SUM(D25:E25)</f>
        <v/>
      </c>
    </row>
    <row r="26">
      <c r="B26" s="13" t="inlineStr">
        <is>
          <t>半导体</t>
        </is>
      </c>
      <c r="C26" s="14" t="inlineStr">
        <is>
          <t>半导体设备-测试机与分选机</t>
        </is>
      </c>
      <c r="D26" s="15">
        <f>COUNTIFS('概念展开'!$A$2:$A$230,B26,'概念展开'!$B$2:$B$230,C26,'概念展开'!$C$2:$C$230,"核心")</f>
        <v/>
      </c>
      <c r="E26" s="15">
        <f>COUNTIFS('概念展开'!$A$2:$A$230,B26,'概念展开'!$B$2:$B$230,C26,'概念展开'!$C$2:$C$230,"相关")</f>
        <v/>
      </c>
      <c r="F26" s="13">
        <f>SUM(D26:E26)</f>
        <v/>
      </c>
    </row>
    <row r="27">
      <c r="B27" t="inlineStr">
        <is>
          <t>半导体</t>
        </is>
      </c>
      <c r="C27" s="11" t="inlineStr">
        <is>
          <t>半导体设备-涂胶显影</t>
        </is>
      </c>
      <c r="D27" s="12">
        <f>COUNTIFS('概念展开'!$A$2:$A$230,B27,'概念展开'!$B$2:$B$230,C27,'概念展开'!$C$2:$C$230,"核心")</f>
        <v/>
      </c>
      <c r="E27" s="12">
        <f>COUNTIFS('概念展开'!$A$2:$A$230,B27,'概念展开'!$B$2:$B$230,C27,'概念展开'!$C$2:$C$230,"相关")</f>
        <v/>
      </c>
      <c r="F27">
        <f>SUM(D27:E27)</f>
        <v/>
      </c>
    </row>
    <row r="28">
      <c r="B28" s="13" t="inlineStr">
        <is>
          <t>半导体</t>
        </is>
      </c>
      <c r="C28" s="14" t="inlineStr">
        <is>
          <t>半导体设备-清洗</t>
        </is>
      </c>
      <c r="D28" s="15">
        <f>COUNTIFS('概念展开'!$A$2:$A$230,B28,'概念展开'!$B$2:$B$230,C28,'概念展开'!$C$2:$C$230,"核心")</f>
        <v/>
      </c>
      <c r="E28" s="15">
        <f>COUNTIFS('概念展开'!$A$2:$A$230,B28,'概念展开'!$B$2:$B$230,C28,'概念展开'!$C$2:$C$230,"相关")</f>
        <v/>
      </c>
      <c r="F28" s="13">
        <f>SUM(D28:E28)</f>
        <v/>
      </c>
    </row>
    <row r="29">
      <c r="B29" t="inlineStr">
        <is>
          <t>半导体</t>
        </is>
      </c>
      <c r="C29" s="11" t="inlineStr">
        <is>
          <t>半导体设备-热处理与去胶</t>
        </is>
      </c>
      <c r="D29" s="12">
        <f>COUNTIFS('概念展开'!$A$2:$A$230,B29,'概念展开'!$B$2:$B$230,C29,'概念展开'!$C$2:$C$230,"核心")</f>
        <v/>
      </c>
      <c r="E29" s="12">
        <f>COUNTIFS('概念展开'!$A$2:$A$230,B29,'概念展开'!$B$2:$B$230,C29,'概念展开'!$C$2:$C$230,"相关")</f>
        <v/>
      </c>
      <c r="F29">
        <f>SUM(D29:E29)</f>
        <v/>
      </c>
    </row>
    <row r="30">
      <c r="B30" s="13" t="inlineStr">
        <is>
          <t>半导体</t>
        </is>
      </c>
      <c r="C30" s="14" t="inlineStr">
        <is>
          <t>半导体设备-离子注入</t>
        </is>
      </c>
      <c r="D30" s="15">
        <f>COUNTIFS('概念展开'!$A$2:$A$230,B30,'概念展开'!$B$2:$B$230,C30,'概念展开'!$C$2:$C$230,"核心")</f>
        <v/>
      </c>
      <c r="E30" s="15">
        <f>COUNTIFS('概念展开'!$A$2:$A$230,B30,'概念展开'!$B$2:$B$230,C30,'概念展开'!$C$2:$C$230,"相关")</f>
        <v/>
      </c>
      <c r="F30" s="13">
        <f>SUM(D30:E30)</f>
        <v/>
      </c>
    </row>
    <row r="31">
      <c r="B31" t="inlineStr">
        <is>
          <t>半导体</t>
        </is>
      </c>
      <c r="C31" s="11" t="inlineStr">
        <is>
          <t>半导体设备-薄膜沉积</t>
        </is>
      </c>
      <c r="D31" s="12">
        <f>COUNTIFS('概念展开'!$A$2:$A$230,B31,'概念展开'!$B$2:$B$230,C31,'概念展开'!$C$2:$C$230,"核心")</f>
        <v/>
      </c>
      <c r="E31" s="12">
        <f>COUNTIFS('概念展开'!$A$2:$A$230,B31,'概念展开'!$B$2:$B$230,C31,'概念展开'!$C$2:$C$230,"相关")</f>
        <v/>
      </c>
      <c r="F31">
        <f>SUM(D31:E31)</f>
        <v/>
      </c>
    </row>
    <row r="32">
      <c r="B32" s="13" t="inlineStr">
        <is>
          <t>半导体</t>
        </is>
      </c>
      <c r="C32" s="14" t="inlineStr">
        <is>
          <t>半导体设备-量测与检测</t>
        </is>
      </c>
      <c r="D32" s="15">
        <f>COUNTIFS('概念展开'!$A$2:$A$230,B32,'概念展开'!$B$2:$B$230,C32,'概念展开'!$C$2:$C$230,"核心")</f>
        <v/>
      </c>
      <c r="E32" s="15">
        <f>COUNTIFS('概念展开'!$A$2:$A$230,B32,'概念展开'!$B$2:$B$230,C32,'概念展开'!$C$2:$C$230,"相关")</f>
        <v/>
      </c>
      <c r="F32" s="13">
        <f>SUM(D32:E32)</f>
        <v/>
      </c>
    </row>
    <row r="33">
      <c r="B33" t="inlineStr">
        <is>
          <t>半导体</t>
        </is>
      </c>
      <c r="C33" s="11" t="inlineStr">
        <is>
          <t>半导体设备-键合与焊接</t>
        </is>
      </c>
      <c r="D33" s="12">
        <f>COUNTIFS('概念展开'!$A$2:$A$230,B33,'概念展开'!$B$2:$B$230,C33,'概念展开'!$C$2:$C$230,"核心")</f>
        <v/>
      </c>
      <c r="E33" s="12">
        <f>COUNTIFS('概念展开'!$A$2:$A$230,B33,'概念展开'!$B$2:$B$230,C33,'概念展开'!$C$2:$C$230,"相关")</f>
        <v/>
      </c>
      <c r="F33">
        <f>SUM(D33:E33)</f>
        <v/>
      </c>
    </row>
    <row r="34">
      <c r="B34" s="13" t="inlineStr">
        <is>
          <t>半导体</t>
        </is>
      </c>
      <c r="C34" s="14" t="inlineStr">
        <is>
          <t>存储模组与系统</t>
        </is>
      </c>
      <c r="D34" s="15">
        <f>COUNTIFS('概念展开'!$A$2:$A$230,B34,'概念展开'!$B$2:$B$230,C34,'概念展开'!$C$2:$C$230,"核心")</f>
        <v/>
      </c>
      <c r="E34" s="15">
        <f>COUNTIFS('概念展开'!$A$2:$A$230,B34,'概念展开'!$B$2:$B$230,C34,'概念展开'!$C$2:$C$230,"相关")</f>
        <v/>
      </c>
      <c r="F34" s="13">
        <f>SUM(D34:E34)</f>
        <v/>
      </c>
    </row>
    <row r="35">
      <c r="B35" t="inlineStr">
        <is>
          <t>半导体</t>
        </is>
      </c>
      <c r="C35" s="11" t="inlineStr">
        <is>
          <t>封装测试</t>
        </is>
      </c>
      <c r="D35" s="12">
        <f>COUNTIFS('概念展开'!$A$2:$A$230,B35,'概念展开'!$B$2:$B$230,C35,'概念展开'!$C$2:$C$230,"核心")</f>
        <v/>
      </c>
      <c r="E35" s="12">
        <f>COUNTIFS('概念展开'!$A$2:$A$230,B35,'概念展开'!$B$2:$B$230,C35,'概念展开'!$C$2:$C$230,"相关")</f>
        <v/>
      </c>
      <c r="F35">
        <f>SUM(D35:E35)</f>
        <v/>
      </c>
    </row>
    <row r="36">
      <c r="B36" s="13" t="inlineStr">
        <is>
          <t>半导体</t>
        </is>
      </c>
      <c r="C36" s="14" t="inlineStr">
        <is>
          <t>晶圆制造与IDM</t>
        </is>
      </c>
      <c r="D36" s="15">
        <f>COUNTIFS('概念展开'!$A$2:$A$230,B36,'概念展开'!$B$2:$B$230,C36,'概念展开'!$C$2:$C$230,"核心")</f>
        <v/>
      </c>
      <c r="E36" s="15">
        <f>COUNTIFS('概念展开'!$A$2:$A$230,B36,'概念展开'!$B$2:$B$230,C36,'概念展开'!$C$2:$C$230,"相关")</f>
        <v/>
      </c>
      <c r="F36" s="13">
        <f>SUM(D36:E36)</f>
        <v/>
      </c>
    </row>
    <row r="37">
      <c r="B37" t="inlineStr">
        <is>
          <t>半导体</t>
        </is>
      </c>
      <c r="C37" s="11" t="inlineStr">
        <is>
          <t>洁净室与厂务工程</t>
        </is>
      </c>
      <c r="D37" s="12">
        <f>COUNTIFS('概念展开'!$A$2:$A$230,B37,'概念展开'!$B$2:$B$230,C37,'概念展开'!$C$2:$C$230,"核心")</f>
        <v/>
      </c>
      <c r="E37" s="12">
        <f>COUNTIFS('概念展开'!$A$2:$A$230,B37,'概念展开'!$B$2:$B$230,C37,'概念展开'!$C$2:$C$230,"相关")</f>
        <v/>
      </c>
      <c r="F37">
        <f>SUM(D37:E37)</f>
        <v/>
      </c>
    </row>
    <row r="38">
      <c r="B38" s="13" t="inlineStr">
        <is>
          <t>半导体</t>
        </is>
      </c>
      <c r="C38" s="14" t="inlineStr">
        <is>
          <t>芯片设计-CPU/GPU/AI计算</t>
        </is>
      </c>
      <c r="D38" s="15">
        <f>COUNTIFS('概念展开'!$A$2:$A$230,B38,'概念展开'!$B$2:$B$230,C38,'概念展开'!$C$2:$C$230,"核心")</f>
        <v/>
      </c>
      <c r="E38" s="15">
        <f>COUNTIFS('概念展开'!$A$2:$A$230,B38,'概念展开'!$B$2:$B$230,C38,'概念展开'!$C$2:$C$230,"相关")</f>
        <v/>
      </c>
      <c r="F38" s="13">
        <f>SUM(D38:E38)</f>
        <v/>
      </c>
    </row>
    <row r="39">
      <c r="B39" t="inlineStr">
        <is>
          <t>半导体</t>
        </is>
      </c>
      <c r="C39" s="11" t="inlineStr">
        <is>
          <t>芯片设计-FPGA与特种集成电路</t>
        </is>
      </c>
      <c r="D39" s="12">
        <f>COUNTIFS('概念展开'!$A$2:$A$230,B39,'概念展开'!$B$2:$B$230,C39,'概念展开'!$C$2:$C$230,"核心")</f>
        <v/>
      </c>
      <c r="E39" s="12">
        <f>COUNTIFS('概念展开'!$A$2:$A$230,B39,'概念展开'!$B$2:$B$230,C39,'概念展开'!$C$2:$C$230,"相关")</f>
        <v/>
      </c>
      <c r="F39">
        <f>SUM(D39:E39)</f>
        <v/>
      </c>
    </row>
    <row r="40">
      <c r="B40" s="13" t="inlineStr">
        <is>
          <t>半导体</t>
        </is>
      </c>
      <c r="C40" s="14" t="inlineStr">
        <is>
          <t>芯片设计-MCU与嵌入式</t>
        </is>
      </c>
      <c r="D40" s="15">
        <f>COUNTIFS('概念展开'!$A$2:$A$230,B40,'概念展开'!$B$2:$B$230,C40,'概念展开'!$C$2:$C$230,"核心")</f>
        <v/>
      </c>
      <c r="E40" s="15">
        <f>COUNTIFS('概念展开'!$A$2:$A$230,B40,'概念展开'!$B$2:$B$230,C40,'概念展开'!$C$2:$C$230,"相关")</f>
        <v/>
      </c>
      <c r="F40" s="13">
        <f>SUM(D40:E40)</f>
        <v/>
      </c>
    </row>
    <row r="41">
      <c r="B41" t="inlineStr">
        <is>
          <t>半导体</t>
        </is>
      </c>
      <c r="C41" s="11" t="inlineStr">
        <is>
          <t>芯片设计-SoC与端侧AI</t>
        </is>
      </c>
      <c r="D41" s="12">
        <f>COUNTIFS('概念展开'!$A$2:$A$230,B41,'概念展开'!$B$2:$B$230,C41,'概念展开'!$C$2:$C$230,"核心")</f>
        <v/>
      </c>
      <c r="E41" s="12">
        <f>COUNTIFS('概念展开'!$A$2:$A$230,B41,'概念展开'!$B$2:$B$230,C41,'概念展开'!$C$2:$C$230,"相关")</f>
        <v/>
      </c>
      <c r="F41">
        <f>SUM(D41:E41)</f>
        <v/>
      </c>
    </row>
    <row r="42">
      <c r="B42" s="13" t="inlineStr">
        <is>
          <t>半导体</t>
        </is>
      </c>
      <c r="C42" s="14" t="inlineStr">
        <is>
          <t>芯片设计-功率半导体</t>
        </is>
      </c>
      <c r="D42" s="15">
        <f>COUNTIFS('概念展开'!$A$2:$A$230,B42,'概念展开'!$B$2:$B$230,C42,'概念展开'!$C$2:$C$230,"核心")</f>
        <v/>
      </c>
      <c r="E42" s="15">
        <f>COUNTIFS('概念展开'!$A$2:$A$230,B42,'概念展开'!$B$2:$B$230,C42,'概念展开'!$C$2:$C$230,"相关")</f>
        <v/>
      </c>
      <c r="F42" s="13">
        <f>SUM(D42:E42)</f>
        <v/>
      </c>
    </row>
    <row r="43">
      <c r="B43" t="inlineStr">
        <is>
          <t>半导体</t>
        </is>
      </c>
      <c r="C43" s="11" t="inlineStr">
        <is>
          <t>芯片设计-存储主控与接口</t>
        </is>
      </c>
      <c r="D43" s="12">
        <f>COUNTIFS('概念展开'!$A$2:$A$230,B43,'概念展开'!$B$2:$B$230,C43,'概念展开'!$C$2:$C$230,"核心")</f>
        <v/>
      </c>
      <c r="E43" s="12">
        <f>COUNTIFS('概念展开'!$A$2:$A$230,B43,'概念展开'!$B$2:$B$230,C43,'概念展开'!$C$2:$C$230,"相关")</f>
        <v/>
      </c>
      <c r="F43">
        <f>SUM(D43:E43)</f>
        <v/>
      </c>
    </row>
    <row r="44">
      <c r="B44" s="13" t="inlineStr">
        <is>
          <t>半导体</t>
        </is>
      </c>
      <c r="C44" s="14" t="inlineStr">
        <is>
          <t>芯片设计-存储芯片</t>
        </is>
      </c>
      <c r="D44" s="15">
        <f>COUNTIFS('概念展开'!$A$2:$A$230,B44,'概念展开'!$B$2:$B$230,C44,'概念展开'!$C$2:$C$230,"核心")</f>
        <v/>
      </c>
      <c r="E44" s="15">
        <f>COUNTIFS('概念展开'!$A$2:$A$230,B44,'概念展开'!$B$2:$B$230,C44,'概念展开'!$C$2:$C$230,"相关")</f>
        <v/>
      </c>
      <c r="F44" s="13">
        <f>SUM(D44:E44)</f>
        <v/>
      </c>
    </row>
    <row r="45">
      <c r="B45" t="inlineStr">
        <is>
          <t>半导体</t>
        </is>
      </c>
      <c r="C45" s="11" t="inlineStr">
        <is>
          <t>芯片设计-射频与通信芯片</t>
        </is>
      </c>
      <c r="D45" s="12">
        <f>COUNTIFS('概念展开'!$A$2:$A$230,B45,'概念展开'!$B$2:$B$230,C45,'概念展开'!$C$2:$C$230,"核心")</f>
        <v/>
      </c>
      <c r="E45" s="12">
        <f>COUNTIFS('概念展开'!$A$2:$A$230,B45,'概念展开'!$B$2:$B$230,C45,'概念展开'!$C$2:$C$230,"相关")</f>
        <v/>
      </c>
      <c r="F45">
        <f>SUM(D45:E45)</f>
        <v/>
      </c>
    </row>
    <row r="46">
      <c r="B46" s="13" t="inlineStr">
        <is>
          <t>半导体</t>
        </is>
      </c>
      <c r="C46" s="14" t="inlineStr">
        <is>
          <t>芯片设计-模拟与电源管理</t>
        </is>
      </c>
      <c r="D46" s="15">
        <f>COUNTIFS('概念展开'!$A$2:$A$230,B46,'概念展开'!$B$2:$B$230,C46,'概念展开'!$C$2:$C$230,"核心")</f>
        <v/>
      </c>
      <c r="E46" s="15">
        <f>COUNTIFS('概念展开'!$A$2:$A$230,B46,'概念展开'!$B$2:$B$230,C46,'概念展开'!$C$2:$C$230,"相关")</f>
        <v/>
      </c>
      <c r="F46" s="13">
        <f>SUM(D46:E46)</f>
        <v/>
      </c>
    </row>
    <row r="47">
      <c r="B47" t="inlineStr">
        <is>
          <t>半导体</t>
        </is>
      </c>
      <c r="C47" s="11" t="inlineStr">
        <is>
          <t>设备核心零部件</t>
        </is>
      </c>
      <c r="D47" s="12">
        <f>COUNTIFS('概念展开'!$A$2:$A$230,B47,'概念展开'!$B$2:$B$230,C47,'概念展开'!$C$2:$C$230,"核心")</f>
        <v/>
      </c>
      <c r="E47" s="12">
        <f>COUNTIFS('概念展开'!$A$2:$A$230,B47,'概念展开'!$B$2:$B$230,C47,'概念展开'!$C$2:$C$230,"相关")</f>
        <v/>
      </c>
      <c r="F47">
        <f>SUM(D47:E47)</f>
        <v/>
      </c>
    </row>
    <row r="48">
      <c r="B48" s="16" t="inlineStr">
        <is>
          <t>合计（概念次数，非股票去重数）</t>
        </is>
      </c>
      <c r="D48" s="16">
        <f>SUM(D5:D47)</f>
        <v/>
      </c>
      <c r="E48" s="16">
        <f>SUM(E5:E47)</f>
        <v/>
      </c>
      <c r="F48" s="16">
        <f>SUM(F5:F47)</f>
        <v/>
      </c>
    </row>
  </sheetData>
  <autoFilter ref="B4:F47"/>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2026-10-27T06:35:55Z</dcterms:created>
  <dcterms:modified xmlns:dcterms="http://purl.org/dc/terms/" xmlns:xsi="http://www.w3.org/2001/XMLSchema-instance" xsi:type="dcterms:W3CDTF">2026-10-27T06:35:58Z</dcterms:modified>
</cp:coreProperties>
</file>