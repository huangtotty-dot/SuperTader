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军工" sheetId="3" state="visible" r:id="rId3"/>
    <sheet xmlns:r="http://schemas.openxmlformats.org/officeDocument/2006/relationships" name="摘除清单" sheetId="4" state="visible" r:id="rId4"/>
    <sheet xmlns:r="http://schemas.openxmlformats.org/officeDocument/2006/relationships" name="概念展开" sheetId="5" state="hidden" r:id="rId5"/>
    <sheet xmlns:r="http://schemas.openxmlformats.org/officeDocument/2006/relationships" name="概念统计" sheetId="6" state="visible" r:id="rId6"/>
  </sheets>
  <definedNames>
    <definedName name="_xlnm._FilterDatabase" localSheetId="1" hidden="1">'清洗总表'!$B$4:$M$101</definedName>
    <definedName name="_xlnm._FilterDatabase" localSheetId="2" hidden="1">'军工'!$B$4:$M$93</definedName>
    <definedName name="_xlnm._FilterDatabase" localSheetId="3" hidden="1">'摘除清单'!$B$4:$M$12</definedName>
    <definedName name="_xlnm._FilterDatabase" localSheetId="5" hidden="1">'概念统计'!$B$4:$F$35</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263A2D"/>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263A2D"/>
      <sz val="13"/>
    </font>
    <font>
      <b val="1"/>
      <color rgb="000066CC"/>
    </font>
    <font>
      <color rgb="00666666"/>
      <sz val="10"/>
    </font>
  </fonts>
  <fills count="4">
    <fill>
      <patternFill/>
    </fill>
    <fill>
      <patternFill patternType="gray125"/>
    </fill>
    <fill>
      <patternFill patternType="solid">
        <fgColor rgb="00263A2D"/>
      </patternFill>
    </fill>
    <fill>
      <patternFill patternType="solid">
        <fgColor rgb="00F5F5F5"/>
      </patternFill>
    </fill>
  </fills>
  <borders count="2">
    <border>
      <left/>
      <right/>
      <top/>
      <bottom/>
      <diagonal/>
    </border>
    <border>
      <bottom style="thin">
        <color rgb="00D0D0D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3" borderId="0" applyAlignment="1" pivotButton="0" quotePrefix="0" xfId="0">
      <alignment horizontal="left" vertical="top"/>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军工概念深度清洗报告</t>
        </is>
      </c>
    </row>
    <row r="3">
      <c r="B3" s="2" t="inlineStr">
        <is>
          <t>复核日期：2026-10-27｜范围：97只｜重点：军工实质、产品层级、军民边界与二次复审</t>
        </is>
      </c>
    </row>
    <row r="6" ht="26" customHeight="1">
      <c r="B6" s="17" t="inlineStr">
        <is>
          <t>复核股票（只）</t>
        </is>
      </c>
      <c r="C6" s="18">
        <f>COUNTA('清洗总表'!$B$5:$B$101)</f>
        <v/>
      </c>
    </row>
    <row r="7" ht="26" customHeight="1">
      <c r="B7" s="17" t="inlineStr">
        <is>
          <t>保留军工（只）</t>
        </is>
      </c>
      <c r="C7" s="18">
        <f>COUNTA('军工'!$B$5:$B$93)</f>
        <v/>
      </c>
    </row>
    <row r="8" ht="26" customHeight="1">
      <c r="B8" s="17" t="inlineStr">
        <is>
          <t>核心判词（只）</t>
        </is>
      </c>
      <c r="C8" s="18">
        <f>COUNTIF('军工'!$H$5:$H$93,"核心")</f>
        <v/>
      </c>
    </row>
    <row r="9" ht="26" customHeight="1">
      <c r="B9" s="17" t="inlineStr">
        <is>
          <t>相关判词（只）</t>
        </is>
      </c>
      <c r="C9" s="18">
        <f>COUNTIF('军工'!$H$5:$H$93,"相关")</f>
        <v/>
      </c>
    </row>
    <row r="10" ht="26" customHeight="1">
      <c r="B10" s="17" t="inlineStr">
        <is>
          <t>纠错动作（只）</t>
        </is>
      </c>
      <c r="C10" s="18">
        <f>COUNTIF('清洗总表'!$E$5:$E$101,"纠错")</f>
        <v/>
      </c>
    </row>
    <row r="11" ht="26" customHeight="1">
      <c r="B11" s="17" t="inlineStr">
        <is>
          <t>完全摘除（只）</t>
        </is>
      </c>
      <c r="C11" s="18">
        <f>COUNTA('摘除清单'!$B$5:$B$12)</f>
        <v/>
      </c>
    </row>
    <row r="15">
      <c r="B15" s="19" t="inlineStr">
        <is>
          <t>工作表索引</t>
        </is>
      </c>
    </row>
    <row r="16">
      <c r="B16" s="20" t="inlineStr">
        <is>
          <t>清洗总表</t>
        </is>
      </c>
      <c r="C16" s="11" t="inlineStr">
        <is>
          <t>97只旧概念、新概念、动作、判词、详细理由和证据</t>
        </is>
      </c>
    </row>
    <row r="17">
      <c r="B17" s="20" t="inlineStr">
        <is>
          <t>军工</t>
        </is>
      </c>
      <c r="C17" s="11" t="inlineStr">
        <is>
          <t>89只清洗后军工公司</t>
        </is>
      </c>
    </row>
    <row r="18">
      <c r="B18" s="20" t="inlineStr">
        <is>
          <t>摘除清单</t>
        </is>
      </c>
      <c r="C18" s="11" t="inlineStr">
        <is>
          <t>8只通用业务或军工证据不足公司</t>
        </is>
      </c>
    </row>
    <row r="19">
      <c r="B19" s="20" t="inlineStr">
        <is>
          <t>概念统计</t>
        </is>
      </c>
      <c r="C19" s="11" t="inlineStr">
        <is>
          <t>31个二级概念</t>
        </is>
      </c>
    </row>
    <row r="23">
      <c r="B23" s="21" t="inlineStr">
        <is>
          <t>核心：军工是明确主营、重要收入来源，或已有规模化核心产品；相关：有真实军工产品、订单或交付，但民用为主或收入未独立拆分。</t>
        </is>
      </c>
    </row>
    <row r="24">
      <c r="B24" s="21" t="inlineStr">
        <is>
          <t>摘除：只有集团背景、军工资质、潜在供应、通用产品可军用，或当前只有民用机器人、导航、材料等联想。</t>
        </is>
      </c>
    </row>
    <row r="25">
      <c r="B25" s="21" t="inlineStr">
        <is>
          <t>二次复审：威海广泰、江龙船艇、纵横股份依据真实历史订单或2025年军工交付证据，由初审摘除修正为相关。</t>
        </is>
      </c>
    </row>
    <row r="26">
      <c r="B26" s="21" t="inlineStr">
        <is>
          <t>主营与2025分部：iFinD ifind_get_stock_info、ifind_get_stock_business_segmentation（2026-10-27）；逐股证据见Source列。</t>
        </is>
      </c>
    </row>
  </sheetData>
  <mergeCells count="10">
    <mergeCell ref="B26:H26"/>
    <mergeCell ref="C16:G16"/>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10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6" customWidth="1" min="4" max="4"/>
    <col width="10" customWidth="1" min="5" max="5"/>
    <col width="16" customWidth="1" min="6" max="6"/>
    <col width="55" customWidth="1" min="7" max="7"/>
    <col width="10" customWidth="1" min="8" max="8"/>
    <col width="115" customWidth="1" min="9" max="9"/>
    <col width="44" customWidth="1" min="10" max="10"/>
    <col width="14" customWidth="1" min="11" max="11"/>
    <col width="62" customWidth="1" min="12" max="12"/>
    <col width="74" customWidth="1" min="13" max="13"/>
  </cols>
  <sheetData>
    <row r="2" ht="32" customHeight="1">
      <c r="B2" s="1" t="inlineStr">
        <is>
          <t>军工 · 97只逐项复核</t>
        </is>
      </c>
    </row>
    <row r="3">
      <c r="B3" s="2" t="inlineStr">
        <is>
          <t>逐股核对军工产品、军用场景、客户与收入；区分真实军工配套和通用产品联想。</t>
        </is>
      </c>
    </row>
    <row r="4">
      <c r="B4" s="3" t="inlineStr">
        <is>
          <t>代码</t>
        </is>
      </c>
      <c r="C4" s="3" t="inlineStr">
        <is>
          <t>名称</t>
        </is>
      </c>
      <c r="D4" s="3" t="inlineStr">
        <is>
          <t>旧军工概念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6" customHeight="1">
      <c r="B5" s="4" t="inlineStr">
        <is>
          <t>000519</t>
        </is>
      </c>
      <c r="C5" s="4" t="inlineStr">
        <is>
          <t>中兵红箭</t>
        </is>
      </c>
      <c r="D5" s="5" t="inlineStr">
        <is>
          <t>军工：陆军</t>
        </is>
      </c>
      <c r="E5" s="4" t="inlineStr">
        <is>
          <t>纠错</t>
        </is>
      </c>
      <c r="F5" s="4" t="inlineStr">
        <is>
          <t>军工</t>
        </is>
      </c>
      <c r="G5" s="5" t="inlineStr">
        <is>
          <t>弹药与特种装备</t>
        </is>
      </c>
      <c r="H5" s="4" t="inlineStr">
        <is>
          <t>核心</t>
        </is>
      </c>
      <c r="I5" s="5" t="inlineStr">
        <is>
          <t>公司特种装备并非一般机械制造，年报明确其承担多个国家重点型号研发和生产，多型装备由科研转入首批生产，部分产品国内独家，直接服务部队装备建设；结合原资料所列弹药属性，应归入弹药与特种装备，而非宽泛的“陆军”。2025年特种装备收入72.6944亿元，占营业收入78.3856%；超硬材料16.1573亿元，占17.4223%，汽车制造占4.1921%，军工特种装备已是绝对主业，故列核心。旧标签只按军种分类，既不能体现弹药及特种装备产品实质，也把超硬材料民品混入印象，需细化为具体装备概念。</t>
        </is>
      </c>
      <c r="J5" s="4" t="inlineStr">
        <is>
          <t>中兵红箭：2025年年度报告</t>
        </is>
      </c>
      <c r="K5" s="4" t="inlineStr">
        <is>
          <t>2026-04-24</t>
        </is>
      </c>
      <c r="L5" s="5" t="inlineStr">
        <is>
          <t>iFinD ifind_get_stock_info + ifind_get_stock_business_segmentation (as of 2026-10-27)；中兵红箭：2025年年度报告</t>
        </is>
      </c>
      <c r="M5" s="6" t="inlineStr">
        <is>
          <t>https://static.cninfo.com.cn/finalpage/2026-04-24/1225160985.PDF</t>
        </is>
      </c>
    </row>
    <row r="6" ht="96" customHeight="1">
      <c r="B6" s="7" t="inlineStr">
        <is>
          <t>000547</t>
        </is>
      </c>
      <c r="C6" s="7" t="inlineStr">
        <is>
          <t>航天发展</t>
        </is>
      </c>
      <c r="D6" s="8" t="inlineStr">
        <is>
          <t>军工：军工电子-电子对抗</t>
        </is>
      </c>
      <c r="E6" s="7" t="inlineStr">
        <is>
          <t>纠错</t>
        </is>
      </c>
      <c r="F6" s="7" t="inlineStr">
        <is>
          <t>军工</t>
        </is>
      </c>
      <c r="G6" s="8" t="inlineStr">
        <is>
          <t>电子对抗与蓝军仿真、军用通信与指挥控制</t>
        </is>
      </c>
      <c r="H6" s="7" t="inlineStr">
        <is>
          <t>核心</t>
        </is>
      </c>
      <c r="I6" s="8" t="inlineStr">
        <is>
          <t>公司蓝军体系面向军队实战化训练、武器试验鉴定和体系对抗，产品包括数字及半实物仿真、靶标、复杂电磁环境构设、目标模拟和干扰设备，客户包括部队与军工科研院所；新一代通信与指控产品包括车船载及无人机通信节点、交换控制和军网终端，军用场景明确。2025年防务装备产业收入10.7674亿元，占43.0536%；其中蓝军装备及相关产品5.5495亿元、通信与指控5.6032亿元，合计构成重要收入来源，故列核心。旧“军工电子-电子对抗”只覆盖一部分，需补出蓝军仿真和军用通信指控两条实质产品线。</t>
        </is>
      </c>
      <c r="J6" s="7" t="inlineStr">
        <is>
          <t>航天发展：2025年年度报告</t>
        </is>
      </c>
      <c r="K6" s="7" t="inlineStr">
        <is>
          <t>2026-04-29</t>
        </is>
      </c>
      <c r="L6" s="8" t="inlineStr">
        <is>
          <t>iFinD ifind_get_stock_info + ifind_get_stock_business_segmentation (as of 2026-10-27)；航天发展：2025年年度报告</t>
        </is>
      </c>
      <c r="M6" s="9" t="inlineStr">
        <is>
          <t>https://static.cninfo.com.cn/finalpage/2026-04-29/1225247825.PDF</t>
        </is>
      </c>
    </row>
    <row r="7" ht="96" customHeight="1">
      <c r="B7" s="4" t="inlineStr">
        <is>
          <t>000561</t>
        </is>
      </c>
      <c r="C7" s="4" t="inlineStr">
        <is>
          <t>烽火电子</t>
        </is>
      </c>
      <c r="D7" s="5" t="inlineStr">
        <is>
          <t>军工：军工电子</t>
        </is>
      </c>
      <c r="E7" s="4" t="inlineStr">
        <is>
          <t>纠错</t>
        </is>
      </c>
      <c r="F7" s="4" t="inlineStr">
        <is>
          <t>军工</t>
        </is>
      </c>
      <c r="G7" s="5" t="inlineStr">
        <is>
          <t>军用通信与指挥控制、雷达与预警探测、航空机载系统与航电</t>
        </is>
      </c>
      <c r="H7" s="4" t="inlineStr">
        <is>
          <t>核心</t>
        </is>
      </c>
      <c r="I7" s="5" t="inlineStr">
        <is>
          <t>公司为通信装备、雷达及电声器材科研生产骨干企业，产品包括特种短波及无线通信设备、航空搜救定位设备、无线电高度表、多普勒雷达和导航设备，既服务部队通信与后勤保障，也直接配装航空平台，不是普通民用通信企业。2025年通信行业收入9.4464亿元，占56.4544%，雷达行业6.5467亿元，占39.1250%；分产品通信及配套6.9080亿元、雷达及配套6.5467亿元、电声器材2.5384亿元，通信和雷达合计占绝对主体，故列核心。旧“军工电子”过粗，且未反映2025年并入雷达业务后的结构，应拆为通信指控、雷达探测和航空机载航电。</t>
        </is>
      </c>
      <c r="J7" s="4" t="inlineStr">
        <is>
          <t>烽火电子：2025年年度报告</t>
        </is>
      </c>
      <c r="K7" s="4" t="inlineStr">
        <is>
          <t>2026-04-29</t>
        </is>
      </c>
      <c r="L7" s="5" t="inlineStr">
        <is>
          <t>iFinD ifind_get_stock_info + ifind_get_stock_business_segmentation (as of 2026-10-27)；烽火电子：2025年年度报告</t>
        </is>
      </c>
      <c r="M7" s="6" t="inlineStr">
        <is>
          <t>https://static.cninfo.com.cn/finalpage/2026-04-29/1225250693.PDF</t>
        </is>
      </c>
    </row>
    <row r="8" ht="96" customHeight="1">
      <c r="B8" s="7" t="inlineStr">
        <is>
          <t>000576</t>
        </is>
      </c>
      <c r="C8" s="7" t="inlineStr">
        <is>
          <t>甘化科工</t>
        </is>
      </c>
      <c r="D8" s="8" t="inlineStr">
        <is>
          <t>军工：军工电子</t>
        </is>
      </c>
      <c r="E8" s="7" t="inlineStr">
        <is>
          <t>纠错</t>
        </is>
      </c>
      <c r="F8" s="7" t="inlineStr">
        <is>
          <t>军工</t>
        </is>
      </c>
      <c r="G8" s="8" t="inlineStr">
        <is>
          <t>军工电源与电机电气、弹药与特种装备、红外光电与激光</t>
        </is>
      </c>
      <c r="H8" s="7" t="inlineStr">
        <is>
          <t>核心</t>
        </is>
      </c>
      <c r="I8" s="8" t="inlineStr">
        <is>
          <t>公司年报明确三块主营均为军工产品：升华电源的模块及定制电源用于机载、舰载、弹载武器平台，客户为军工企业、科研院所和军工厂；沈阳含能的钨球、钨环、钨柱预制破片用于炮弹、火箭弹和导弹毁伤部件；甘鑫科技红外等光电成像组件用于弹载、车载、无人装备的目标探测、定位和瞄准。2025年电源及相关产品收入2.5090亿元，高性能特种合金材料制品2.1078亿元，光电成像系统0.2888亿元，制造业整体占97.0509%，军工已是主营业务，故由旧“相关”上调为核心。旧“军工电子”无法覆盖弹药破片，需按电源、弹药和光电三条产品线纠正。</t>
        </is>
      </c>
      <c r="J8" s="7" t="inlineStr">
        <is>
          <t>甘化科工：2025年年度报告</t>
        </is>
      </c>
      <c r="K8" s="7" t="inlineStr">
        <is>
          <t>2026-04-20</t>
        </is>
      </c>
      <c r="L8" s="8" t="inlineStr">
        <is>
          <t>iFinD ifind_get_stock_info + ifind_get_stock_business_segmentation (as of 2026-10-27)；甘化科工：2025年年度报告</t>
        </is>
      </c>
      <c r="M8" s="9" t="inlineStr">
        <is>
          <t>https://static.cninfo.com.cn/finalpage/2026-04-20/1225119259.PDF</t>
        </is>
      </c>
    </row>
    <row r="9" ht="96" customHeight="1">
      <c r="B9" s="4" t="inlineStr">
        <is>
          <t>000733</t>
        </is>
      </c>
      <c r="C9" s="4" t="inlineStr">
        <is>
          <t>振华科技</t>
        </is>
      </c>
      <c r="D9" s="5" t="inlineStr">
        <is>
          <t>军工：军工电子</t>
        </is>
      </c>
      <c r="E9" s="4" t="inlineStr">
        <is>
          <t>纠错</t>
        </is>
      </c>
      <c r="F9" s="4" t="inlineStr">
        <is>
          <t>军工</t>
        </is>
      </c>
      <c r="G9" s="5" t="inlineStr">
        <is>
          <t>军工被动元件与连接器、军工芯片与特种集成电路、军工电源与电机电气</t>
        </is>
      </c>
      <c r="H9" s="4" t="inlineStr">
        <is>
          <t>核心</t>
        </is>
      </c>
      <c r="I9" s="5" t="inlineStr">
        <is>
          <t>公司新型电子元器件直接服务国家战略重点型号，基础产品包括电阻、电容、电感、半导体分立器件、继电器和连接器，混合集成电路包括厚膜电源、微电路模块、电源组件、射频模块及电机驱动，年报明确应用于航空、航天、兵器、船舶和核工业等重点领域，已有实际型号配套而非潜在军用。2025年电子元器件制造业收入57.5497亿元，占100.0000%，其中新型电子元器件57.0999亿元，现代服务业仅0.4499亿元；但未单列军品收入，不能把全部收入等同军工。基于规模化的重点型号元器件主业列核心。旧“军工电子”和“MLCC”只指向单一元件，应扩展为被动元件、特种集成电路及电源电机控制。</t>
        </is>
      </c>
      <c r="J9" s="4" t="inlineStr">
        <is>
          <t>振华科技：2025年年度报告</t>
        </is>
      </c>
      <c r="K9" s="4" t="inlineStr">
        <is>
          <t>2026-04-29</t>
        </is>
      </c>
      <c r="L9" s="5" t="inlineStr">
        <is>
          <t>iFinD ifind_get_stock_info + ifind_get_stock_business_segmentation (as of 2026-10-27)；振华科技：2025年年度报告</t>
        </is>
      </c>
      <c r="M9" s="6" t="inlineStr">
        <is>
          <t>https://static.cninfo.com.cn/finalpage/2026-04-29/1225246300.PDF</t>
        </is>
      </c>
    </row>
    <row r="10" ht="96" customHeight="1">
      <c r="B10" s="7" t="inlineStr">
        <is>
          <t>000738</t>
        </is>
      </c>
      <c r="C10" s="7" t="inlineStr">
        <is>
          <t>航发控制</t>
        </is>
      </c>
      <c r="D10" s="8" t="inlineStr">
        <is>
          <t>军工：航空发动机</t>
        </is>
      </c>
      <c r="E10" s="7" t="inlineStr">
        <is>
          <t>纠错</t>
        </is>
      </c>
      <c r="F10" s="7" t="inlineStr">
        <is>
          <t>军工</t>
        </is>
      </c>
      <c r="G10" s="8" t="inlineStr">
        <is>
          <t>航空发动机与燃气轮机</t>
        </is>
      </c>
      <c r="H10" s="7" t="inlineStr">
        <is>
          <t>核心</t>
        </is>
      </c>
      <c r="I10" s="8" t="inlineStr">
        <is>
          <t>公司核心产品是军民用航空发动机及燃气轮机控制系统，承担在研在役型号研制、生产、维修和保障，产品配装涡喷、涡扇、涡轴、涡桨发动机以及无人机、舰船和弹用动力装置；衍生产品还包括地面战车电液作动装置和弹用动力控制部件，均为明确装备场景。2025年发动机控制系统及部件收入45.8190亿元，按年报分产品口径占88.60%；国际合作4.0232亿元，控制系统技术衍生品1.8741亿元，主营集中度很高，故列核心。旧“航空发动机”容易误解为公司制造整台发动机，实际壁垒在控制、燃油调节及作动系统，应统一细化到航空发动机与燃气轮机概念。</t>
        </is>
      </c>
      <c r="J10" s="7" t="inlineStr">
        <is>
          <t>航发控制：2025年年度报告</t>
        </is>
      </c>
      <c r="K10" s="7" t="inlineStr">
        <is>
          <t>2026-03-27</t>
        </is>
      </c>
      <c r="L10" s="8" t="inlineStr">
        <is>
          <t>iFinD ifind_get_stock_info + ifind_get_stock_business_segmentation (as of 2026-10-27)；航发控制：2025年年度报告</t>
        </is>
      </c>
      <c r="M10" s="9" t="inlineStr">
        <is>
          <t>https://static.cninfo.com.cn/finalpage/2026-03-27/1225036461.PDF</t>
        </is>
      </c>
    </row>
    <row r="11" ht="96" customHeight="1">
      <c r="B11" s="4" t="inlineStr">
        <is>
          <t>000768</t>
        </is>
      </c>
      <c r="C11" s="4" t="inlineStr">
        <is>
          <t>中航西飞</t>
        </is>
      </c>
      <c r="D11" s="5" t="inlineStr">
        <is>
          <t>军工：军贸</t>
        </is>
      </c>
      <c r="E11" s="4" t="inlineStr">
        <is>
          <t>纠错</t>
        </is>
      </c>
      <c r="F11" s="4" t="inlineStr">
        <is>
          <t>军工</t>
        </is>
      </c>
      <c r="G11" s="5" t="inlineStr">
        <is>
          <t>航空整机-固定翼、航空结构件与锻铸件</t>
        </is>
      </c>
      <c r="H11" s="4" t="inlineStr">
        <is>
          <t>核心</t>
        </is>
      </c>
      <c r="I11" s="5" t="inlineStr">
        <is>
          <t>公司直接研制生产军用大中型运输机、轰炸机和特种飞机，运输机承担远程投送、兵力部署，轰炸机承担远程打击，特种飞机承担空基指挥、空中受油、海空侦察和电磁制压，同时生产军民用航空零部件，属于真实整机总装与结构件业务。2025年航空工业产品收入405.4801亿元，占98.8645%，其他工业产品4.6572亿元，占1.1355%；飞机产品分部没有将军机和民机收入独立拆开，不能将全部航空收入都视作军品，但军用大中型固定翼整机是公司明确核心产品，故列核心。旧“军贸”“空军”只描述销售区域或军种，遗漏整机与航空结构件实质，需据产品重新标注。</t>
        </is>
      </c>
      <c r="J11" s="4" t="inlineStr">
        <is>
          <t>中航西飞：2025年年度报告</t>
        </is>
      </c>
      <c r="K11" s="4" t="inlineStr">
        <is>
          <t>2026-03-31</t>
        </is>
      </c>
      <c r="L11" s="5" t="inlineStr">
        <is>
          <t>iFinD ifind_get_stock_info + ifind_get_stock_business_segmentation (as of 2026-10-27)；中航西飞：2025年年度报告</t>
        </is>
      </c>
      <c r="M11" s="6" t="inlineStr">
        <is>
          <t>https://static.cninfo.com.cn/finalpage/2026-03-31/1225052459.PDF</t>
        </is>
      </c>
    </row>
    <row r="12" ht="96" customHeight="1">
      <c r="B12" s="7" t="inlineStr">
        <is>
          <t>000901</t>
        </is>
      </c>
      <c r="C12" s="7" t="inlineStr">
        <is>
          <t>航天科技</t>
        </is>
      </c>
      <c r="D12" s="8" t="inlineStr">
        <is>
          <t>军工：惯性导航</t>
        </is>
      </c>
      <c r="E12" s="7" t="inlineStr">
        <is>
          <t>纠错</t>
        </is>
      </c>
      <c r="F12" s="7" t="inlineStr">
        <is>
          <t>军工</t>
        </is>
      </c>
      <c r="G12" s="8" t="inlineStr">
        <is>
          <t>军用导航与惯导、航天装备与分系统</t>
        </is>
      </c>
      <c r="H12" s="7" t="inlineStr">
        <is>
          <t>相关</t>
        </is>
      </c>
      <c r="I12" s="8" t="inlineStr">
        <is>
          <t>公司航天应用板块就是军工业务，加速度传感器主要面向军品，用于航天、航空、船舶和兵器的惯性导航系统；另有发动机及舵机零部件、伺服装配、军用电缆、光纤环圈，以及服务航天研究院武器研制和批产保障的测试测控系统，军工落地清晰。2025年航天产品收入8.7787亿元，占15.8971%；汽车电子仪表42.4814亿元，占76.9282%，平台软件及感知设备3.7289亿元，占6.7526%，说明收入仍以汽车电子为主，军工虽是重要板块但未占主导，故由旧“核心”下调为相关。旧“惯性导航”“航天配套”方向基本正确，但需明确惯导器件与航天分系统、测试保障的产品边界。</t>
        </is>
      </c>
      <c r="J12" s="7" t="inlineStr">
        <is>
          <t>航天科技：2025年年度报告</t>
        </is>
      </c>
      <c r="K12" s="7" t="inlineStr">
        <is>
          <t>2026-04-29</t>
        </is>
      </c>
      <c r="L12" s="8" t="inlineStr">
        <is>
          <t>iFinD ifind_get_stock_info + ifind_get_stock_business_segmentation (as of 2026-10-27)；航天科技：2025年年度报告</t>
        </is>
      </c>
      <c r="M12" s="9" t="inlineStr">
        <is>
          <t>https://static.cninfo.com.cn/finalpage/2026-04-29/1225227513.PDF</t>
        </is>
      </c>
    </row>
    <row r="13" ht="96" customHeight="1">
      <c r="B13" s="4" t="inlineStr">
        <is>
          <t>002025</t>
        </is>
      </c>
      <c r="C13" s="4" t="inlineStr">
        <is>
          <t>航天电器</t>
        </is>
      </c>
      <c r="D13" s="5" t="inlineStr">
        <is>
          <t>军工：军工电子</t>
        </is>
      </c>
      <c r="E13" s="4" t="inlineStr">
        <is>
          <t>纠错</t>
        </is>
      </c>
      <c r="F13" s="4" t="inlineStr">
        <is>
          <t>军工</t>
        </is>
      </c>
      <c r="G13" s="5" t="inlineStr">
        <is>
          <t>军工被动元件与连接器、军工电源与电机电气</t>
        </is>
      </c>
      <c r="H13" s="4" t="inlineStr">
        <is>
          <t>核心</t>
        </is>
      </c>
      <c r="I13" s="5" t="inlineStr">
        <is>
          <t>公司高端连接器、线缆组件、微特电机与控制组件、密封及特种继电器、光电器件已实际销售给航天、航空、电子、舰船和兵器客户，年报明确军品基本覆盖全部防务装备领域，并承担载人航天、探月、北斗和火星探测等工程配套，不是通用连接器可军用的推断。2025年连接器收入39.8420亿元，电机13.5794亿元，继电器2.4040亿元，光通信器件1.3175亿元；电子元器件制造业收入57.1429亿元，占98.1864%，但未独立拆分军品与民品。防务配套是规模化核心业务，故列核心。旧“军工电子”“连接器”需要收敛为军工被动元件与连接器，并补充微特电机和控制组件对应的电源电机电气概念。</t>
        </is>
      </c>
      <c r="J13" s="4" t="inlineStr">
        <is>
          <t>航天电器：2025年年度报告</t>
        </is>
      </c>
      <c r="K13" s="4" t="inlineStr">
        <is>
          <t>2026-03-31</t>
        </is>
      </c>
      <c r="L13" s="5" t="inlineStr">
        <is>
          <t>iFinD ifind_get_stock_info + ifind_get_stock_business_segmentation (as of 2026-10-27)；航天电器：2025年年度报告</t>
        </is>
      </c>
      <c r="M13" s="6" t="inlineStr">
        <is>
          <t>https://static.cninfo.com.cn/finalpage/2026-03-31/1225054265.PDF</t>
        </is>
      </c>
    </row>
    <row r="14" ht="96" customHeight="1">
      <c r="B14" s="7" t="inlineStr">
        <is>
          <t>002049</t>
        </is>
      </c>
      <c r="C14" s="7" t="inlineStr">
        <is>
          <t>紫光国微</t>
        </is>
      </c>
      <c r="D14" s="8" t="inlineStr">
        <is>
          <t>军工：军工电子-军工芯片</t>
        </is>
      </c>
      <c r="E14" s="7" t="inlineStr">
        <is>
          <t>纠错</t>
        </is>
      </c>
      <c r="F14" s="7" t="inlineStr">
        <is>
          <t>军工</t>
        </is>
      </c>
      <c r="G14" s="8" t="inlineStr">
        <is>
          <t>军工芯片与特种集成电路</t>
        </is>
      </c>
      <c r="H14" s="7" t="inlineStr">
        <is>
          <t>核心</t>
        </is>
      </c>
      <c r="I14" s="8" t="inlineStr">
        <is>
          <t>公司特种集成电路已形成处理器、可编程器件、存储器、网络与接口、模拟器件、ASIC及SoPC等八百多个货架品种，宇航用耐辐照FPGA、回读刷新芯片、存储器和总线接口已获得核心用户应用并产生持续收入，属于高可靠特种芯片实际供货，而非把普通安全芯片泛化为军工。2025年特种集成电路收入32.1201亿元，占52.26%；智能安全芯片25.4714亿元，占41.45%，晶体元器件3.2029亿元，占5.2116%，特种集成电路已超过半数且为两大主业之一，故列核心。旧“军工电子-军工芯片”与业务一致，但应改用产品实质更明确的军工芯片与特种集成电路，并避免把民用智能安全芯片一并计入军工。</t>
        </is>
      </c>
      <c r="J14" s="7" t="inlineStr">
        <is>
          <t>紫光国微：2025年年度报告</t>
        </is>
      </c>
      <c r="K14" s="7" t="inlineStr">
        <is>
          <t>2026-04-21</t>
        </is>
      </c>
      <c r="L14" s="8" t="inlineStr">
        <is>
          <t>iFinD ifind_get_stock_info + ifind_get_stock_business_segmentation (as of 2026-10-27)；紫光国微：2025年年度报告</t>
        </is>
      </c>
      <c r="M14" s="9" t="inlineStr">
        <is>
          <t>https://static.cninfo.com.cn/finalpage/2026-04-21/1225133393.PDF</t>
        </is>
      </c>
    </row>
    <row r="15" ht="96" customHeight="1">
      <c r="B15" s="4" t="inlineStr">
        <is>
          <t>002111</t>
        </is>
      </c>
      <c r="C15" s="4" t="inlineStr">
        <is>
          <t>威海广泰</t>
        </is>
      </c>
      <c r="D15" s="5" t="inlineStr">
        <is>
          <t>军工：航空地面装备</t>
        </is>
      </c>
      <c r="E15" s="4" t="inlineStr">
        <is>
          <t>纠错</t>
        </is>
      </c>
      <c r="F15" s="4" t="inlineStr">
        <is>
          <t>军工</t>
        </is>
      </c>
      <c r="G15" s="5" t="inlineStr">
        <is>
          <t>航空地面保障装备、军用无人装备与机器人</t>
        </is>
      </c>
      <c r="H15" s="4" t="inlineStr">
        <is>
          <t>相关</t>
        </is>
      </c>
      <c r="I15" s="5" t="inlineStr">
        <is>
          <t>公司军工相关性来自真实历史军用空港装备、靶机和军品特种装备订单，而不是把民航地勤设备直接军工化。2024年官方投资者关系记录仍将军队、武警列为客户，2019年军方靶机及军品特种装备中标也证明已有军工交付；但2025年披露重点已转向民航空港、消防应急和民用无人机，空港地面设备收入21.0201亿元、消防设备10.7719亿元，军品收入未独立拆分，当前民用业务明显为主，故由初审摘除修正为相关而非核心。旧航空地面装备方向可保留，并补充军用无人装备与机器人，同时剔除全部空港收入皆属军工的错误理解。</t>
        </is>
      </c>
      <c r="J15" s="4" t="inlineStr">
        <is>
          <t>威海广泰空港设备股份有限公司投资者关系活动记录表</t>
        </is>
      </c>
      <c r="K15" s="4" t="inlineStr">
        <is>
          <t>2024-05-16</t>
        </is>
      </c>
      <c r="L15" s="5" t="inlineStr">
        <is>
          <t>iFinD ifind_get_stock_info + ifind_get_stock_business_segmentation (as of 2026-10-27)；威海广泰空港设备股份有限公司投资者关系活动记录表</t>
        </is>
      </c>
      <c r="M15" s="6" t="inlineStr">
        <is>
          <t>http://notice.10jqka.com.cn/api/pdf/76e3ea0cfcc94665.pdf</t>
        </is>
      </c>
    </row>
    <row r="16" ht="96" customHeight="1">
      <c r="B16" s="7" t="inlineStr">
        <is>
          <t>002149</t>
        </is>
      </c>
      <c r="C16" s="7" t="inlineStr">
        <is>
          <t>西部材料</t>
        </is>
      </c>
      <c r="D16" s="8" t="inlineStr">
        <is>
          <t>军工：军工材料</t>
        </is>
      </c>
      <c r="E16" s="7" t="inlineStr">
        <is>
          <t>纠错</t>
        </is>
      </c>
      <c r="F16" s="7" t="inlineStr">
        <is>
          <t>军工</t>
        </is>
      </c>
      <c r="G16" s="8" t="inlineStr">
        <is>
          <t>军工材料-钛合金与高温合金、军工材料-其他关键材料</t>
        </is>
      </c>
      <c r="H16" s="7" t="inlineStr">
        <is>
          <t>相关</t>
        </is>
      </c>
      <c r="I16" s="8" t="inlineStr">
        <is>
          <t>公司钛锆加工材已有可核验型号应用：航空航天用钛合金薄板及厚板在多个重点型号批量应用，舰船用钛合金板、环材和锻件通过型号鉴定并批量供货，兵器用高防护钛合金形成生产体系，客户覆盖中航工业、中国船舶、中国兵器和中国航发；航天用高温铌合金亦用于液体火箭发动机。2025年稀有金属压延加工收入32.3054亿元，占100%；钛制品22.0974亿元，其他金属产品8.6894亿元，其他业务1.5185亿元，但军工与化工、核电等民用收入未独立拆分。鉴于真实批产配套明确而民用材料收入体量也大，列相关较旧“核心”更审慎。旧“军工材料”过粗，需区分钛合金与高温合金及其他稀有金属关键材料。</t>
        </is>
      </c>
      <c r="J16" s="7" t="inlineStr">
        <is>
          <t>西部材料：2025年年度报告</t>
        </is>
      </c>
      <c r="K16" s="7" t="inlineStr">
        <is>
          <t>2026-04-28</t>
        </is>
      </c>
      <c r="L16" s="8" t="inlineStr">
        <is>
          <t>iFinD ifind_get_stock_info + ifind_get_stock_business_segmentation (as of 2026-10-27)；西部材料：2025年年度报告</t>
        </is>
      </c>
      <c r="M16" s="9" t="inlineStr">
        <is>
          <t>https://static.cninfo.com.cn/finalpage/2026-04-28/1225216013.PDF</t>
        </is>
      </c>
    </row>
    <row r="17" ht="96" customHeight="1">
      <c r="B17" s="4" t="inlineStr">
        <is>
          <t>002151</t>
        </is>
      </c>
      <c r="C17" s="4" t="inlineStr">
        <is>
          <t>北斗星通</t>
        </is>
      </c>
      <c r="D17" s="5" t="inlineStr">
        <is>
          <t>军工：卫星-北斗导航</t>
        </is>
      </c>
      <c r="E17" s="4" t="inlineStr">
        <is>
          <t>纠错</t>
        </is>
      </c>
      <c r="F17" s="4" t="inlineStr">
        <is>
          <t>军工</t>
        </is>
      </c>
      <c r="G17" s="5" t="inlineStr">
        <is>
          <t>军用导航与惯导、军工芯片与特种集成电路</t>
        </is>
      </c>
      <c r="H17" s="4" t="inlineStr">
        <is>
          <t>相关</t>
        </is>
      </c>
      <c r="I17" s="5" t="inlineStr">
        <is>
          <t>公司并非只有民用北斗概念，年报产品清单明确包含特种基带芯片、特种射频基带一体化芯片、抗干扰芯片、特种类单点定位模块、RNSS/RDSS双模定位及高动态定位模块；同时披露部分产品已办理军品生产合同登记备案并执行军工产品增值税政策，可核验存在实际军品业务，而非单纯导航可军用。2025年芯片及数据服务收入11.6959亿元，占52.8603%，导航产品8.6004亿元，占38.8703%，陶瓷元器件1.8297亿元，占8.2694%，但未单列上述特种芯片和模块收入，且车载、消费和行业民用市场占重要位置，故列相关而非核心。旧“卫星-北斗导航”范围过宽，应聚焦军用导航与特种芯片。</t>
        </is>
      </c>
      <c r="J17" s="4" t="inlineStr">
        <is>
          <t>北斗星通：2025年年度报告</t>
        </is>
      </c>
      <c r="K17" s="4" t="inlineStr">
        <is>
          <t>2026-03-26</t>
        </is>
      </c>
      <c r="L17" s="5" t="inlineStr">
        <is>
          <t>iFinD ifind_get_stock_info + ifind_get_stock_business_segmentation (as of 2026-10-27)；北斗星通：2025年年度报告</t>
        </is>
      </c>
      <c r="M17" s="6" t="inlineStr">
        <is>
          <t>https://static.cninfo.com.cn/finalpage/2026-03-26/1225030960.PDF</t>
        </is>
      </c>
    </row>
    <row r="18" ht="96" customHeight="1">
      <c r="B18" s="7" t="inlineStr">
        <is>
          <t>002179</t>
        </is>
      </c>
      <c r="C18" s="7" t="inlineStr">
        <is>
          <t>中航光电</t>
        </is>
      </c>
      <c r="D18" s="8" t="inlineStr">
        <is>
          <t>军工：军工电子、MPO/连接器、连接器</t>
        </is>
      </c>
      <c r="E18" s="7" t="inlineStr">
        <is>
          <t>纠错</t>
        </is>
      </c>
      <c r="F18" s="7" t="inlineStr">
        <is>
          <t>军工</t>
        </is>
      </c>
      <c r="G18" s="8" t="inlineStr">
        <is>
          <t>军工被动元件与连接器</t>
        </is>
      </c>
      <c r="H18" s="7" t="inlineStr">
        <is>
          <t>核心</t>
        </is>
      </c>
      <c r="I18" s="8" t="inlineStr">
        <is>
          <t>公司专业为航空及防务提供互连解决方案，电连接器、光连接器、流体连接器、线缆组件和集成化设备已用于防务领域，代表产品包括GJB598、GJB599、D38999、VPX、1553B及1394总线组件、宇航和深水密封等特种连接器，年报还明确其防务首选互连方案供应商地位，属于真实批量配套。2025年连接器行业收入210.7280亿元，占98.5352%；电连接器及集成互连组件159.4267亿元，光连接器及其他光器件36.5877亿元，流体连接器、齿科及其他17.8462亿元，未独立披露防务收入，不能将民机和数据中心收入全算军工。防务是长期核心市场且产品规模大，故列核心。旧“军工电子”及重复的MPO标签需统一为军工被动元件与连接器。</t>
        </is>
      </c>
      <c r="J18" s="7" t="inlineStr">
        <is>
          <t>中航光电：2025年年度报告</t>
        </is>
      </c>
      <c r="K18" s="7" t="inlineStr">
        <is>
          <t>2026-03-28</t>
        </is>
      </c>
      <c r="L18" s="8" t="inlineStr">
        <is>
          <t>iFinD ifind_get_stock_info + ifind_get_stock_business_segmentation (as of 2026-10-27)；中航光电：2025年年度报告</t>
        </is>
      </c>
      <c r="M18" s="9" t="inlineStr">
        <is>
          <t>https://static.cninfo.com.cn/finalpage/2026-03-28/1225044952.PDF</t>
        </is>
      </c>
    </row>
    <row r="19" ht="96" customHeight="1">
      <c r="B19" s="4" t="inlineStr">
        <is>
          <t>002190</t>
        </is>
      </c>
      <c r="C19" s="4" t="inlineStr">
        <is>
          <t>成飞集成</t>
        </is>
      </c>
      <c r="D19" s="5" t="inlineStr">
        <is>
          <t>军工：军工配套</t>
        </is>
      </c>
      <c r="E19" s="4" t="inlineStr">
        <is>
          <t>纠错</t>
        </is>
      </c>
      <c r="F19" s="4" t="inlineStr">
        <is>
          <t>军工</t>
        </is>
      </c>
      <c r="G19" s="5" t="inlineStr">
        <is>
          <t>航空结构件与锻铸件</t>
        </is>
      </c>
      <c r="H19" s="4" t="inlineStr">
        <is>
          <t>相关</t>
        </is>
      </c>
      <c r="I19" s="5" t="inlineStr">
        <is>
          <t>公司航空零部件由母公司承制，采用数控加工和部件装配方式，可加工铝合金、钛合金、钢材和蜂窝复材飞机结构类零件，已与国内飞机制造主机厂形成长期稳定合作，并在多种机型承接装配任务，符合真实主机厂配套而非借成飞名称推断军工。2025年航空零部件收入1.0342亿元，仅占4.48%；工装模具及汽车零部件收入21.8668亿元，占94.74%，其他业务0.1801亿元，说明汽车业务占绝对主导，且航空分部没有进一步拆分军机与民机，故列相关。旧“军工配套”过于笼统，既不能说明产品也不能体现收入边缘性，应细化为航空结构件与锻铸件，并保留其非核心定位。</t>
        </is>
      </c>
      <c r="J19" s="4" t="inlineStr">
        <is>
          <t>成飞集成：2025年年度报告</t>
        </is>
      </c>
      <c r="K19" s="4" t="inlineStr">
        <is>
          <t>2026-03-14</t>
        </is>
      </c>
      <c r="L19" s="5" t="inlineStr">
        <is>
          <t>iFinD ifind_get_stock_info + ifind_get_stock_business_segmentation (as of 2026-10-27)；成飞集成：2025年年度报告</t>
        </is>
      </c>
      <c r="M19" s="6" t="inlineStr">
        <is>
          <t>https://static.cninfo.com.cn/finalpage/2026-03-14/1225009102.PDF</t>
        </is>
      </c>
    </row>
    <row r="20" ht="96" customHeight="1">
      <c r="B20" s="7" t="inlineStr">
        <is>
          <t>002222</t>
        </is>
      </c>
      <c r="C20" s="7" t="inlineStr">
        <is>
          <t>福晶科技</t>
        </is>
      </c>
      <c r="D20" s="8" t="inlineStr">
        <is>
          <t>军工：军工电子-激光晶体</t>
        </is>
      </c>
      <c r="E20" s="7" t="inlineStr">
        <is>
          <t>摘除</t>
        </is>
      </c>
      <c r="F20" s="7" t="inlineStr">
        <is>
          <t>—</t>
        </is>
      </c>
      <c r="G20" s="8" t="inlineStr">
        <is>
          <t>—</t>
        </is>
      </c>
      <c r="H20" s="7" t="inlineStr">
        <is>
          <t>摘除</t>
        </is>
      </c>
      <c r="I20" s="8" t="inlineStr">
        <is>
          <t>公司主营晶体元器件、精密光学元件和激光器件，年报列示用途为固体及光纤激光器、光通信、AR、激光雷达、半导体设备、工业测量、生命科学和精密仪器等，未披露军用激光器、武器装备型号、军工客户或军品合同，不能因激光晶体具有潜在军事用途就归入红外光电与激光军工概念。2025年光电子行业收入11.5778亿元，占100%；激光光学元器件4.5501亿元，非线性光学晶体2.6669亿元，激光器件2.0405亿元，激光晶体2.0194亿元，其他0.3008亿元，所有分部均未独立披露军工收入。基于现有可核验资料应摘除。旧“军工电子-激光晶体”把通用光电元器件直接等同军工核心，证据不足且定位过度。</t>
        </is>
      </c>
      <c r="J20" s="7" t="inlineStr">
        <is>
          <t>福晶科技：2025年年度报告</t>
        </is>
      </c>
      <c r="K20" s="7" t="inlineStr">
        <is>
          <t>2026-04-29</t>
        </is>
      </c>
      <c r="L20" s="8" t="inlineStr">
        <is>
          <t>iFinD ifind_get_stock_info + ifind_get_stock_business_segmentation (as of 2026-10-27)；福晶科技：2025年年度报告</t>
        </is>
      </c>
      <c r="M20" s="9" t="inlineStr">
        <is>
          <t>https://static.cninfo.com.cn/finalpage/2026-04-29/1225227139.pdf</t>
        </is>
      </c>
    </row>
    <row r="21" ht="96" customHeight="1">
      <c r="B21" s="4" t="inlineStr">
        <is>
          <t>002265</t>
        </is>
      </c>
      <c r="C21" s="4" t="inlineStr">
        <is>
          <t>建设工业</t>
        </is>
      </c>
      <c r="D21" s="5" t="inlineStr">
        <is>
          <t>军工：军工配套</t>
        </is>
      </c>
      <c r="E21" s="4" t="inlineStr">
        <is>
          <t>纠错</t>
        </is>
      </c>
      <c r="F21" s="4" t="inlineStr">
        <is>
          <t>军工</t>
        </is>
      </c>
      <c r="G21" s="5" t="inlineStr">
        <is>
          <t>枪械与单兵装备</t>
        </is>
      </c>
      <c r="H21" s="4" t="inlineStr">
        <is>
          <t>核心</t>
        </is>
      </c>
      <c r="I21" s="5" t="inlineStr">
        <is>
          <t>公司特品明确为轻型武器装备，产品实现谱系、口径和市场覆盖，属于枪械类轻武器研发制造，并推进武器装备机械化、信息化、智能化融合及有人、无人平台拓展，外贸产品已出口多个国家和地区；这不是汽车零部件业务衍生的泛军工标签。2025年机械制造业收入45.0998亿元，占100.0000%，输入未提供特品、汽车零部件和新兴产业的独立收入拆分，因此不能把全部制造业收入都视为军工，也不能虚构轻武器占比。年报同时明确主营业务以轻型武器装备为主、汽车零部件和战略性新兴产业为支撑，故列核心。旧“军工配套”严重低估并模糊了公司总装产品属性，应纠正为枪械与单兵装备。</t>
        </is>
      </c>
      <c r="J21" s="4" t="inlineStr">
        <is>
          <t>建设工业：2025年年度报告</t>
        </is>
      </c>
      <c r="K21" s="4" t="inlineStr">
        <is>
          <t>2026-04-23</t>
        </is>
      </c>
      <c r="L21" s="5" t="inlineStr">
        <is>
          <t>iFinD ifind_get_stock_info + ifind_get_stock_business_segmentation (as of 2026-10-27)；建设工业：2025年年度报告</t>
        </is>
      </c>
      <c r="M21" s="6" t="inlineStr">
        <is>
          <t>https://static.cninfo.com.cn/finalpage/2026-04-23/1225148136.PDF</t>
        </is>
      </c>
    </row>
    <row r="22" ht="96" customHeight="1">
      <c r="B22" s="7" t="inlineStr">
        <is>
          <t>002342</t>
        </is>
      </c>
      <c r="C22" s="7" t="inlineStr">
        <is>
          <t>巨力索具</t>
        </is>
      </c>
      <c r="D22" s="8" t="inlineStr">
        <is>
          <t>军工：军工材料</t>
        </is>
      </c>
      <c r="E22" s="7" t="inlineStr">
        <is>
          <t>摘除</t>
        </is>
      </c>
      <c r="F22" s="7" t="inlineStr">
        <is>
          <t>—</t>
        </is>
      </c>
      <c r="G22" s="8" t="inlineStr">
        <is>
          <t>—</t>
        </is>
      </c>
      <c r="H22" s="7" t="inlineStr">
        <is>
          <t>摘除</t>
        </is>
      </c>
      <c r="I22" s="8" t="inlineStr">
        <is>
          <t>公司实际产品为工程及金属索具、钢丝绳及索具、合成纤维吊装带、链条和夹具吊梁等，应用于工程吊装和通用装备连接，2025年报未披露军用索具型号、军工客户、军品合同或武器装备批量配套，不能仅因索具可能用于舰船、航空或重型装备吊装就认定为军工材料。2025年金属制品业收入10.2495亿元，占39.8764%，通用设备制造业9.9819亿元，占38.8350%，纺织业3.9918亿元，占15.5301%；分产品工程及金属索具12.4897亿元、钢丝绳及索具7.3060亿元、合成纤维吊装带3.9918亿元，均无军工独立拆分。故摘除。旧“军工材料”在产品和材料属性上均不准确，且旧“边缘”也不足以表达缺乏军工落地证据。</t>
        </is>
      </c>
      <c r="J22" s="7" t="inlineStr">
        <is>
          <t>巨力索具：2025年年度报告</t>
        </is>
      </c>
      <c r="K22" s="7" t="inlineStr">
        <is>
          <t>2026-04-10</t>
        </is>
      </c>
      <c r="L22" s="8" t="inlineStr">
        <is>
          <t>iFinD ifind_get_stock_info + ifind_get_stock_business_segmentation (as of 2026-10-27)；巨力索具：2025年年度报告</t>
        </is>
      </c>
      <c r="M22" s="9" t="inlineStr">
        <is>
          <t>https://static.cninfo.com.cn/finalpage/2026-04-10/1225088185.PDF</t>
        </is>
      </c>
    </row>
    <row r="23" ht="96" customHeight="1">
      <c r="B23" s="4" t="inlineStr">
        <is>
          <t>002383</t>
        </is>
      </c>
      <c r="C23" s="4" t="inlineStr">
        <is>
          <t>合众思壮</t>
        </is>
      </c>
      <c r="D23" s="5" t="inlineStr">
        <is>
          <t>军工：军工电子</t>
        </is>
      </c>
      <c r="E23" s="4" t="inlineStr">
        <is>
          <t>摘除</t>
        </is>
      </c>
      <c r="F23" s="4" t="inlineStr">
        <is>
          <t>—</t>
        </is>
      </c>
      <c r="G23" s="5" t="inlineStr">
        <is>
          <t>—</t>
        </is>
      </c>
      <c r="H23" s="4" t="inlineStr">
        <is>
          <t>摘除</t>
        </is>
      </c>
      <c r="I23" s="5" t="inlineStr">
        <is>
          <t>公司主营卫星导航定位软硬件，当前产品集中于测量测绘、建筑施工、资源与公共事业、农机和工程机械智能控制。年报虽提到施工系统可用于国防、机场等工程建设，但这只是高精度定位设备的应用范围描述，未给出军用导航终端、抗干扰军品、军队客户、型号配套或军品合同，不能据此确认军工业务。2025年测量测绘与建筑工程收入5.7122亿元，占41.7133%，资源与公共事业4.3390亿元，占31.6855%，智能制造2.0019亿元，占14.6188%，其他1.6409亿元；卫星导航系统技术及设备收入13.6941亿元，未独立披露军工收入。民用为主且缺乏可核验军用落地，故摘除。旧“军工电子”和“军民两用”表述把潜在用途误作实际业务。</t>
        </is>
      </c>
      <c r="J23" s="4" t="inlineStr">
        <is>
          <t>合众思壮：2025年年度报告</t>
        </is>
      </c>
      <c r="K23" s="4" t="inlineStr">
        <is>
          <t>2026-04-23</t>
        </is>
      </c>
      <c r="L23" s="5" t="inlineStr">
        <is>
          <t>iFinD ifind_get_stock_info + ifind_get_stock_business_segmentation (as of 2026-10-27)；合众思壮：2025年年度报告</t>
        </is>
      </c>
      <c r="M23" s="6" t="inlineStr">
        <is>
          <t>https://static.cninfo.com.cn/finalpage/2026-04-23/1225151761.PDF</t>
        </is>
      </c>
    </row>
    <row r="24" ht="96" customHeight="1">
      <c r="B24" s="7" t="inlineStr">
        <is>
          <t>002389</t>
        </is>
      </c>
      <c r="C24" s="7" t="inlineStr">
        <is>
          <t>航天彩虹</t>
        </is>
      </c>
      <c r="D24" s="8" t="inlineStr">
        <is>
          <t>军工：无人机</t>
        </is>
      </c>
      <c r="E24" s="7" t="inlineStr">
        <is>
          <t>纠错</t>
        </is>
      </c>
      <c r="F24" s="7" t="inlineStr">
        <is>
          <t>军工</t>
        </is>
      </c>
      <c r="G24" s="8" t="inlineStr">
        <is>
          <t>军用无人装备与机器人、导弹与精确制导</t>
        </is>
      </c>
      <c r="H24" s="7" t="inlineStr">
        <is>
          <t>核心</t>
        </is>
      </c>
      <c r="I24" s="8" t="inlineStr">
        <is>
          <t>公司彩虹系列包括CH-4察打一体、CH-5和CH-9中高空长航时无人机及CH-817单兵便携蜂群系统，并提供机载任务设备和武器系统；专为无人机研制的AR系列导弹覆盖多个重量级别。产品自2004年起批量出口，多款主力无人机已批量装备国内，具备明确作战用途和规模化交付，不属于民用低空无人机泛化。2025年无人机及相关产品收入18.3798亿元，航空航天产品制造收入21.6465亿元、占73.8671%，另有技术服务3.2668亿元；塑料薄膜制造占24.8915%。无人机已是核心主业，故列核心。旧“无人机”“军贸”仅描述产品或市场，需细化为军用无人装备，并补充AR机载导弹对应的精确制导概念。</t>
        </is>
      </c>
      <c r="J24" s="7" t="inlineStr">
        <is>
          <t>航天彩虹：2025年年度报告</t>
        </is>
      </c>
      <c r="K24" s="7" t="inlineStr">
        <is>
          <t>2026-03-27</t>
        </is>
      </c>
      <c r="L24" s="8" t="inlineStr">
        <is>
          <t>iFinD ifind_get_stock_info + ifind_get_stock_business_segmentation (as of 2026-10-27)；航天彩虹：2025年年度报告</t>
        </is>
      </c>
      <c r="M24" s="9" t="inlineStr">
        <is>
          <t>https://static.cninfo.com.cn/finalpage/2026-03-27/1225036384.PDF</t>
        </is>
      </c>
    </row>
    <row r="25" ht="96" customHeight="1">
      <c r="B25" s="4" t="inlineStr">
        <is>
          <t>002414</t>
        </is>
      </c>
      <c r="C25" s="4" t="inlineStr">
        <is>
          <t>高德红外</t>
        </is>
      </c>
      <c r="D25" s="5" t="inlineStr">
        <is>
          <t>军工：红外探测</t>
        </is>
      </c>
      <c r="E25" s="4" t="inlineStr">
        <is>
          <t>纠错</t>
        </is>
      </c>
      <c r="F25" s="4" t="inlineStr">
        <is>
          <t>军工</t>
        </is>
      </c>
      <c r="G25" s="5" t="inlineStr">
        <is>
          <t>红外光电与激光、弹药与特种装备</t>
        </is>
      </c>
      <c r="H25" s="4" t="inlineStr">
        <is>
          <t>核心</t>
        </is>
      </c>
      <c r="I25" s="5" t="inlineStr">
        <is>
          <t>公司具备制冷和非制冷红外焦平面探测器芯片批产能力，自产高端探测器已用于国内多个重点型号；红外热成像整机及综合光电系统服务国防，同时拥有完整装备系统总体、传统弹药及信息化弹药业务，形成从核心芯片到装备系统的真实军工链条。2025年红外热成像仪及综合光电系统收入44.8877亿元，其他电子设备制造业收入45.8990亿元、占99.3737%；传统弹药及信息化弹药收入1.0113亿元，虽规模较小但产品明确。红外业务中也有民用消费、工业和汽车应用，年报未独立拆分军民收入，不过国防重点型号与规模化红外核心产品足以支持核心定位。旧“红外探测”应规范为红外光电与激光，并补充弹药与特种装备。</t>
        </is>
      </c>
      <c r="J25" s="4" t="inlineStr">
        <is>
          <t>高德红外：2025年年度报告</t>
        </is>
      </c>
      <c r="K25" s="4" t="inlineStr">
        <is>
          <t>2026-04-15</t>
        </is>
      </c>
      <c r="L25" s="5" t="inlineStr">
        <is>
          <t>iFinD ifind_get_stock_info + ifind_get_stock_business_segmentation (as of 2026-10-27)；高德红外：2025年年度报告</t>
        </is>
      </c>
      <c r="M25" s="6" t="inlineStr">
        <is>
          <t>https://static.cninfo.com.cn/finalpage/2026-04-15/1225101748.PDF</t>
        </is>
      </c>
    </row>
    <row r="26" ht="96" customHeight="1">
      <c r="B26" s="7" t="inlineStr">
        <is>
          <t>002465</t>
        </is>
      </c>
      <c r="C26" s="7" t="inlineStr">
        <is>
          <t>海格通信</t>
        </is>
      </c>
      <c r="D26" s="8" t="inlineStr">
        <is>
          <t>军工：军工电子-军用通信</t>
        </is>
      </c>
      <c r="E26" s="7" t="inlineStr">
        <is>
          <t>纠错</t>
        </is>
      </c>
      <c r="F26" s="7" t="inlineStr">
        <is>
          <t>军工</t>
        </is>
      </c>
      <c r="G26" s="8" t="inlineStr">
        <is>
          <t>军用通信与指挥控制、军用导航与惯导、军事仿真与军工软件</t>
        </is>
      </c>
      <c r="H26" s="7" t="inlineStr">
        <is>
          <t>核心</t>
        </is>
      </c>
      <c r="I26" s="8" t="inlineStr">
        <is>
          <t>公司无线通信覆盖短波、超短波、卫星通信、数据链和有无人协同，短波产品已配装新一代机载平台，超短波进入中空无人通信节点；北斗导航形成芯片、模块、天线、终端和系统全链条并服务特殊机构用户；模拟仿真覆盖飞行、车辆和无人机训练，2025年中标某部队飞行模拟训练服务，军工场景可核验。2025年无线通信收入10.9990亿元，占25.07%，北斗导航5.1539亿元，占11.74%，航空航天含模拟仿真3.5764亿元，占8.15%；数智生态23.3478亿元，占53.21%。军民业务并存但三条防务产品线规模大且为核心产业，故列核心。旧“军用通信”需保留，同时补出北斗导航和军事仿真，避免只用卫星地面设备概括。</t>
        </is>
      </c>
      <c r="J26" s="7" t="inlineStr">
        <is>
          <t>海格通信：2025年年度报告</t>
        </is>
      </c>
      <c r="K26" s="7" t="inlineStr">
        <is>
          <t>2026-03-28</t>
        </is>
      </c>
      <c r="L26" s="8" t="inlineStr">
        <is>
          <t>iFinD ifind_get_stock_info + ifind_get_stock_business_segmentation (as of 2026-10-27)；海格通信：2025年年度报告</t>
        </is>
      </c>
      <c r="M26" s="9" t="inlineStr">
        <is>
          <t>https://static.cninfo.com.cn/finalpage/2026-03-28/1225044009.PDF</t>
        </is>
      </c>
    </row>
    <row r="27" ht="96" customHeight="1">
      <c r="B27" s="4" t="inlineStr">
        <is>
          <t>002519</t>
        </is>
      </c>
      <c r="C27" s="4" t="inlineStr">
        <is>
          <t>银河电子</t>
        </is>
      </c>
      <c r="D27" s="5" t="inlineStr">
        <is>
          <t>军工：陆军-装备配套</t>
        </is>
      </c>
      <c r="E27" s="4" t="inlineStr">
        <is>
          <t>纠错</t>
        </is>
      </c>
      <c r="F27" s="4" t="inlineStr">
        <is>
          <t>军工</t>
        </is>
      </c>
      <c r="G27" s="5" t="inlineStr">
        <is>
          <t>军工电源与电机电气、地面武器与装甲车辆</t>
        </is>
      </c>
      <c r="H27" s="4" t="inlineStr">
        <is>
          <t>核心</t>
        </is>
      </c>
      <c r="I27" s="5" t="inlineStr">
        <is>
          <t>公司智能特种装备包括智能供配电、综合电子信息、综合环境控制和技术保障装备，分系统直接用于坦克、装甲车、自行火炮、指挥车、通信车和侦察车等军用特种车辆，为陆海空火及武警型号配套；子公司具备规模化、系列化交付能力，属于真实装备分系统而非普通机顶盒业务。2025年智能机电产品收入2.7406亿元，占50.03%，新能源产品2.3714亿元，占43.29%，其他0.3659亿元；智能机电还包含智能终端，军品收入未独立拆分，且受军品采购限制影响仍有亏损。鉴于军用供配电和车辆机电是核心产品并已形成系列配套，保留核心但不得把全部智能机电收入视为军工。旧“陆军-装备配套”应细化为车辆平台与军工电源电机电气。</t>
        </is>
      </c>
      <c r="J27" s="4" t="inlineStr">
        <is>
          <t>银河电子：2025年年度报告</t>
        </is>
      </c>
      <c r="K27" s="4" t="inlineStr">
        <is>
          <t>2026-04-15</t>
        </is>
      </c>
      <c r="L27" s="5" t="inlineStr">
        <is>
          <t>iFinD ifind_get_stock_info + ifind_get_stock_business_segmentation (as of 2026-10-27)；银河电子：2025年年度报告</t>
        </is>
      </c>
      <c r="M27" s="6" t="inlineStr">
        <is>
          <t>https://static.cninfo.com.cn/finalpage/2026-04-15/1225101519.PDF</t>
        </is>
      </c>
    </row>
    <row r="28" ht="96" customHeight="1">
      <c r="B28" s="7" t="inlineStr">
        <is>
          <t>002535</t>
        </is>
      </c>
      <c r="C28" s="7" t="inlineStr">
        <is>
          <t>林州重机</t>
        </is>
      </c>
      <c r="D28" s="8" t="inlineStr">
        <is>
          <t>军工：军工配套</t>
        </is>
      </c>
      <c r="E28" s="7" t="inlineStr">
        <is>
          <t>纠错</t>
        </is>
      </c>
      <c r="F28" s="7" t="inlineStr">
        <is>
          <t>军工</t>
        </is>
      </c>
      <c r="G28" s="8" t="inlineStr">
        <is>
          <t>军工配套-通用零部件</t>
        </is>
      </c>
      <c r="H28" s="7" t="inlineStr">
        <is>
          <t>相关</t>
        </is>
      </c>
      <c r="I28" s="8" t="inlineStr">
        <is>
          <t>公司年报将军工列为独立业务板块，实际模式是为军工企业提供零部件配套，按订单定制或来料加工，依据图号、精度、材料和产品大小交付，说明已有真实军工客户和收入，并非煤矿机械可转军用的猜测；但披露未说明零部件对应何种武器平台，故只能使用通用零部件概念，不能擅自贴坦克或导弹标签。2025年军工产品系列收入0.1840亿元，占1.6316%，煤矿机械及综合服务10.8184亿元，占95.9168%，其他业务0.2765亿元，军工收入规模很小且煤机占绝对主导，因此列相关而非核心。旧“军工配套”方向可保留但需规范为军工配套-通用零部件，旧“边缘”也应依据独立军工分部上调为相关。</t>
        </is>
      </c>
      <c r="J28" s="7" t="inlineStr">
        <is>
          <t>林州重机：2025年年度报告</t>
        </is>
      </c>
      <c r="K28" s="7" t="inlineStr">
        <is>
          <t>2026-04-29</t>
        </is>
      </c>
      <c r="L28" s="8" t="inlineStr">
        <is>
          <t>iFinD ifind_get_stock_info + ifind_get_stock_business_segmentation (as of 2026-10-27)；林州重机：2025年年度报告</t>
        </is>
      </c>
      <c r="M28" s="9" t="inlineStr">
        <is>
          <t>https://static.cninfo.com.cn/finalpage/2026-04-29/1225236031.PDF</t>
        </is>
      </c>
    </row>
    <row r="29" ht="96" customHeight="1">
      <c r="B29" s="4" t="inlineStr">
        <is>
          <t>002625</t>
        </is>
      </c>
      <c r="C29" s="4" t="inlineStr">
        <is>
          <t>光启技术</t>
        </is>
      </c>
      <c r="D29" s="5" t="inlineStr">
        <is>
          <t>军工：军工材料</t>
        </is>
      </c>
      <c r="E29" s="4" t="inlineStr">
        <is>
          <t>纠错</t>
        </is>
      </c>
      <c r="F29" s="4" t="inlineStr">
        <is>
          <t>军工</t>
        </is>
      </c>
      <c r="G29" s="5" t="inlineStr">
        <is>
          <t>军工材料-超材料与隐身材料</t>
        </is>
      </c>
      <c r="H29" s="4" t="inlineStr">
        <is>
          <t>核心</t>
        </is>
      </c>
      <c r="I29" s="5" t="inlineStr">
        <is>
          <t>公司向尖端装备交付航电系统、电磁调制和力学结构一体化的超材料功能结构件，产品用于航空、航天、远程制导、水面及水下装备，使装备具备电磁调制和低可探测等能力；公司是我国先进装备研制、批产核心供应商，并已实现超材料大规模量产，属于实际军工核心产品，不是通用材料潜在应用。2025年超材料行业收入20.3542亿元，占99.4965%；其中超材料产品17.9587亿元，超材料研发业务2.3955亿元，其他仅0.1030亿元，主营业务高度集中，故列核心。旧“军工材料”过于宽泛，需按产品实质细化为军工材料-超材料与隐身材料；对于预浸料、蜂窝芯材等中间产品，不再额外泛贴多个材料标签。</t>
        </is>
      </c>
      <c r="J29" s="4" t="inlineStr">
        <is>
          <t>光启技术：2025年年度报告</t>
        </is>
      </c>
      <c r="K29" s="4" t="inlineStr">
        <is>
          <t>2026-04-28</t>
        </is>
      </c>
      <c r="L29" s="5" t="inlineStr">
        <is>
          <t>iFinD ifind_get_stock_info + ifind_get_stock_business_segmentation (as of 2026-10-27)；光启技术：2025年年度报告</t>
        </is>
      </c>
      <c r="M29" s="6" t="inlineStr">
        <is>
          <t>https://static.cninfo.com.cn/finalpage/2026-04-28/1225220969.PDF</t>
        </is>
      </c>
    </row>
    <row r="30" ht="96" customHeight="1">
      <c r="B30" s="7" t="inlineStr">
        <is>
          <t>002724</t>
        </is>
      </c>
      <c r="C30" s="7" t="inlineStr">
        <is>
          <t>海洋王</t>
        </is>
      </c>
      <c r="D30" s="8" t="inlineStr">
        <is>
          <t>军工：军工配套</t>
        </is>
      </c>
      <c r="E30" s="7" t="inlineStr">
        <is>
          <t>摘除</t>
        </is>
      </c>
      <c r="F30" s="7" t="inlineStr">
        <is>
          <t>—</t>
        </is>
      </c>
      <c r="G30" s="8" t="inlineStr">
        <is>
          <t>—</t>
        </is>
      </c>
      <c r="H30" s="7" t="inlineStr">
        <is>
          <t>摘除</t>
        </is>
      </c>
      <c r="I30" s="8" t="inlineStr">
        <is>
          <t>公司实际业务是特殊环境专业照明设备及照明工程，年报虽把军工与石化、电力、煤矿等并列为下游行业，并提到产品应用于部队，但没有披露专门军用照明型号、军队采购项目或军用产品收入，不能由通用防爆、防腐、防水照明可用于部队就推定军工落地。2025年电气机械和器材制造业收入16.0232亿元、占93.0604%，其中照明设备16.0126亿元；建筑工程1.1949亿元、占6.9396%，军工未独立拆分。旧“军工配套”仅概括应用场景，缺乏产品级和订单级证据，且会把多行业工业照明供应商误标为军工企业，故摘除。</t>
        </is>
      </c>
      <c r="J30" s="7" t="inlineStr">
        <is>
          <t>海洋王照明科技股份有限公司2025年年度报告</t>
        </is>
      </c>
      <c r="K30" s="7" t="inlineStr">
        <is>
          <t>2026-04-29</t>
        </is>
      </c>
      <c r="L30" s="8" t="inlineStr">
        <is>
          <t>iFinD ifind_get_stock_info + ifind_get_stock_business_segmentation (as of 2026-10-27)；海洋王照明科技股份有限公司2025年年度报告</t>
        </is>
      </c>
      <c r="M30" s="9" t="inlineStr">
        <is>
          <t>https://static.cninfo.com.cn/finalpage/2026-04-29/1225242473.PDF</t>
        </is>
      </c>
    </row>
    <row r="31" ht="96" customHeight="1">
      <c r="B31" s="4" t="inlineStr">
        <is>
          <t>002747</t>
        </is>
      </c>
      <c r="C31" s="4" t="inlineStr">
        <is>
          <t>埃斯顿</t>
        </is>
      </c>
      <c r="D31" s="5" t="inlineStr">
        <is>
          <t>军工：军用机器人</t>
        </is>
      </c>
      <c r="E31" s="4" t="inlineStr">
        <is>
          <t>摘除</t>
        </is>
      </c>
      <c r="F31" s="4" t="inlineStr">
        <is>
          <t>—</t>
        </is>
      </c>
      <c r="G31" s="5" t="inlineStr">
        <is>
          <t>—</t>
        </is>
      </c>
      <c r="H31" s="4" t="inlineStr">
        <is>
          <t>摘除</t>
        </is>
      </c>
      <c r="I31" s="5" t="inlineStr">
        <is>
          <t>公司主营自动化核心部件、运动控制、工业机器人及智能制造系统，2025年报未检索到军工、国防、防务或军用特种机器人业务披露，现有机器人面向光伏、汽车、锂电、3C等工业制造场景，不能把工业机器人本体和运动控制能力直接等同于军用机器人。2025年仪器仪表制造业收入48.8801亿元、占100%，其中工业机器人及成套设备39.9683亿元、约81.77%，智能装备核心控制功能部件8.9118亿元、约18.23%，没有军工分部。旧“军用机器人”且判核心没有真实军工产品、客户和收入支撑，属于由通用机器人技术作军用想象，故摘除而非改为相关。</t>
        </is>
      </c>
      <c r="J31" s="4" t="inlineStr">
        <is>
          <t>南京埃斯顿自动化股份有限公司2025年年度报告</t>
        </is>
      </c>
      <c r="K31" s="4" t="inlineStr">
        <is>
          <t>2026-03-31</t>
        </is>
      </c>
      <c r="L31" s="5" t="inlineStr">
        <is>
          <t>iFinD ifind_get_stock_info + ifind_get_stock_business_segmentation (as of 2026-10-27)；南京埃斯顿自动化股份有限公司2025年年度报告</t>
        </is>
      </c>
      <c r="M31" s="6" t="inlineStr">
        <is>
          <t>https://static.cninfo.com.cn/finalpage/2026-03-31/1225059898.PDF</t>
        </is>
      </c>
    </row>
    <row r="32" ht="96" customHeight="1">
      <c r="B32" s="7" t="inlineStr">
        <is>
          <t>300008</t>
        </is>
      </c>
      <c r="C32" s="7" t="inlineStr">
        <is>
          <t>天海防务</t>
        </is>
      </c>
      <c r="D32" s="8" t="inlineStr">
        <is>
          <t>军工：海军</t>
        </is>
      </c>
      <c r="E32" s="7" t="inlineStr">
        <is>
          <t>纠错</t>
        </is>
      </c>
      <c r="F32" s="7" t="inlineStr">
        <is>
          <t>军工</t>
        </is>
      </c>
      <c r="G32" s="8" t="inlineStr">
        <is>
          <t>船舶总装与海洋防务、军用无人装备与机器人</t>
        </is>
      </c>
      <c r="H32" s="7" t="inlineStr">
        <is>
          <t>相关</t>
        </is>
      </c>
      <c r="I32" s="8" t="inlineStr">
        <is>
          <t>公司确有特种船艇及防务装备研发制造业务，年报列示特种无人船艇、智能船舶系统、水域救援及安防装备和特种装备，且船海工程交付项目包含舰艇监理，属于真实防务产品与船舶工程落地，并非仅凭公司名称保留。2025年船海工程设计建造总承包收入40.3678亿元，约占总收入89.34%，主要是运输船、海工船等；防务装备及产品收入1.4634亿元，仅约3.24%，军品内部未再独立拆分。因此军工是实际但低占比业务，应由旧“海军、核心”下调为相关；旧军种粗标签也改为船舶总装与海洋防务，并将已披露的特种无人船艇落到军用无人装备与机器人。</t>
        </is>
      </c>
      <c r="J32" s="7" t="inlineStr">
        <is>
          <t>天海融合防务装备技术股份有限公司2025年年度报告</t>
        </is>
      </c>
      <c r="K32" s="7" t="inlineStr">
        <is>
          <t>2026-03-31</t>
        </is>
      </c>
      <c r="L32" s="8" t="inlineStr">
        <is>
          <t>iFinD ifind_get_stock_info + ifind_get_stock_business_segmentation (as of 2026-10-27)；天海融合防务装备技术股份有限公司2025年年度报告</t>
        </is>
      </c>
      <c r="M32" s="9" t="inlineStr">
        <is>
          <t>https://static.cninfo.com.cn/finalpage/2026-03-31/1225054550.PDF</t>
        </is>
      </c>
    </row>
    <row r="33" ht="96" customHeight="1">
      <c r="B33" s="4" t="inlineStr">
        <is>
          <t>300024</t>
        </is>
      </c>
      <c r="C33" s="4" t="inlineStr">
        <is>
          <t>机器人</t>
        </is>
      </c>
      <c r="D33" s="5" t="inlineStr">
        <is>
          <t>军工：工业机器人</t>
        </is>
      </c>
      <c r="E33" s="4" t="inlineStr">
        <is>
          <t>纠错</t>
        </is>
      </c>
      <c r="F33" s="4" t="inlineStr">
        <is>
          <t>军工</t>
        </is>
      </c>
      <c r="G33" s="5" t="inlineStr">
        <is>
          <t>军用无人装备与机器人</t>
        </is>
      </c>
      <c r="H33" s="4" t="inlineStr">
        <is>
          <t>相关</t>
        </is>
      </c>
      <c r="I33" s="5" t="inlineStr">
        <is>
          <t>新松除工业六轴机器人外，年报仍明确列示特种机器人包括自动转载机器人系统、装备自动保障系统，这类产品对应装备转载输送和自动保障场景，具有既有军工交付基础，不是把普通焊接或搬运机器人直接视作军品。2025年智能装备制造收入41.0993亿元、占99.7119%；自动化装配与检测生产线及系统集成14.9294亿元、工业机器人10.9706亿元、物流仓储7.3396亿元、半导体装备5.2504亿元，特种军用机器人没有独立拆分，新增应用披露也以工业和建筑为主。故只判相关、不判核心；旧“工业机器人”不能表达军工实质，纠正为军用无人装备与机器人，同时避免凭中科院背景扩大认定。</t>
        </is>
      </c>
      <c r="J33" s="4" t="inlineStr">
        <is>
          <t>沈阳新松机器人自动化股份有限公司2025年年度报告</t>
        </is>
      </c>
      <c r="K33" s="4" t="inlineStr">
        <is>
          <t>2026-04-24</t>
        </is>
      </c>
      <c r="L33" s="5" t="inlineStr">
        <is>
          <t>iFinD ifind_get_stock_info + ifind_get_stock_business_segmentation (as of 2026-10-27)；沈阳新松机器人自动化股份有限公司2025年年度报告</t>
        </is>
      </c>
      <c r="M33" s="6" t="inlineStr">
        <is>
          <t>https://static.cninfo.com.cn/finalpage/2026-04-24/1225170932.PDF</t>
        </is>
      </c>
    </row>
    <row r="34" ht="96" customHeight="1">
      <c r="B34" s="7" t="inlineStr">
        <is>
          <t>300034</t>
        </is>
      </c>
      <c r="C34" s="7" t="inlineStr">
        <is>
          <t>钢研高纳</t>
        </is>
      </c>
      <c r="D34" s="8" t="inlineStr">
        <is>
          <t>军工：军工材料</t>
        </is>
      </c>
      <c r="E34" s="7" t="inlineStr">
        <is>
          <t>纠错</t>
        </is>
      </c>
      <c r="F34" s="7" t="inlineStr">
        <is>
          <t>军工</t>
        </is>
      </c>
      <c r="G34" s="8" t="inlineStr">
        <is>
          <t>军工材料-钛合金与高温合金</t>
        </is>
      </c>
      <c r="H34" s="7" t="inlineStr">
        <is>
          <t>核心</t>
        </is>
      </c>
      <c r="I34" s="8" t="inlineStr">
        <is>
          <t>公司真实产品是航空航天用高温合金母合金、航空发动机精密铸件、盘环锻件及铝镁钛轻质合金制品，覆盖发动机叶片、机匣和转子类零件，已形成规模化产能并直接服务航空航天主机配套，而非普通金属材料的概念性军用。2025年有色金属冶炼及压延加工收入36.9697亿元、占100%，铸造高温合金24.8028亿元、变形高温合金9.5547亿元、新型高温合金2.3875亿元，分别约占67.09%、25.84%和6.46%；军用与民用航空、燃机收入未独立拆分。鉴于核心产品及规模均明确，维持核心；旧“军工材料”过宽，细化到钛合金与高温合金。</t>
        </is>
      </c>
      <c r="J34" s="7" t="inlineStr">
        <is>
          <t>北京钢研高纳科技股份有限公司2025年年度报告</t>
        </is>
      </c>
      <c r="K34" s="7" t="inlineStr">
        <is>
          <t>2026-03-20</t>
        </is>
      </c>
      <c r="L34" s="8" t="inlineStr">
        <is>
          <t>iFinD ifind_get_stock_info + ifind_get_stock_business_segmentation (as of 2026-10-27)；北京钢研高纳科技股份有限公司2025年年度报告</t>
        </is>
      </c>
      <c r="M34" s="9" t="inlineStr">
        <is>
          <t>https://static.cninfo.com.cn/finalpage/2026-03-20/1225018881.PDF</t>
        </is>
      </c>
    </row>
    <row r="35" ht="96" customHeight="1">
      <c r="B35" s="4" t="inlineStr">
        <is>
          <t>300101</t>
        </is>
      </c>
      <c r="C35" s="4" t="inlineStr">
        <is>
          <t>振芯科技</t>
        </is>
      </c>
      <c r="D35" s="5" t="inlineStr">
        <is>
          <t>军工：军工电子</t>
        </is>
      </c>
      <c r="E35" s="4" t="inlineStr">
        <is>
          <t>纠错</t>
        </is>
      </c>
      <c r="F35" s="4" t="inlineStr">
        <is>
          <t>军工</t>
        </is>
      </c>
      <c r="G35" s="5" t="inlineStr">
        <is>
          <t>军工芯片与特种集成电路、军用导航与惯导</t>
        </is>
      </c>
      <c r="H35" s="4" t="inlineStr">
        <is>
          <t>核心</t>
        </is>
      </c>
      <c r="I35" s="5" t="inlineStr">
        <is>
          <t>公司拥有北斗射频、基带和导航抗干扰芯片、DDS、射频组件及北斗终端，产品用于各型北斗终端、整机和系统平台，DDS已为北斗卫星原子钟配套并在轨运行；高动态、抗欺骗与抗压制终端面向飞机等载体，具备明确特种导航和装备电子场景。2025年集成电路业务收入4.3797亿元、占45.8564%，北斗导航综合应用3.4906亿元、占36.5474%，两项合计82.4038%；智慧城市1.4549亿元、占15.2328%，军用收入未单独拆分。核心芯片和导航合计占绝对主体，故判核心；旧“军工电子”过粗，应拆为军工芯片与特种集成电路、军用导航与惯导。</t>
        </is>
      </c>
      <c r="J35" s="4" t="inlineStr">
        <is>
          <t>成都振芯科技股份有限公司2025年年度报告</t>
        </is>
      </c>
      <c r="K35" s="4" t="inlineStr">
        <is>
          <t>2026-04-28</t>
        </is>
      </c>
      <c r="L35" s="5" t="inlineStr">
        <is>
          <t>iFinD ifind_get_stock_info + ifind_get_stock_business_segmentation (as of 2026-10-27)；成都振芯科技股份有限公司2025年年度报告</t>
        </is>
      </c>
      <c r="M35" s="6" t="inlineStr">
        <is>
          <t>https://static.cninfo.com.cn/finalpage/2026-04-28/1225210200.PDF</t>
        </is>
      </c>
    </row>
    <row r="36" ht="96" customHeight="1">
      <c r="B36" s="7" t="inlineStr">
        <is>
          <t>300395</t>
        </is>
      </c>
      <c r="C36" s="7" t="inlineStr">
        <is>
          <t>菲利华</t>
        </is>
      </c>
      <c r="D36" s="8" t="inlineStr">
        <is>
          <t>军工：军工材料</t>
        </is>
      </c>
      <c r="E36" s="7" t="inlineStr">
        <is>
          <t>纠错</t>
        </is>
      </c>
      <c r="F36" s="7" t="inlineStr">
        <is>
          <t>军工</t>
        </is>
      </c>
      <c r="G36" s="8" t="inlineStr">
        <is>
          <t>军工材料-特种玻璃与石英</t>
        </is>
      </c>
      <c r="H36" s="7" t="inlineStr">
        <is>
          <t>相关</t>
        </is>
      </c>
      <c r="I36" s="8" t="inlineStr">
        <is>
          <t>公司石英玻璃纤维、立体编织预制件及其复合材料具备耐高温、耐烧蚀和高透波性能，实际配套航空航天与海洋装备；年报还明确部分航空航天用石英纤维制品涉及国家秘密，复合材料获得批量生产订单，属于可核验的装备材料落地。2025年非金属矿物制品业收入20.1085亿元、占99.7272%，石英玻璃材料12.5846亿元、石英玻璃制品7.5239亿元，未按军工、半导体、光伏和光通讯拆分军用收入，石英电子布等民用业务也在增长。因此军工材料真实但占比无法核实且民用领域较多，维持相关；旧“军工材料”细化为特种玻璃与石英，不沿用含义宽泛的旧称。</t>
        </is>
      </c>
      <c r="J36" s="7" t="inlineStr">
        <is>
          <t>湖北菲利华石英玻璃股份有限公司2025年年度报告</t>
        </is>
      </c>
      <c r="K36" s="7" t="inlineStr">
        <is>
          <t>2026-04-24</t>
        </is>
      </c>
      <c r="L36" s="8" t="inlineStr">
        <is>
          <t>iFinD ifind_get_stock_info + ifind_get_stock_business_segmentation (as of 2026-10-27)；湖北菲利华石英玻璃股份有限公司2025年年度报告</t>
        </is>
      </c>
      <c r="M36" s="9" t="inlineStr">
        <is>
          <t>https://static.cninfo.com.cn/finalpage/2026-04-24/1225161586.PDF</t>
        </is>
      </c>
    </row>
    <row r="37" ht="96" customHeight="1">
      <c r="B37" s="4" t="inlineStr">
        <is>
          <t>300581</t>
        </is>
      </c>
      <c r="C37" s="4" t="inlineStr">
        <is>
          <t>晨曦航空</t>
        </is>
      </c>
      <c r="D37" s="5" t="inlineStr">
        <is>
          <t>军工：空军</t>
        </is>
      </c>
      <c r="E37" s="4" t="inlineStr">
        <is>
          <t>纠错</t>
        </is>
      </c>
      <c r="F37" s="4" t="inlineStr">
        <is>
          <t>军工</t>
        </is>
      </c>
      <c r="G37" s="5" t="inlineStr">
        <is>
          <t>军用导航与惯导、航空机载系统与航电</t>
        </is>
      </c>
      <c r="H37" s="4" t="inlineStr">
        <is>
          <t>核心</t>
        </is>
      </c>
      <c r="I37" s="5" t="inlineStr">
        <is>
          <t>公司直接研制光纤、激光等捷联惯性综合导航系统、导航计算机组件，以及航空发动机参数采集器、飞控计算机和发动机电子控制系统，主要为国有大型军工企业配套，最终用户主要为军方，军用场景、产品与客户链条均明确。2025年航空机电产品收入1.1273亿元、占86.7060%，其中光纤捷联惯导0.5655亿元、激光捷联惯导0.3772亿元、导航计算机组件0.0870亿元；专业技术服务0.0840亿元、其他业务0.0888亿元，未另拆军民收入。航空机电及惯导为收入主体，故维持核心；旧“空军”是军种粗标签，应改为军用导航与惯导、航空机载系统与航电。</t>
        </is>
      </c>
      <c r="J37" s="4" t="inlineStr">
        <is>
          <t>西安晨曦航空科技股份有限公司2025年年度报告</t>
        </is>
      </c>
      <c r="K37" s="4" t="inlineStr">
        <is>
          <t>2026-04-29</t>
        </is>
      </c>
      <c r="L37" s="5" t="inlineStr">
        <is>
          <t>iFinD ifind_get_stock_info + ifind_get_stock_business_segmentation (as of 2026-10-27)；西安晨曦航空科技股份有限公司2025年年度报告</t>
        </is>
      </c>
      <c r="M37" s="6" t="inlineStr">
        <is>
          <t>https://static.cninfo.com.cn/finalpage/2026-04-29/1225246742.PDF</t>
        </is>
      </c>
    </row>
    <row r="38" ht="96" customHeight="1">
      <c r="B38" s="7" t="inlineStr">
        <is>
          <t>300589</t>
        </is>
      </c>
      <c r="C38" s="7" t="inlineStr">
        <is>
          <t>江龙船艇</t>
        </is>
      </c>
      <c r="D38" s="8" t="inlineStr">
        <is>
          <t>军工：海军</t>
        </is>
      </c>
      <c r="E38" s="7" t="inlineStr">
        <is>
          <t>纠错</t>
        </is>
      </c>
      <c r="F38" s="7" t="inlineStr">
        <is>
          <t>军工</t>
        </is>
      </c>
      <c r="G38" s="8" t="inlineStr">
        <is>
          <t>船舶总装与海洋防务</t>
        </is>
      </c>
      <c r="H38" s="7" t="inlineStr">
        <is>
          <t>相关</t>
        </is>
      </c>
      <c r="I38" s="8" t="inlineStr">
        <is>
          <t>公司普通公务执法船、旅游船不能全部归为海军装备，但也不能忽视特殊批量公务船的真实军工属性。2023年报披露15.05亿元合同且合同内容涉及国家秘密，并具备武器装备质量管理体系认证；2025年报仍披露特殊批量公务船项目审价、延期违约及订单减少对经营的影响，说明该军工项目仍在履约链条中。2025年船艇销售收入6.6187亿元，其中公务执法3.8337亿元、旅游休闲1.8685亿元、特种作业0.9165亿元，军船收入未独立拆分且普通公务与民船较多，故由摘除修正为相关，概念统一为船舶总装与海洋防务，不再简单使用海军核心标签。</t>
        </is>
      </c>
      <c r="J38" s="7" t="inlineStr">
        <is>
          <t>江龙船艇科技股份有限公司2025年年度报告</t>
        </is>
      </c>
      <c r="K38" s="7" t="inlineStr">
        <is>
          <t>2026-04-24</t>
        </is>
      </c>
      <c r="L38" s="8" t="inlineStr">
        <is>
          <t>iFinD ifind_get_stock_info + ifind_get_stock_business_segmentation (as of 2026-10-27)；江龙船艇科技股份有限公司2025年年度报告</t>
        </is>
      </c>
      <c r="M38" s="9" t="inlineStr">
        <is>
          <t>https://static.cninfo.com.cn/finalpage/2026-04-24/1225166198.PDF</t>
        </is>
      </c>
    </row>
    <row r="39" ht="96" customHeight="1">
      <c r="B39" s="4" t="inlineStr">
        <is>
          <t>300593</t>
        </is>
      </c>
      <c r="C39" s="4" t="inlineStr">
        <is>
          <t>新雷能</t>
        </is>
      </c>
      <c r="D39" s="5" t="inlineStr">
        <is>
          <t>军工：军工电子</t>
        </is>
      </c>
      <c r="E39" s="4" t="inlineStr">
        <is>
          <t>纠错</t>
        </is>
      </c>
      <c r="F39" s="4" t="inlineStr">
        <is>
          <t>军工</t>
        </is>
      </c>
      <c r="G39" s="5" t="inlineStr">
        <is>
          <t>军工电源与电机电气、军工芯片与特种集成电路</t>
        </is>
      </c>
      <c r="H39" s="4" t="inlineStr">
        <is>
          <t>核心</t>
        </is>
      </c>
      <c r="I39" s="5" t="inlineStr">
        <is>
          <t>公司实际军工产品是航空航天装备用高可靠电源、机载电机电驱及特种电源管理芯片，年报明确航空航天用电力电子产品进入批量交付的品种和数量持续增加，并有面向中低轨航天器的抗辐照加固IC，不是泛称集成电路企业。2025年高端装备及配套行业收入11.7424亿元、占98.8254%；电源类10.6544亿元、约占89.67%，集成电路产品0.6504亿元、约占5.47%，电驱电机类0.3924亿元、约占3.30%，军用与通信、数据中心等收入未独立拆分。电源及电机电气规模化主业地位明确，故判核心；旧“军工电子”应精确为军工电源与电机电气，并补充特种集成电路。</t>
        </is>
      </c>
      <c r="J39" s="4" t="inlineStr">
        <is>
          <t>北京新雷能科技股份有限公司2025年年度报告</t>
        </is>
      </c>
      <c r="K39" s="4" t="inlineStr">
        <is>
          <t>2026-04-21</t>
        </is>
      </c>
      <c r="L39" s="5" t="inlineStr">
        <is>
          <t>iFinD ifind_get_stock_info + ifind_get_stock_business_segmentation (as of 2026-10-27)；北京新雷能科技股份有限公司2025年年度报告</t>
        </is>
      </c>
      <c r="M39" s="6" t="inlineStr">
        <is>
          <t>https://static.cninfo.com.cn/finalpage/2026-04-21/1225130176.PDF</t>
        </is>
      </c>
    </row>
    <row r="40" ht="96" customHeight="1">
      <c r="B40" s="7" t="inlineStr">
        <is>
          <t>300627</t>
        </is>
      </c>
      <c r="C40" s="7" t="inlineStr">
        <is>
          <t>华测导航</t>
        </is>
      </c>
      <c r="D40" s="8" t="inlineStr">
        <is>
          <t>军工：卫星-卫星导航</t>
        </is>
      </c>
      <c r="E40" s="7" t="inlineStr">
        <is>
          <t>摘除</t>
        </is>
      </c>
      <c r="F40" s="7" t="inlineStr">
        <is>
          <t>—</t>
        </is>
      </c>
      <c r="G40" s="8" t="inlineStr">
        <is>
          <t>—</t>
        </is>
      </c>
      <c r="H40" s="7" t="inlineStr">
        <is>
          <t>摘除</t>
        </is>
      </c>
      <c r="I40" s="8" t="inlineStr">
        <is>
          <t>公司是高精度GNSS软硬件和时空信息解决方案供应商，2025年报业务板块全部面向智能建造、地理信息、农机导航、机器人和定位服务，未披露军用导航型号、军方客户、军工订单或抗干扰军用终端，不能因北斗/GNSS技术具有潜在军事用途就保留。2025年智能建造与数字施工收入12.6567亿元、占34.2152%，地信与时空智能11.5120亿元、占31.1206%，农机导航与机器人7.5184亿元、占20.3248%，时空感知与定位服务5.3044亿元、占14.3394%，无军工分部。旧“卫星-卫星导航”属于民用技术标签而非军工证据，判相关也缺乏落地支撑，故摘除。</t>
        </is>
      </c>
      <c r="J40" s="7" t="inlineStr">
        <is>
          <t>上海华测导航技术股份有限公司2025年年度报告</t>
        </is>
      </c>
      <c r="K40" s="7" t="inlineStr">
        <is>
          <t>2026-04-17</t>
        </is>
      </c>
      <c r="L40" s="8" t="inlineStr">
        <is>
          <t>iFinD ifind_get_stock_info + ifind_get_stock_business_segmentation (as of 2026-10-27)；上海华测导航技术股份有限公司2025年年度报告</t>
        </is>
      </c>
      <c r="M40" s="9" t="inlineStr">
        <is>
          <t>https://static.cninfo.com.cn/finalpage/2026-04-17/1225114088.PDF</t>
        </is>
      </c>
    </row>
    <row r="41" ht="96" customHeight="1">
      <c r="B41" s="4" t="inlineStr">
        <is>
          <t>300696</t>
        </is>
      </c>
      <c r="C41" s="4" t="inlineStr">
        <is>
          <t>爱乐达</t>
        </is>
      </c>
      <c r="D41" s="5" t="inlineStr">
        <is>
          <t>军工：军工电子</t>
        </is>
      </c>
      <c r="E41" s="4" t="inlineStr">
        <is>
          <t>纠错</t>
        </is>
      </c>
      <c r="F41" s="4" t="inlineStr">
        <is>
          <t>军工</t>
        </is>
      </c>
      <c r="G41" s="5" t="inlineStr">
        <is>
          <t>航空结构件与锻铸件</t>
        </is>
      </c>
      <c r="H41" s="4" t="inlineStr">
        <is>
          <t>核心</t>
        </is>
      </c>
      <c r="I41" s="5" t="inlineStr">
        <is>
          <t>公司从事军用及民用飞机零部件精密制造、特种工艺和部组件装配，军机产品覆盖战斗机、运输机、无人机和教练机的结构件、液压系统件及起落架零件；2025年主力型号及无人机整机机体全流程配套已批量交付，并新增军用航空主机厂和科研院所客户，属于真实规模化主机配套。2025年航空零部件制造收入5.0012亿元、占100%，飞机零部件4.9504亿元、约98.98%，地面设备及其他0.0508亿元，未单列军民收入。航空制造全部构成主营且军机交付明确，故维持核心；旧“军工电子”与数控加工、装配业务不符，应纠正为航空结构件与锻铸件。</t>
        </is>
      </c>
      <c r="J41" s="4" t="inlineStr">
        <is>
          <t>成都爱乐达航空制造股份有限公司2025年年度报告</t>
        </is>
      </c>
      <c r="K41" s="4" t="inlineStr">
        <is>
          <t>2026-04-25</t>
        </is>
      </c>
      <c r="L41" s="5" t="inlineStr">
        <is>
          <t>iFinD ifind_get_stock_info + ifind_get_stock_business_segmentation (as of 2026-10-27)；成都爱乐达航空制造股份有限公司2025年年度报告</t>
        </is>
      </c>
      <c r="M41" s="6" t="inlineStr">
        <is>
          <t>https://static.cninfo.com.cn/finalpage/2026-04-25/1225190592.PDF</t>
        </is>
      </c>
    </row>
    <row r="42" ht="96" customHeight="1">
      <c r="B42" s="7" t="inlineStr">
        <is>
          <t>300699</t>
        </is>
      </c>
      <c r="C42" s="7" t="inlineStr">
        <is>
          <t>光威复材</t>
        </is>
      </c>
      <c r="D42" s="8" t="inlineStr">
        <is>
          <t>军工：军工材料</t>
        </is>
      </c>
      <c r="E42" s="7" t="inlineStr">
        <is>
          <t>纠错</t>
        </is>
      </c>
      <c r="F42" s="7" t="inlineStr">
        <is>
          <t>军工</t>
        </is>
      </c>
      <c r="G42" s="8" t="inlineStr">
        <is>
          <t>军工材料-碳纤维与复合材料</t>
        </is>
      </c>
      <c r="H42" s="7" t="inlineStr">
        <is>
          <t>核心</t>
        </is>
      </c>
      <c r="I42" s="8" t="inlineStr">
        <is>
          <t>公司高性能碳纤维、预浸料和复合材料制品已长期服务航空航天及兵器装备，年报称其为我国航空航天等领域碳纤维主力供应商，并持续保障装备发展所需；光晟科技还开展火箭及导弹发动机壳体研发与自动化批量生产基地建设，具有明确装备应用而非一般风电材料外推。2025年新材料制造收入27.7000亿元、占96.8694%，碳纤维及织物14.5696亿元、碳梁9.4338亿元、预浸料2.3768亿元、制品及其他2.0934亿元，军工收入未独立拆分。航空航天核心材料和稳定批供构成重要主业，故维持核心；旧“军工材料”细化为碳纤维与复合材料。</t>
        </is>
      </c>
      <c r="J42" s="7" t="inlineStr">
        <is>
          <t>威海光威复合材料股份有限公司2025年年度报告</t>
        </is>
      </c>
      <c r="K42" s="7" t="inlineStr">
        <is>
          <t>2026-03-31</t>
        </is>
      </c>
      <c r="L42" s="8" t="inlineStr">
        <is>
          <t>iFinD ifind_get_stock_info + ifind_get_stock_business_segmentation (as of 2026-10-27)；威海光威复合材料股份有限公司2025年年度报告</t>
        </is>
      </c>
      <c r="M42" s="9" t="inlineStr">
        <is>
          <t>https://static.cninfo.com.cn/finalpage/2026-03-31/1225052430.PDF</t>
        </is>
      </c>
    </row>
    <row r="43" ht="96" customHeight="1">
      <c r="B43" s="4" t="inlineStr">
        <is>
          <t>300726</t>
        </is>
      </c>
      <c r="C43" s="4" t="inlineStr">
        <is>
          <t>宏达电子</t>
        </is>
      </c>
      <c r="D43" s="5" t="inlineStr">
        <is>
          <t>军工：军工电子</t>
        </is>
      </c>
      <c r="E43" s="4" t="inlineStr">
        <is>
          <t>纠错</t>
        </is>
      </c>
      <c r="F43" s="4" t="inlineStr">
        <is>
          <t>军工</t>
        </is>
      </c>
      <c r="G43" s="5" t="inlineStr">
        <is>
          <t>军工被动元件与连接器、军工电源与电机电气</t>
        </is>
      </c>
      <c r="H43" s="4" t="inlineStr">
        <is>
          <t>核心</t>
        </is>
      </c>
      <c r="I43" s="5" t="inlineStr">
        <is>
          <t>公司主力产品为钽电容、陶瓷电容、电感、电阻和电源模块等高可靠元器件，年报明确以高可靠产品为主，客户覆盖飞行器、车辆、船舶、雷达等系统工程和装备，钽电容及非钽产品已规模化供应，不是普通消费类元件的军用想象。2025年电子元器件行业收入18.8667亿元、占100%，元器件收入13.9526亿元、约73.95%，模块及其他4.9141亿元、约26.05%；年报另披露非钽业务销售占比66.07%，但未单列军民收入。高可靠电子元器件和模块构成核心主业，故判核心；旧“军工电子、钽电容”只覆盖局部，应细化为军工被动元件与连接器并补充军工电源与电机电气。</t>
        </is>
      </c>
      <c r="J43" s="4" t="inlineStr">
        <is>
          <t>株洲宏达电子股份有限公司2025年年度报告</t>
        </is>
      </c>
      <c r="K43" s="4" t="inlineStr">
        <is>
          <t>2026-04-24</t>
        </is>
      </c>
      <c r="L43" s="5" t="inlineStr">
        <is>
          <t>iFinD ifind_get_stock_info + ifind_get_stock_business_segmentation (as of 2026-10-27)；株洲宏达电子股份有限公司2025年年度报告</t>
        </is>
      </c>
      <c r="M43" s="6" t="inlineStr">
        <is>
          <t>https://static.cninfo.com.cn/finalpage/2026-04-24/1225167028.PDF</t>
        </is>
      </c>
    </row>
    <row r="44" ht="96" customHeight="1">
      <c r="B44" s="7" t="inlineStr">
        <is>
          <t>300775</t>
        </is>
      </c>
      <c r="C44" s="7" t="inlineStr">
        <is>
          <t>三角防务</t>
        </is>
      </c>
      <c r="D44" s="8" t="inlineStr">
        <is>
          <t>军工：航空装备-航空锻件</t>
        </is>
      </c>
      <c r="E44" s="7" t="inlineStr">
        <is>
          <t>纠错</t>
        </is>
      </c>
      <c r="F44" s="7" t="inlineStr">
        <is>
          <t>军工</t>
        </is>
      </c>
      <c r="G44" s="8" t="inlineStr">
        <is>
          <t>航空结构件与锻铸件、航空发动机与燃气轮机</t>
        </is>
      </c>
      <c r="H44" s="7" t="inlineStr">
        <is>
          <t>核心</t>
        </is>
      </c>
      <c r="I44" s="8" t="inlineStr">
        <is>
          <t>公司大型模锻件和自由锻件直接用于新一代战斗机、运输机、直升机机身关键结构及国产航空发动机盘件，并进入各大主机厂供应体系；年报明确产品大部分为军用航空锻件，少部分为民用大型锻件，军工产品和主机厂配套均有实证。2025年特种合金锻压收入15.4112亿元、占97.0160%，模锻件14.6334亿元、自由锻件0.7778亿元，其他收入0.4740亿元、占2.9840%，军品未独立拆分但年报明确占大部分。军用航空锻件是绝对核心产品，故维持核心；旧“航空装备-航空锻件”方向正确但仍需产品化，细化为航空结构件与锻铸件并补充航空发动机与燃气轮机。</t>
        </is>
      </c>
      <c r="J44" s="7" t="inlineStr">
        <is>
          <t>西安三角防务股份有限公司2025年年度报告</t>
        </is>
      </c>
      <c r="K44" s="7" t="inlineStr">
        <is>
          <t>2026-04-28</t>
        </is>
      </c>
      <c r="L44" s="8" t="inlineStr">
        <is>
          <t>iFinD ifind_get_stock_info + ifind_get_stock_business_segmentation (as of 2026-10-27)；西安三角防务股份有限公司2025年年度报告</t>
        </is>
      </c>
      <c r="M44" s="9" t="inlineStr">
        <is>
          <t>https://static.cninfo.com.cn/finalpage/2026-04-28/1225204663.PDF</t>
        </is>
      </c>
    </row>
    <row r="45" ht="96" customHeight="1">
      <c r="B45" s="4" t="inlineStr">
        <is>
          <t>300777</t>
        </is>
      </c>
      <c r="C45" s="4" t="inlineStr">
        <is>
          <t>中简科技</t>
        </is>
      </c>
      <c r="D45" s="5" t="inlineStr">
        <is>
          <t>军工：军工材料</t>
        </is>
      </c>
      <c r="E45" s="4" t="inlineStr">
        <is>
          <t>纠错</t>
        </is>
      </c>
      <c r="F45" s="4" t="inlineStr">
        <is>
          <t>军工</t>
        </is>
      </c>
      <c r="G45" s="5" t="inlineStr">
        <is>
          <t>军工材料-碳纤维与复合材料</t>
        </is>
      </c>
      <c r="H45" s="4" t="inlineStr">
        <is>
          <t>核心</t>
        </is>
      </c>
      <c r="I45" s="5" t="inlineStr">
        <is>
          <t>公司ZT7、ZT8、ZT9等高性能碳纤维及织物是多型航空航天结构部件的关键基础材料，年报明确多款产品已稳定批量应用，客户主要为国内大型航空航天企业集团，报告期继续完成主力型号批产交付，并拓展航发、兵器用户，属于真实规模化装备材料供应。2025年新材料制造业收入8.4602亿元、占99.9908%，其中碳纤维5.8415亿元、碳纤维织物2.6186亿元，合计约8.4601亿元，其他业务仅0.0008亿元，军民收入未另拆。主营几乎全部围绕高性能碳纤维且批产型号明确，故维持核心；旧“军工材料”过泛，应细化到碳纤维与复合材料。</t>
        </is>
      </c>
      <c r="J45" s="4" t="inlineStr">
        <is>
          <t>中简科技股份有限公司2025年年度报告</t>
        </is>
      </c>
      <c r="K45" s="4" t="inlineStr">
        <is>
          <t>2026-04-15</t>
        </is>
      </c>
      <c r="L45" s="5" t="inlineStr">
        <is>
          <t>iFinD ifind_get_stock_info + ifind_get_stock_business_segmentation (as of 2026-10-27)；中简科技股份有限公司2025年年度报告</t>
        </is>
      </c>
      <c r="M45" s="6" t="inlineStr">
        <is>
          <t>https://static.cninfo.com.cn/finalpage/2026-04-15/1225102375.PDF</t>
        </is>
      </c>
    </row>
    <row r="46" ht="96" customHeight="1">
      <c r="B46" s="7" t="inlineStr">
        <is>
          <t>300810</t>
        </is>
      </c>
      <c r="C46" s="7" t="inlineStr">
        <is>
          <t>中科海讯</t>
        </is>
      </c>
      <c r="D46" s="8" t="inlineStr">
        <is>
          <t>军工：军工电子-水声电子</t>
        </is>
      </c>
      <c r="E46" s="7" t="inlineStr">
        <is>
          <t>纠错</t>
        </is>
      </c>
      <c r="F46" s="7" t="inlineStr">
        <is>
          <t>军工</t>
        </is>
      </c>
      <c r="G46" s="8" t="inlineStr">
        <is>
          <t>水声与海洋电子、军事仿真与军工软件</t>
        </is>
      </c>
      <c r="H46" s="7" t="inlineStr">
        <is>
          <t>核心</t>
        </is>
      </c>
      <c r="I46" s="8" t="inlineStr">
        <is>
          <t>公司产品直接用于国家特种电子信息行业声纳装备，包括信号处理平台、舰壳或拖曳等声纳系统、水声大数据与仿真训练系统及无人探测系统，服务水声目标探测识别、水声通信、导航测绘和训练，军工产品及场景清晰。2025年国家特种电子信息行业收入3.1567亿元、占100%，其中信号处理平台1.4515亿元、水声大数据与仿真系统1.4386亿元、声纳系统0.2146亿元、其他0.0519亿元，已无其他民用主业分部。全部收入来自特种电子信息且产品规模化，故维持核心；旧“军工电子-水声电子、海军”混合了行业与军种，应改为水声与海洋电子，并将占比较高的仿真业务落到军事仿真与军工软件。</t>
        </is>
      </c>
      <c r="J46" s="7" t="inlineStr">
        <is>
          <t>北京中科海讯数字科技股份有限公司2025年年度报告</t>
        </is>
      </c>
      <c r="K46" s="7" t="inlineStr">
        <is>
          <t>2026-04-17</t>
        </is>
      </c>
      <c r="L46" s="8" t="inlineStr">
        <is>
          <t>iFinD ifind_get_stock_info + ifind_get_stock_business_segmentation (as of 2026-10-27)；北京中科海讯数字科技股份有限公司2025年年度报告</t>
        </is>
      </c>
      <c r="M46" s="9" t="inlineStr">
        <is>
          <t>https://static.cninfo.com.cn/finalpage/2026-04-17/1225113928.PDF</t>
        </is>
      </c>
    </row>
    <row r="47" ht="96" customHeight="1">
      <c r="B47" s="4" t="inlineStr">
        <is>
          <t>300855</t>
        </is>
      </c>
      <c r="C47" s="4" t="inlineStr">
        <is>
          <t>图南股份</t>
        </is>
      </c>
      <c r="D47" s="5" t="inlineStr">
        <is>
          <t>军工：军工材料</t>
        </is>
      </c>
      <c r="E47" s="4" t="inlineStr">
        <is>
          <t>纠错</t>
        </is>
      </c>
      <c r="F47" s="4" t="inlineStr">
        <is>
          <t>军工</t>
        </is>
      </c>
      <c r="G47" s="5" t="inlineStr">
        <is>
          <t>军工材料-钛合金与高温合金、航空发动机与燃气轮机</t>
        </is>
      </c>
      <c r="H47" s="4" t="inlineStr">
        <is>
          <t>核心</t>
        </is>
      </c>
      <c r="I47" s="5" t="inlineStr">
        <is>
          <t>公司铸造和变形高温合金、特种不锈钢及精密铸件实际用于航空发动机和燃气轮机热端，包括机匣、涡轮转动及导向叶片、整体叶盘、导向器等，并通过定型、小批量到批量供货方式服务飞机和航空发动机客户，具备明确军用及高端装备配套。2025年有色金属冶炼及压延加工收入9.7048亿元、占86.2087%，变形高温合金5.3870亿元、铸造高温合金2.6822亿元；零部件制造0.5915亿元、占5.2544%，其他行业0.9610亿元、占8.5369%，军用与民用未独立拆分。高温合金及发动机部件是收入主体，故判核心；旧“军工材料”需细化为钛合金与高温合金，并体现发动机热端部件实质。</t>
        </is>
      </c>
      <c r="J47" s="4" t="inlineStr">
        <is>
          <t>江苏图南合金股份有限公司2025年年度报告</t>
        </is>
      </c>
      <c r="K47" s="4" t="inlineStr">
        <is>
          <t>2026-04-18</t>
        </is>
      </c>
      <c r="L47" s="5" t="inlineStr">
        <is>
          <t>iFinD ifind_get_stock_info + ifind_get_stock_business_segmentation (as of 2026-10-27)；江苏图南合金股份有限公司2025年年度报告</t>
        </is>
      </c>
      <c r="M47" s="6" t="inlineStr">
        <is>
          <t>https://static.cninfo.com.cn/finalpage/2026-04-18/1225117117.PDF</t>
        </is>
      </c>
    </row>
    <row r="48" ht="96" customHeight="1">
      <c r="B48" s="7" t="inlineStr">
        <is>
          <t>300875</t>
        </is>
      </c>
      <c r="C48" s="7" t="inlineStr">
        <is>
          <t>捷强装备</t>
        </is>
      </c>
      <c r="D48" s="8" t="inlineStr">
        <is>
          <t>军工：核化生防御</t>
        </is>
      </c>
      <c r="E48" s="7" t="inlineStr">
        <is>
          <t>纠错</t>
        </is>
      </c>
      <c r="F48" s="7" t="inlineStr">
        <is>
          <t>军工</t>
        </is>
      </c>
      <c r="G48" s="8" t="inlineStr">
        <is>
          <t>核化生防御与应急救援</t>
        </is>
      </c>
      <c r="H48" s="7" t="inlineStr">
        <is>
          <t>核心</t>
        </is>
      </c>
      <c r="I48" s="8" t="inlineStr">
        <is>
          <t>公司形成核辐射监测、生物检测、核生化防护与洗消装备的侦察、防护、洗消链条，产品用于军队防疫、部队后勤保障、核应急和国防装备更新，控股子公司还是国防生物安全领域生物侦察装备配套供应商，具有真实军用产品和客户场景。2025年核生化安全装备收入1.9799亿元、占62.3086%，其中核辐射监测1.4271亿元、生物检测0.1072亿元、其他核化生防御装备及配件0.2753亿元；新材料应用产品1.1977亿元、占37.6914%，军队与民用核电、环保收入未独立拆分。核化生装备仍为最大主业，故维持核心；旧“核化生防御”规范为核化生防御与应急救援。</t>
        </is>
      </c>
      <c r="J48" s="7" t="inlineStr">
        <is>
          <t>天津捷强动力装备股份有限公司2025年年度报告</t>
        </is>
      </c>
      <c r="K48" s="7" t="inlineStr">
        <is>
          <t>2026-04-28</t>
        </is>
      </c>
      <c r="L48" s="8" t="inlineStr">
        <is>
          <t>iFinD ifind_get_stock_info + ifind_get_stock_business_segmentation (as of 2026-10-27)；天津捷强动力装备股份有限公司2025年年度报告</t>
        </is>
      </c>
      <c r="M48" s="9" t="inlineStr">
        <is>
          <t>https://static.cninfo.com.cn/finalpage/2026-04-28/1225207779.PDF</t>
        </is>
      </c>
    </row>
    <row r="49" ht="96" customHeight="1">
      <c r="B49" s="4" t="inlineStr">
        <is>
          <t>301050</t>
        </is>
      </c>
      <c r="C49" s="4" t="inlineStr">
        <is>
          <t>雷电微力</t>
        </is>
      </c>
      <c r="D49" s="5" t="inlineStr">
        <is>
          <t>军工：导弹</t>
        </is>
      </c>
      <c r="E49" s="4" t="inlineStr">
        <is>
          <t>纠错</t>
        </is>
      </c>
      <c r="F49" s="4" t="inlineStr">
        <is>
          <t>军工</t>
        </is>
      </c>
      <c r="G49" s="5" t="inlineStr">
        <is>
          <t>雷达与预警探测、军用通信与指挥控制</t>
        </is>
      </c>
      <c r="H49" s="4" t="inlineStr">
        <is>
          <t>核心</t>
        </is>
      </c>
      <c r="I49" s="5" t="inlineStr">
        <is>
          <t>公司主要出货毫米波有源相控阵阵列天线和TR组件，是雷达、通信系统的核心组件，专用市场仍为核心深耕方向，产品直接决定波束电控扫描、信号收发和系统性能，属于真实专用电子装备配套，而非卫星互联网等潜在通用应用。2025年计算机、通信和其他电子设备制造业收入7.4050亿元、占100%，阵列天线4.5486亿元、约61.43%，TR组件2.8458亿元、约38.43%，其他类0.0105亿元，专用与通用收入未独立拆分。两类产品合计约99.86%，故维持核心；旧“导弹、精确制导”不能完整反映当前年报披露的雷达与通信产品实质，应纠正为雷达与预警探测、军用通信与指挥控制。</t>
        </is>
      </c>
      <c r="J49" s="4" t="inlineStr">
        <is>
          <t>成都雷电微力科技股份有限公司2025年年度报告</t>
        </is>
      </c>
      <c r="K49" s="4" t="inlineStr">
        <is>
          <t>2026-04-24</t>
        </is>
      </c>
      <c r="L49" s="5" t="inlineStr">
        <is>
          <t>iFinD ifind_get_stock_info + ifind_get_stock_business_segmentation (as of 2026-10-27)；成都雷电微力科技股份有限公司2025年年度报告</t>
        </is>
      </c>
      <c r="M49" s="6" t="inlineStr">
        <is>
          <t>https://static.cninfo.com.cn/finalpage/2026-04-24/1225169202.PDF</t>
        </is>
      </c>
    </row>
    <row r="50" ht="96" customHeight="1">
      <c r="B50" s="7" t="inlineStr">
        <is>
          <t>301302</t>
        </is>
      </c>
      <c r="C50" s="7" t="inlineStr">
        <is>
          <t>华如科技</t>
        </is>
      </c>
      <c r="D50" s="8" t="inlineStr">
        <is>
          <t>军工：军工AI</t>
        </is>
      </c>
      <c r="E50" s="7" t="inlineStr">
        <is>
          <t>纠错</t>
        </is>
      </c>
      <c r="F50" s="7" t="inlineStr">
        <is>
          <t>军工</t>
        </is>
      </c>
      <c r="G50" s="8" t="inlineStr">
        <is>
          <t>军事仿真与军工软件、电子对抗与蓝军仿真</t>
        </is>
      </c>
      <c r="H50" s="7" t="inlineStr">
        <is>
          <t>核心</t>
        </is>
      </c>
      <c r="I50" s="8" t="inlineStr">
        <is>
          <t>公司以军事仿真和军事智能为主业，XSim体系包括军事大模型、智能仿真平台、数字战场和数字兵力，产品用于作战实验、模拟训练、装备论证、试验鉴定和综合保障，并已形成智能蓝军、谋战、智能靶标等方案；主要客户为军队和国防工业企业，不是通用AI软件概念。2025年军事训练收入1.8469亿元、占61.0220%，智能决策0.4203亿元、占13.8853%，数智试验0.2161亿元、占7.1401%，游戏及文旅0.4769亿元、占15.7551%，智能装备0.0623亿元、占2.0597%。军事相关板块占绝对主体，故维持核心；旧“军工AI、军工电子”过泛，应细化为军事仿真与军工软件、电子对抗与蓝军仿真。</t>
        </is>
      </c>
      <c r="J50" s="7" t="inlineStr">
        <is>
          <t>北京华如科技股份有限公司2025年年度报告</t>
        </is>
      </c>
      <c r="K50" s="7" t="inlineStr">
        <is>
          <t>2026-04-21</t>
        </is>
      </c>
      <c r="L50" s="8" t="inlineStr">
        <is>
          <t>iFinD ifind_get_stock_info + ifind_get_stock_business_segmentation (as of 2026-10-27)；北京华如科技股份有限公司2025年年度报告</t>
        </is>
      </c>
      <c r="M50" s="9" t="inlineStr">
        <is>
          <t>https://static.cninfo.com.cn/finalpage/2026-04-21/1225129388.PDF</t>
        </is>
      </c>
    </row>
    <row r="51" ht="96" customHeight="1">
      <c r="B51" s="4" t="inlineStr">
        <is>
          <t>302132</t>
        </is>
      </c>
      <c r="C51" s="4" t="inlineStr">
        <is>
          <t>中航成飞</t>
        </is>
      </c>
      <c r="D51" s="5" t="inlineStr">
        <is>
          <t>军工：航空装备-战斗机主机厂</t>
        </is>
      </c>
      <c r="E51" s="4" t="inlineStr">
        <is>
          <t>纠错</t>
        </is>
      </c>
      <c r="F51" s="4" t="inlineStr">
        <is>
          <t>军工</t>
        </is>
      </c>
      <c r="G51" s="5" t="inlineStr">
        <is>
          <t>航空整机-固定翼</t>
        </is>
      </c>
      <c r="H51" s="4" t="inlineStr">
        <is>
          <t>核心</t>
        </is>
      </c>
      <c r="I51" s="5" t="inlineStr">
        <is>
          <t>公司是航空整机研制生产和出口基地，已研制歼-10、歼-20、枭龙等主战固定翼装备，并提供整机维修、备件、培训和军贸服务，军用航空产品按客户采购计划交付，产品、军方及军贸客户场景均为直接证据。2025年航空制造业收入735.5138亿元、占97.6014%，航空产品收入同为735.5138亿元，其他收入18.0758亿元、占2.3986%，航空防务与民机大部件未独立拆分。航空整机研发制造构成绝对主营且军用主战装备是核心，故维持核心；旧“战斗机主机厂、空军、军贸”混用主机、军种和贸易方式，统一按产品实质纠正为航空整机-固定翼。</t>
        </is>
      </c>
      <c r="J51" s="4" t="inlineStr">
        <is>
          <t>中航成飞股份有限公司2025年年度报告</t>
        </is>
      </c>
      <c r="K51" s="4" t="inlineStr">
        <is>
          <t>2026-04-29</t>
        </is>
      </c>
      <c r="L51" s="5" t="inlineStr">
        <is>
          <t>iFinD ifind_get_stock_info + ifind_get_stock_business_segmentation (as of 2026-10-27)；中航成飞股份有限公司2025年年度报告</t>
        </is>
      </c>
      <c r="M51" s="6" t="inlineStr">
        <is>
          <t>https://static.cninfo.com.cn/finalpage/2026-04-29/1225250581.PDF</t>
        </is>
      </c>
    </row>
    <row r="52" ht="96" customHeight="1">
      <c r="B52" s="7" t="inlineStr">
        <is>
          <t>600038</t>
        </is>
      </c>
      <c r="C52" s="7" t="inlineStr">
        <is>
          <t>中直股份</t>
        </is>
      </c>
      <c r="D52" s="8" t="inlineStr">
        <is>
          <t>军工：航空装备-直升机主机厂</t>
        </is>
      </c>
      <c r="E52" s="7" t="inlineStr">
        <is>
          <t>纠错</t>
        </is>
      </c>
      <c r="F52" s="7" t="inlineStr">
        <is>
          <t>军工</t>
        </is>
      </c>
      <c r="G52" s="8" t="inlineStr">
        <is>
          <t>航空整机-直升机</t>
        </is>
      </c>
      <c r="H52" s="7" t="inlineStr">
        <is>
          <t>核心</t>
        </is>
      </c>
      <c r="I52" s="8" t="inlineStr">
        <is>
          <t>公司是我国直升机产业专业化上市平台，研发制造多型不同吨位直升机及零部件，并覆盖通用飞机、航空转包和客户化服务，直升机整机研制、生产和交付构成实际主业；军用航空装备属性来自其装备谱系和主责主业，不是仅凭航空工业央企背景认定。2025年航空制造业收入288.7524亿元、占99.2740%，航空产品收入同为288.7524亿元，其他收入2.1118亿元、占0.7260%，其中先进制造1.0136亿元，军用与民用直升机收入未独立拆分。航空产品占绝对主体且直升机为核心整机产品，故维持核心；旧“直升机主机厂、空军、陆军”应按产品统一为航空整机-直升机。</t>
        </is>
      </c>
      <c r="J52" s="7" t="inlineStr">
        <is>
          <t>中航直升机股份有限公司2025年年度报告（更正后）</t>
        </is>
      </c>
      <c r="K52" s="7" t="inlineStr">
        <is>
          <t>2026-05-16</t>
        </is>
      </c>
      <c r="L52" s="8" t="inlineStr">
        <is>
          <t>iFinD ifind_get_stock_info + ifind_get_stock_business_segmentation (as of 2026-10-27)；中航直升机股份有限公司2025年年度报告（更正后）</t>
        </is>
      </c>
      <c r="M52" s="9" t="inlineStr">
        <is>
          <t>https://static.cninfo.com.cn/finalpage/2026-05-16/1225309475.PDF</t>
        </is>
      </c>
    </row>
    <row r="53" ht="96" customHeight="1">
      <c r="B53" s="4" t="inlineStr">
        <is>
          <t>600150</t>
        </is>
      </c>
      <c r="C53" s="4" t="inlineStr">
        <is>
          <t>中国船舶</t>
        </is>
      </c>
      <c r="D53" s="5" t="inlineStr">
        <is>
          <t>军工：海军</t>
        </is>
      </c>
      <c r="E53" s="4" t="inlineStr">
        <is>
          <t>纠错</t>
        </is>
      </c>
      <c r="F53" s="4" t="inlineStr">
        <is>
          <t>军工</t>
        </is>
      </c>
      <c r="G53" s="5" t="inlineStr">
        <is>
          <t>船舶总装与海洋防务</t>
        </is>
      </c>
      <c r="H53" s="4" t="inlineStr">
        <is>
          <t>核心</t>
        </is>
      </c>
      <c r="I53" s="5" t="inlineStr">
        <is>
          <t>公司旗下江南造船、大连造船、武昌造船直接建造军用舰船，广船国际建造军辅船，年报明确其为国内领先海洋防务装备上市公司和海军装备建设重要力量，具备研发、设计、总装及修理改装能力，属于真实军舰总装而非普通造船的军用联想。2025年工业收入1480.6774亿元、占97.4271%，船舶造修及海洋工程1312.7873亿元、约占总收入86.38%，机电设备186.1722亿元、约占12.25%，军船和民船未独立拆分。船舶总装为绝对主营且军用舰船是核心产品谱系，故维持核心；旧“海军”是军种粗标签，改为船舶总装与海洋防务更准确。</t>
        </is>
      </c>
      <c r="J53" s="4" t="inlineStr">
        <is>
          <t>中国船舶工业股份有限公司2025年年度报告</t>
        </is>
      </c>
      <c r="K53" s="4" t="inlineStr">
        <is>
          <t>2026-04-30</t>
        </is>
      </c>
      <c r="L53" s="5" t="inlineStr">
        <is>
          <t>iFinD ifind_get_stock_info + ifind_get_stock_business_segmentation (as of 2026-10-27)；中国船舶工业股份有限公司2025年年度报告</t>
        </is>
      </c>
      <c r="M53" s="6" t="inlineStr">
        <is>
          <t>https://static.cninfo.com.cn/finalpage/2026-04-30/1225261150.PDF</t>
        </is>
      </c>
    </row>
    <row r="54" ht="96" customHeight="1">
      <c r="B54" s="7" t="inlineStr">
        <is>
          <t>600184</t>
        </is>
      </c>
      <c r="C54" s="7" t="inlineStr">
        <is>
          <t>光电股份</t>
        </is>
      </c>
      <c r="D54" s="8" t="inlineStr">
        <is>
          <t>军工：导弹-精确制导</t>
        </is>
      </c>
      <c r="E54" s="7" t="inlineStr">
        <is>
          <t>纠错</t>
        </is>
      </c>
      <c r="F54" s="7" t="inlineStr">
        <is>
          <t>军工</t>
        </is>
      </c>
      <c r="G54" s="8" t="inlineStr">
        <is>
          <t>导弹与精确制导、红外光电与激光</t>
        </is>
      </c>
      <c r="H54" s="7" t="inlineStr">
        <is>
          <t>核心</t>
        </is>
      </c>
      <c r="I54" s="8" t="inlineStr">
        <is>
          <t>公司防务板块直接生产大型武器系统、炮弹导弹炸弹用精确制导导引头，以及机载、车载、舰载光电信息装备；激光末制导炮弹、空地导弹和炸弹导引头已列明，部分光电产品广泛列装，客户为装备总体单位、主机厂和终端军方，军工落地充分。2025年防务产品收入15.7364亿元、约占总收入64.46%，光学玻璃8.5154亿元、约占34.88%，其他业务0.1584亿元、占0.6487%，防务内部未再拆分。防务产品已占多数且为核心主业，故维持核心；旧“导弹-精确制导、光电系统、陆军”应去除军种泛称，按实质归为导弹与精确制导、红外光电与激光。</t>
        </is>
      </c>
      <c r="J54" s="7" t="inlineStr">
        <is>
          <t>北方光电股份有限公司2025年年度报告</t>
        </is>
      </c>
      <c r="K54" s="7" t="inlineStr">
        <is>
          <t>2026-04-25</t>
        </is>
      </c>
      <c r="L54" s="8" t="inlineStr">
        <is>
          <t>iFinD ifind_get_stock_info + ifind_get_stock_business_segmentation (as of 2026-10-27)；北方光电股份有限公司2025年年度报告</t>
        </is>
      </c>
      <c r="M54" s="9" t="inlineStr">
        <is>
          <t>https://static.cninfo.com.cn/finalpage/2026-04-25/1225182277.PDF</t>
        </is>
      </c>
    </row>
    <row r="55" ht="96" customHeight="1">
      <c r="B55" s="4" t="inlineStr">
        <is>
          <t>600316</t>
        </is>
      </c>
      <c r="C55" s="4" t="inlineStr">
        <is>
          <t>洪都航空</t>
        </is>
      </c>
      <c r="D55" s="5" t="inlineStr">
        <is>
          <t>军工：导弹</t>
        </is>
      </c>
      <c r="E55" s="4" t="inlineStr">
        <is>
          <t>纠错</t>
        </is>
      </c>
      <c r="F55" s="4" t="inlineStr">
        <is>
          <t>军工</t>
        </is>
      </c>
      <c r="G55" s="5" t="inlineStr">
        <is>
          <t>航空整机-固定翼</t>
        </is>
      </c>
      <c r="H55" s="4" t="inlineStr">
        <is>
          <t>核心</t>
        </is>
      </c>
      <c r="I55" s="5" t="inlineStr">
        <is>
          <t>公司真实业务是CJ6初级教练机、K8基础教练机和L15高级教练机等固定翼军用训练装备的研制、生产、维修及服务保障，并承担防务产品研发制造，直接服务飞行员训练和航空防务体系建设，并非一般航空零部件可军民两用的推断。输入2025年分部显示航空产业收入73.8474亿元、占99.1356%，其中教练机17.7166亿元，约占公司总收入23.78%；其他民品配件56.1308亿元，说明民品配件金额较大，但教练机仍是具有规模的核心防务产品，故列核心。旧“导弹”没有对应主营产品支撑，旧“空军”又只是军种粗标签，均应纠正为按整机实质划分的固定翼航空整机。</t>
        </is>
      </c>
      <c r="J55" s="4" t="inlineStr">
        <is>
          <t>洪都航空2025年年度报告</t>
        </is>
      </c>
      <c r="K55" s="4" t="inlineStr">
        <is>
          <t>2026-03-28</t>
        </is>
      </c>
      <c r="L55" s="5" t="inlineStr">
        <is>
          <t>iFinD ifind_get_stock_info + ifind_get_stock_business_segmentation (as of 2026-10-27)；洪都航空2025年年度报告</t>
        </is>
      </c>
      <c r="M55" s="6" t="inlineStr">
        <is>
          <t>https://www.sse.com.cn/disclosure/listedinfo/announcement/c/new/2026-03-28/600316_20260328_HVBB.pdf</t>
        </is>
      </c>
    </row>
    <row r="56" ht="96" customHeight="1">
      <c r="B56" s="7" t="inlineStr">
        <is>
          <t>600343</t>
        </is>
      </c>
      <c r="C56" s="7" t="inlineStr">
        <is>
          <t>航天动力</t>
        </is>
      </c>
      <c r="D56" s="8" t="inlineStr">
        <is>
          <t>军工：航天-航天发动机</t>
        </is>
      </c>
      <c r="E56" s="7" t="inlineStr">
        <is>
          <t>摘除</t>
        </is>
      </c>
      <c r="F56" s="7" t="inlineStr">
        <is>
          <t>—</t>
        </is>
      </c>
      <c r="G56" s="8" t="inlineStr">
        <is>
          <t>—</t>
        </is>
      </c>
      <c r="H56" s="7" t="inlineStr">
        <is>
          <t>摘除</t>
        </is>
      </c>
      <c r="I56" s="8" t="inlineStr">
        <is>
          <t>年报所列产品为工业往复泵、化工流程泵、大型水利泵、消防泵、工程及乘用车液力变矩器和高压电机，应用与客户主要是油田、水利、工程机械、乘用车等民用领域；输入资料也没有给出导弹、火箭或军用装备的已交付产品、军用场景及主机厂客户。2025年泵及泵系统收入3.9311亿元、液力变矩器2.1554亿元、电机1.3357亿元、流体装备0.5683亿元，制造业收入7.9904亿元、占97.0131%，未独立拆分任何军工或航天发动机收入。航天液体动力技术转化、航天六院背景和GJB体系不能替代军工落地证据，因此摘除。旧“航天-航天发动机”“导弹-动力”把技术来源误当成产品事实，必须纠正。</t>
        </is>
      </c>
      <c r="J56" s="7" t="inlineStr">
        <is>
          <t>航天动力2025年年度报告</t>
        </is>
      </c>
      <c r="K56" s="7" t="inlineStr">
        <is>
          <t>2026-03-31</t>
        </is>
      </c>
      <c r="L56" s="8" t="inlineStr">
        <is>
          <t>iFinD ifind_get_stock_info + ifind_get_stock_business_segmentation (as of 2026-10-27)；航天动力2025年年度报告</t>
        </is>
      </c>
      <c r="M56" s="9" t="inlineStr">
        <is>
          <t>https://www.sse.com.cn/disclosure/listedinfo/announcement/c/new/2026-03-31/600343_20260331_GHRW.pdf</t>
        </is>
      </c>
    </row>
    <row r="57" ht="96" customHeight="1">
      <c r="B57" s="4" t="inlineStr">
        <is>
          <t>600353</t>
        </is>
      </c>
      <c r="C57" s="4" t="inlineStr">
        <is>
          <t>旭光电子</t>
        </is>
      </c>
      <c r="D57" s="5" t="inlineStr">
        <is>
          <t>军工：军工电子</t>
        </is>
      </c>
      <c r="E57" s="4" t="inlineStr">
        <is>
          <t>纠错</t>
        </is>
      </c>
      <c r="F57" s="4" t="inlineStr">
        <is>
          <t>军工</t>
        </is>
      </c>
      <c r="G57" s="5" t="inlineStr">
        <is>
          <t>航空结构件与锻铸件、航空机载系统与航电</t>
        </is>
      </c>
      <c r="H57" s="4" t="inlineStr">
        <is>
          <t>核心</t>
        </is>
      </c>
      <c r="I57" s="5" t="inlineStr">
        <is>
          <t>公司军工业务具有明确产品载体：航空航天飞行器精密结构件直接用于飞行器机体或设备结构配套，智能嵌入式计算机用于装备机载计算与控制场景，均不是以普通真空灭弧室的潜在军用价值来贴标。输入2025年分部明确列出军工行业收入3.9414亿元、占24.1073%，毛利率37.0512%；其中精密结构件2.4361亿元、嵌入式计算机1.5053亿元，两项合计恰与军工行业收入对应。军工已形成数亿元收入和重要利润来源，虽电力设备收入8.7345亿元、占53.4239%仍为最大板块，仍符合重要收入的核心标准。旧“军工电子”只覆盖计算机而漏掉结构件，需按产品实质拆分细化。</t>
        </is>
      </c>
      <c r="J57" s="4" t="inlineStr">
        <is>
          <t>旭光电子2025年年度报告</t>
        </is>
      </c>
      <c r="K57" s="4" t="inlineStr">
        <is>
          <t>2026-03-20</t>
        </is>
      </c>
      <c r="L57" s="5" t="inlineStr">
        <is>
          <t>iFinD ifind_get_stock_info + ifind_get_stock_business_segmentation (as of 2026-10-27)；旭光电子2025年年度报告</t>
        </is>
      </c>
      <c r="M57" s="6" t="inlineStr">
        <is>
          <t>https://www.sse.com.cn/disclosure/listedinfo/announcement/c/new/2026-03-20/600353_20260320_8A7X.pdf</t>
        </is>
      </c>
    </row>
    <row r="58" ht="96" customHeight="1">
      <c r="B58" s="7" t="inlineStr">
        <is>
          <t>600363</t>
        </is>
      </c>
      <c r="C58" s="7" t="inlineStr">
        <is>
          <t>联创光电</t>
        </is>
      </c>
      <c r="D58" s="8" t="inlineStr">
        <is>
          <t>军工：军工电子</t>
        </is>
      </c>
      <c r="E58" s="7" t="inlineStr">
        <is>
          <t>纠错</t>
        </is>
      </c>
      <c r="F58" s="7" t="inlineStr">
        <is>
          <t>军工</t>
        </is>
      </c>
      <c r="G58" s="8" t="inlineStr">
        <is>
          <t>红外光电与激光</t>
        </is>
      </c>
      <c r="H58" s="7" t="inlineStr">
        <is>
          <t>相关</t>
        </is>
      </c>
      <c r="I58" s="8" t="inlineStr">
        <is>
          <t>公司真实防务相关业务是半导体激光系列及航天微电子元器件，其中激光器可进入光电对抗、激光装备等军用光电系统，航天微电子器件面向航天装备配套；这与LED背光源、智能控制器等民用产品具有明确区别。2025年“半导体激光系列及航天微电子元器件”合并收入3.3745亿元，约占各产品收入合计33.4225亿元的10.10%，但年报未把军用激光、航天微电子及各自收入进一步独立拆分，无法将军工视为公司主营；智能控制产品16.6230亿元、背光源11.4522亿元，民用规模明显更大，故由核心下调为相关。旧“军工电子”过宽，也不能体现可控核聚变超导磁体与防务激光是不同业务，应收敛到可核验的红外光电与激光方向。</t>
        </is>
      </c>
      <c r="J58" s="7" t="inlineStr">
        <is>
          <t>2025年年度报告</t>
        </is>
      </c>
      <c r="K58" s="7" t="inlineStr">
        <is>
          <t>2026-04-30</t>
        </is>
      </c>
      <c r="L58" s="8" t="inlineStr">
        <is>
          <t>iFinD ifind_get_stock_info + ifind_get_stock_business_segmentation (as of 2026-10-27)；2025年年度报告</t>
        </is>
      </c>
      <c r="M58" s="9" t="inlineStr">
        <is>
          <t>https://www.sse.com.cn/disclosure/listedinfo/announcement/c/new/2026-04-30/600363_20260430_79K3.pdf</t>
        </is>
      </c>
    </row>
    <row r="59" ht="96" customHeight="1">
      <c r="B59" s="4" t="inlineStr">
        <is>
          <t>600372</t>
        </is>
      </c>
      <c r="C59" s="4" t="inlineStr">
        <is>
          <t>中航机载</t>
        </is>
      </c>
      <c r="D59" s="5" t="inlineStr">
        <is>
          <t>军工：航空装备-机载系统</t>
        </is>
      </c>
      <c r="E59" s="4" t="inlineStr">
        <is>
          <t>纠错</t>
        </is>
      </c>
      <c r="F59" s="4" t="inlineStr">
        <is>
          <t>军工</t>
        </is>
      </c>
      <c r="G59" s="5" t="inlineStr">
        <is>
          <t>航空机载系统与航电</t>
        </is>
      </c>
      <c r="H59" s="4" t="inlineStr">
        <is>
          <t>核心</t>
        </is>
      </c>
      <c r="I59" s="5" t="inlineStr">
        <is>
          <t>公司为各类飞行器提供航空电子、飞行控制、航空机电系统及设备，产品直接承担军机的航电感知、飞控执行、机电能源与保障功能，并有非航空防务产品收入，属于已经规模化的主机配套业务，而非潜在供应关系。2025年航空产品收入188.7525亿元，占77.9584%；非航空防务产品另有11.8903亿元，约占4.91%，现代产业及其他41.4768亿元、汽车制造业31.8832亿元。航空与防务合计构成绝对主业，军民航空未在输入中进一步拆分不影响核心判断。旧“航空装备-机载系统”方向正确但命名不在本次允许范围，旧“空军”又将军种混作产品概念，统一细化为航空机载系统与航电。</t>
        </is>
      </c>
      <c r="J59" s="4" t="inlineStr">
        <is>
          <t>中航机载2025年年度报告</t>
        </is>
      </c>
      <c r="K59" s="4" t="inlineStr">
        <is>
          <t>2026-03-28</t>
        </is>
      </c>
      <c r="L59" s="5" t="inlineStr">
        <is>
          <t>iFinD ifind_get_stock_info + ifind_get_stock_business_segmentation (as of 2026-10-27)；中航机载2025年年度报告</t>
        </is>
      </c>
      <c r="M59" s="6" t="inlineStr">
        <is>
          <t>https://www.sse.com.cn/disclosure/listedinfo/announcement/c/new/2026-03-28/600372_20260328_V5YL.pdf</t>
        </is>
      </c>
    </row>
    <row r="60" ht="96" customHeight="1">
      <c r="B60" s="7" t="inlineStr">
        <is>
          <t>600391</t>
        </is>
      </c>
      <c r="C60" s="7" t="inlineStr">
        <is>
          <t>航发科技</t>
        </is>
      </c>
      <c r="D60" s="8" t="inlineStr">
        <is>
          <t>军工：空军</t>
        </is>
      </c>
      <c r="E60" s="7" t="inlineStr">
        <is>
          <t>纠错</t>
        </is>
      </c>
      <c r="F60" s="7" t="inlineStr">
        <is>
          <t>军工</t>
        </is>
      </c>
      <c r="G60" s="8" t="inlineStr">
        <is>
          <t>航空发动机与燃气轮机、航空结构件与锻铸件</t>
        </is>
      </c>
      <c r="H60" s="7" t="inlineStr">
        <is>
          <t>核心</t>
        </is>
      </c>
      <c r="I60" s="8" t="inlineStr">
        <is>
          <t>公司从事航空发动机及燃气轮机机匣、叶片、环形件、钣金件和航空轴承等关键零部件研制生产，内贸航空及衍生产品面向国内航空发动机主机配套，外贸则服务通用电气、普惠、罗罗等厂商；军民用场景须区分，但产品确属发动机核心结构而非通用机械件。2025年内贸航空收入28.6963亿元、外贸航空13.7884亿元，分别约占收入合计43.2312亿元的66.38%和31.89%，制造业收入42.6823亿元、占98.7304%，航空主业规模清晰，故列核心。旧“空军”只表达下游军种，无法体现发动机部件属性，也错误掩盖外贸民品占比，须改为发动机与燃气轮机及航空结构件标签。</t>
        </is>
      </c>
      <c r="J60" s="7" t="inlineStr">
        <is>
          <t>中国航发航空科技股份有限公司2025年年度报告</t>
        </is>
      </c>
      <c r="K60" s="7" t="inlineStr">
        <is>
          <t>2026-03-30</t>
        </is>
      </c>
      <c r="L60" s="8" t="inlineStr">
        <is>
          <t>iFinD ifind_get_stock_info + ifind_get_stock_business_segmentation (as of 2026-10-27)；中国航发航空科技股份有限公司2025年年度报告</t>
        </is>
      </c>
      <c r="M60" s="9" t="inlineStr">
        <is>
          <t>https://www.sse.com.cn/disclosure/listedinfo/announcement/c/new/2026-03-30/600391_20260330_1YT8.pdf</t>
        </is>
      </c>
    </row>
    <row r="61" ht="96" customHeight="1">
      <c r="B61" s="4" t="inlineStr">
        <is>
          <t>600399</t>
        </is>
      </c>
      <c r="C61" s="4" t="inlineStr">
        <is>
          <t>抚顺特钢</t>
        </is>
      </c>
      <c r="D61" s="5" t="inlineStr">
        <is>
          <t>军工：军工材料</t>
        </is>
      </c>
      <c r="E61" s="4" t="inlineStr">
        <is>
          <t>纠错</t>
        </is>
      </c>
      <c r="F61" s="4" t="inlineStr">
        <is>
          <t>军工</t>
        </is>
      </c>
      <c r="G61" s="5" t="inlineStr">
        <is>
          <t>军工材料-钛合金与高温合金、军工材料-其他关键材料</t>
        </is>
      </c>
      <c r="H61" s="4" t="inlineStr">
        <is>
          <t>核心</t>
        </is>
      </c>
      <c r="I61" s="5" t="inlineStr">
        <is>
          <t>公司高温合金、超高强度钢、钛合金和特种不锈钢是航空发动机热端部件、航空高强结构及航天装备的关键基础材料，长期承担国防重点工程配套，存在明确军用材料场景，不是普通建筑钢或汽车钢的泛化军用想象。2025年高温合金收入14.0140亿元，约占总收入77.8343亿元的18.00%；合金结构钢22.0113亿元、不锈钢20.3792亿元、合金工具钢14.5511亿元，钢铁业收入76.9264亿元、占98.8336%。输入未单列军品收入，因此不能把全部特钢视作军工，但高温合金等已是规模化核心产品，符合核心口径。旧“军工材料”过于笼统，应细化到高温合金、钛合金及超高强度钢等关键材料。</t>
        </is>
      </c>
      <c r="J61" s="4" t="inlineStr">
        <is>
          <t>抚顺特钢：2025年年度报告</t>
        </is>
      </c>
      <c r="K61" s="4" t="inlineStr">
        <is>
          <t>2026-03-31</t>
        </is>
      </c>
      <c r="L61" s="5" t="inlineStr">
        <is>
          <t>iFinD ifind_get_stock_info + ifind_get_stock_business_segmentation (as of 2026-10-27)；抚顺特钢：2025年年度报告</t>
        </is>
      </c>
      <c r="M61" s="6" t="inlineStr">
        <is>
          <t>https://www.sse.com.cn/disclosure/listedinfo/announcement/c/new/2026-03-31/600399_20260331_ZREC.pdf</t>
        </is>
      </c>
    </row>
    <row r="62" ht="96" customHeight="1">
      <c r="B62" s="7" t="inlineStr">
        <is>
          <t>600416</t>
        </is>
      </c>
      <c r="C62" s="7" t="inlineStr">
        <is>
          <t>湘电股份</t>
        </is>
      </c>
      <c r="D62" s="8" t="inlineStr">
        <is>
          <t>军工：海军-舰船电力推进</t>
        </is>
      </c>
      <c r="E62" s="7" t="inlineStr">
        <is>
          <t>纠错</t>
        </is>
      </c>
      <c r="F62" s="7" t="inlineStr">
        <is>
          <t>军工</t>
        </is>
      </c>
      <c r="G62" s="8" t="inlineStr">
        <is>
          <t>舰船动力与推进、军工电源与电机电气</t>
        </is>
      </c>
      <c r="H62" s="7" t="inlineStr">
        <is>
          <t>核心</t>
        </is>
      </c>
      <c r="I62" s="8" t="inlineStr">
        <is>
          <t>公司特种产品包含舰船电力推进、特种电机与电控系统，直接用于海军舰船推进和装备电力系统；船用推进系统、电气控制设备与特种备件构成真实产品链条，并非将风电、地铁或普通工业电机潜在军用化。2025年特种产品及备件收入17.3961亿元，约占总收入48.8795亿元的35.59%，毛利率20.8535%；电机29.1298亿元、电控1.7919亿元，特种业务已是重要收入和利润板块，因此列核心。输入未将军舰与民船收入进一步拆分，不能把全部电机收入视作军工。旧“海军-舰船电力推进”“海军-电磁发射”和“海军”混用军种与单项技术，需收敛为舰船动力推进及军工电源电机电气。</t>
        </is>
      </c>
      <c r="J62" s="7" t="inlineStr">
        <is>
          <t>湘潭电机股份有限公司2025年年度报告</t>
        </is>
      </c>
      <c r="K62" s="7" t="inlineStr">
        <is>
          <t>2026-04-10</t>
        </is>
      </c>
      <c r="L62" s="8" t="inlineStr">
        <is>
          <t>iFinD ifind_get_stock_info + ifind_get_stock_business_segmentation (as of 2026-10-27)；湘潭电机股份有限公司2025年年度报告</t>
        </is>
      </c>
      <c r="M62" s="9" t="inlineStr">
        <is>
          <t>https://www.sse.com.cn/disclosure/listedinfo/announcement/c/new/2026-04-10/600416_20260410_6NBL.pdf</t>
        </is>
      </c>
    </row>
    <row r="63" ht="96" customHeight="1">
      <c r="B63" s="4" t="inlineStr">
        <is>
          <t>600435</t>
        </is>
      </c>
      <c r="C63" s="4" t="inlineStr">
        <is>
          <t>北方导航</t>
        </is>
      </c>
      <c r="D63" s="5" t="inlineStr">
        <is>
          <t>军工：陆军</t>
        </is>
      </c>
      <c r="E63" s="4" t="inlineStr">
        <is>
          <t>纠错</t>
        </is>
      </c>
      <c r="F63" s="4" t="inlineStr">
        <is>
          <t>军工</t>
        </is>
      </c>
      <c r="G63" s="5" t="inlineStr">
        <is>
          <t>导弹与精确制导、军用导航与惯导、军用通信与指挥控制</t>
        </is>
      </c>
      <c r="H63" s="4" t="inlineStr">
        <is>
          <t>核心</t>
        </is>
      </c>
      <c r="I63" s="5" t="inlineStr">
        <is>
          <t>公司主营导航与控制、军事通信和智能集成连接，导航控制产品直接用于制导武器的航迹控制、姿态测量与精确打击，军事通信产品服务部队指挥和装备信息传输，具备明确军方应用，而非民用导航产品的泛化。2025年军民两用产品收入41.3337亿元、制造业占98.6043%，其他业务仅0.5851亿元；输入没有将军品与民品分别拆出，但军品及军民两用技术研发生产已是公司主业，规模足以认定核心。旧“陆军”限制在单一军种且不能表达产品实质，旧“军贸”只是销售市场，旧“导弹-制导控制”较接近但仍需规范化，故拆为精确制导、军用导航惯导和军事通信指挥控制。</t>
        </is>
      </c>
      <c r="J63" s="4" t="inlineStr">
        <is>
          <t>北方导航2025年年度报告</t>
        </is>
      </c>
      <c r="K63" s="4" t="inlineStr">
        <is>
          <t>2026-03-28</t>
        </is>
      </c>
      <c r="L63" s="5" t="inlineStr">
        <is>
          <t>iFinD ifind_get_stock_info + ifind_get_stock_business_segmentation (as of 2026-10-27)；北方导航2025年年度报告</t>
        </is>
      </c>
      <c r="M63" s="6" t="inlineStr">
        <is>
          <t>https://www.sse.com.cn/disclosure/listedinfo/announcement/c/new/2026-03-28/600435_20260328_3UEL.pdf</t>
        </is>
      </c>
    </row>
    <row r="64" ht="96" customHeight="1">
      <c r="B64" s="7" t="inlineStr">
        <is>
          <t>600456</t>
        </is>
      </c>
      <c r="C64" s="7" t="inlineStr">
        <is>
          <t>宝钛股份</t>
        </is>
      </c>
      <c r="D64" s="8" t="inlineStr">
        <is>
          <t>军工：军工材料</t>
        </is>
      </c>
      <c r="E64" s="7" t="inlineStr">
        <is>
          <t>纠错</t>
        </is>
      </c>
      <c r="F64" s="7" t="inlineStr">
        <is>
          <t>军工</t>
        </is>
      </c>
      <c r="G64" s="8" t="inlineStr">
        <is>
          <t>军工材料-钛合金与高温合金</t>
        </is>
      </c>
      <c r="H64" s="7" t="inlineStr">
        <is>
          <t>核心</t>
        </is>
      </c>
      <c r="I64" s="8" t="inlineStr">
        <is>
          <t>公司钛及钛合金板、管、棒、丝、环材、饼材和精密铸件可用于航空发动机、飞机结构、舰船及航天器的轻量化高强耐蚀部件，具有长期航空航天和国防装备配套事实，产品实质是钛材而非SpaceX潜在供应概念。2025年钛产品收入52.6593亿元，约占收入合计61.2409亿元的85.99%，其他产品4.8060亿元、其他业务3.7756亿元；输入没有单列军工钛材收入，故不能把全部钛产品都算作军工，但钛材本身是规模化核心产品，航空航天防务又是其重要高端应用，列核心。旧“军工材料”“军工材料-钛材”需统一到允许概念，旧“spacex-潜在供应商”缺乏可核验依据且与本次军工分类无关。</t>
        </is>
      </c>
      <c r="J64" s="7" t="inlineStr">
        <is>
          <t>宝鸡钛业股份有限公司2025年年度报告</t>
        </is>
      </c>
      <c r="K64" s="7" t="inlineStr">
        <is>
          <t>2026-04-28</t>
        </is>
      </c>
      <c r="L64" s="8" t="inlineStr">
        <is>
          <t>iFinD ifind_get_stock_info + ifind_get_stock_business_segmentation (as of 2026-10-27)；宝鸡钛业股份有限公司2025年年度报告</t>
        </is>
      </c>
      <c r="M64" s="9" t="inlineStr">
        <is>
          <t>https://www.sse.com.cn/disclosure/listedinfo/announcement/c/new/2026-04-28/600456_20260428_2AGU.pdf</t>
        </is>
      </c>
    </row>
    <row r="65" ht="96" customHeight="1">
      <c r="B65" s="4" t="inlineStr">
        <is>
          <t>600482</t>
        </is>
      </c>
      <c r="C65" s="4" t="inlineStr">
        <is>
          <t>中国动力</t>
        </is>
      </c>
      <c r="D65" s="5" t="inlineStr">
        <is>
          <t>军工：海军</t>
        </is>
      </c>
      <c r="E65" s="4" t="inlineStr">
        <is>
          <t>纠错</t>
        </is>
      </c>
      <c r="F65" s="4" t="inlineStr">
        <is>
          <t>军工</t>
        </is>
      </c>
      <c r="G65" s="5" t="inlineStr">
        <is>
          <t>舰船动力与推进、军工电源与电机电气</t>
        </is>
      </c>
      <c r="H65" s="4" t="inlineStr">
        <is>
          <t>核心</t>
        </is>
      </c>
      <c r="I65" s="5" t="inlineStr">
        <is>
          <t>公司业务覆盖柴油机、燃气轮机、蒸汽动力、综合电力、化学动力、热气机及核动力设备，为军用舰船提供主动力、推进与综合电力系统，同时服务民船和海工市场；其军用价值来自实际舰船动力装备体系，不是中船集团背景推导。2025年柴油动力收入287.1876亿元、化学动力78.9168亿元、海工平台及船用机械61.1713亿元、传动设备29.0036亿元，制造业收入572.5806亿元、占99.0625%。输入未将军舰与民船动力分别拆分，不能将全部收入认定为军品，但多类舰船动力均为规模化核心产品，故列核心。旧“海军”仅指军种，无法区分动力与电池电气产品，应细化。</t>
        </is>
      </c>
      <c r="J65" s="4" t="inlineStr">
        <is>
          <t>中国动力2025年年度报告</t>
        </is>
      </c>
      <c r="K65" s="4" t="inlineStr">
        <is>
          <t>2026-04-30</t>
        </is>
      </c>
      <c r="L65" s="5" t="inlineStr">
        <is>
          <t>iFinD ifind_get_stock_info + ifind_get_stock_business_segmentation (as of 2026-10-27)；中国动力2025年年度报告</t>
        </is>
      </c>
      <c r="M65" s="6" t="inlineStr">
        <is>
          <t>https://www.sse.com.cn/disclosure/listedinfo/announcement/c/new/2026-04-30/600482_20260430_AK7F.pdf</t>
        </is>
      </c>
    </row>
    <row r="66" ht="96" customHeight="1">
      <c r="B66" s="7" t="inlineStr">
        <is>
          <t>600501</t>
        </is>
      </c>
      <c r="C66" s="7" t="inlineStr">
        <is>
          <t>航天晨光</t>
        </is>
      </c>
      <c r="D66" s="8" t="inlineStr">
        <is>
          <t>军工：航天-航天科工装备</t>
        </is>
      </c>
      <c r="E66" s="7" t="inlineStr">
        <is>
          <t>纠错</t>
        </is>
      </c>
      <c r="F66" s="7" t="inlineStr">
        <is>
          <t>军工</t>
        </is>
      </c>
      <c r="G66" s="8" t="inlineStr">
        <is>
          <t>弹药与特种装备、航空地面保障装备</t>
        </is>
      </c>
      <c r="H66" s="7" t="inlineStr">
        <is>
          <t>相关</t>
        </is>
      </c>
      <c r="I66" s="8" t="inlineStr">
        <is>
          <t>公司存在真实的后勤保障与防务配套业务，包括军用特种车、运输及飞机加油车等装备，可服务部队油料保障和机场地面保障；同时压力容器、柔性管件也进入航天发射场配套。上述事实应与核电、聚变杜瓦、石化容器和环卫车辆等民用业务区分。2025年特种装备板块收入1.7159亿元，约占总收入21.5051亿元的7.98%，且该板块还包含核电与聚变产品，未独立拆分军品收入；管类8.0157亿元、容器6.1406亿元、改装车4.9821亿元构成更大民用主体，因此由核心下调为相关。旧“航天-航天科工装备”“国家队”“火箭”过宽或偏集团身份，需改成特种装备及航空地面保障产品。</t>
        </is>
      </c>
      <c r="J66" s="7" t="inlineStr">
        <is>
          <t>航天晨光股份有限公司2025年年度报告</t>
        </is>
      </c>
      <c r="K66" s="7" t="inlineStr">
        <is>
          <t>2026-04-25</t>
        </is>
      </c>
      <c r="L66" s="8" t="inlineStr">
        <is>
          <t>iFinD ifind_get_stock_info + ifind_get_stock_business_segmentation (as of 2026-10-27)；航天晨光股份有限公司2025年年度报告</t>
        </is>
      </c>
      <c r="M66" s="9" t="inlineStr">
        <is>
          <t>https://www.sse.com.cn/disclosure/listedinfo/announcement/c/new/2026-04-25/600501_20260425_N1P8.pdf</t>
        </is>
      </c>
    </row>
    <row r="67" ht="96" customHeight="1">
      <c r="B67" s="4" t="inlineStr">
        <is>
          <t>600562</t>
        </is>
      </c>
      <c r="C67" s="4" t="inlineStr">
        <is>
          <t>国睿科技</t>
        </is>
      </c>
      <c r="D67" s="5" t="inlineStr">
        <is>
          <t>军工：雷达</t>
        </is>
      </c>
      <c r="E67" s="4" t="inlineStr">
        <is>
          <t>纠错</t>
        </is>
      </c>
      <c r="F67" s="4" t="inlineStr">
        <is>
          <t>军工</t>
        </is>
      </c>
      <c r="G67" s="5" t="inlineStr">
        <is>
          <t>雷达与预警探测、军工被动元件与连接器</t>
        </is>
      </c>
      <c r="H67" s="4" t="inlineStr">
        <is>
          <t>核心</t>
        </is>
      </c>
      <c r="I67" s="5" t="inlineStr">
        <is>
          <t>公司雷达装备业务覆盖空管雷达、警戒探测雷达及相关系统，可用于对空监视、目标探测和防空预警，同时微波器件、射频组件为雷达及电子装备提供核心部件，军用场景明确；工业软件和轨道交通控制则是另一类民用业务。2025年雷达整机和子系统收入27.9908亿元，约占总收入33.5804亿元的83.35%，工业软件及智能制造3.0508亿元、轨道交通控制2.1249亿元，雷达显然为规模化主营，故列核心。输入未将军用与民航空管雷达收入拆开，不应把全部雷达都视作军品。旧“雷达”可保留但需规范命名，旧“军贸”是销售渠道，旧“空管”偏民用，应改为预警探测并补充微波射频器件属性。</t>
        </is>
      </c>
      <c r="J67" s="4" t="inlineStr">
        <is>
          <t>国睿科技股份有限公司2025年年度报告</t>
        </is>
      </c>
      <c r="K67" s="4" t="inlineStr">
        <is>
          <t>2026-04-23</t>
        </is>
      </c>
      <c r="L67" s="5" t="inlineStr">
        <is>
          <t>iFinD ifind_get_stock_info + ifind_get_stock_business_segmentation (as of 2026-10-27)；国睿科技股份有限公司2025年年度报告</t>
        </is>
      </c>
      <c r="M67" s="6" t="inlineStr">
        <is>
          <t>https://www.sse.com.cn/disclosure/listedinfo/announcement/c/new/2026-04-23/600562_20260423_ULRY.pdf</t>
        </is>
      </c>
    </row>
    <row r="68" ht="96" customHeight="1">
      <c r="B68" s="7" t="inlineStr">
        <is>
          <t>600590</t>
        </is>
      </c>
      <c r="C68" s="7" t="inlineStr">
        <is>
          <t>泰豪科技</t>
        </is>
      </c>
      <c r="D68" s="8" t="inlineStr">
        <is>
          <t>军工：陆军</t>
        </is>
      </c>
      <c r="E68" s="7" t="inlineStr">
        <is>
          <t>纠错</t>
        </is>
      </c>
      <c r="F68" s="7" t="inlineStr">
        <is>
          <t>军工</t>
        </is>
      </c>
      <c r="G68" s="8" t="inlineStr">
        <is>
          <t>军用通信与指挥控制、军工电源与电机电气、军用导航与惯导</t>
        </is>
      </c>
      <c r="H68" s="7" t="inlineStr">
        <is>
          <t>核心</t>
        </is>
      </c>
      <c r="I68" s="8" t="inlineStr">
        <is>
          <t>公司军工装备包括车载通信指挥系统、军用导航装备、军用电源和军用电站，直接服务野战指挥、装备导航定位与部队机动供电，具有明确军事应用场景，与数据中心应急电源、智能电网等民用业务可以区分。2025年军工装备业务收入15.3579亿元、占33.9673%，其中军用通信装备12.1430亿元、军用电站3.2149亿元；应急装备业务29.0710亿元、占64.2967%，虽为最大板块，但军工收入已达到重要规模，故列核心。旧“陆军”无法覆盖跨军种通信、导航和电源产品，旧“军工电源/应急装备”又将军民应急混在一起，必须按真实军用产品拆分。</t>
        </is>
      </c>
      <c r="J68" s="7" t="inlineStr">
        <is>
          <t>2025年年度报告</t>
        </is>
      </c>
      <c r="K68" s="7" t="inlineStr">
        <is>
          <t>2026-04-15</t>
        </is>
      </c>
      <c r="L68" s="8" t="inlineStr">
        <is>
          <t>iFinD ifind_get_stock_info + ifind_get_stock_business_segmentation (as of 2026-10-27)；2025年年度报告</t>
        </is>
      </c>
      <c r="M68" s="9" t="inlineStr">
        <is>
          <t>https://www.sse.com.cn/disclosure/listedinfo/announcement/c/new/2026-04-15/600590_20260415_C9KL.pdf</t>
        </is>
      </c>
    </row>
    <row r="69" ht="96" customHeight="1">
      <c r="B69" s="4" t="inlineStr">
        <is>
          <t>600685</t>
        </is>
      </c>
      <c r="C69" s="4" t="inlineStr">
        <is>
          <t>中船防务</t>
        </is>
      </c>
      <c r="D69" s="5" t="inlineStr">
        <is>
          <t>军工：海军</t>
        </is>
      </c>
      <c r="E69" s="4" t="inlineStr">
        <is>
          <t>纠错</t>
        </is>
      </c>
      <c r="F69" s="4" t="inlineStr">
        <is>
          <t>军工</t>
        </is>
      </c>
      <c r="G69" s="5" t="inlineStr">
        <is>
          <t>船舶总装与海洋防务</t>
        </is>
      </c>
      <c r="H69" s="4" t="inlineStr">
        <is>
          <t>核心</t>
        </is>
      </c>
      <c r="I69" s="5" t="inlineStr">
        <is>
          <t>公司直接建造军用舰船、海警装备和公务船，并同时建造集装箱船、散货船、气体船及海洋工程平台，军用舰船总装属于明确的海洋防务装备交付，不是船舶配套或集团背景概念。2025年特种船及其他收入123.5630亿元，约占总收入205.4705亿元的60.14%；集装箱船55.8582亿元、钢结构工程10.3757亿元、船舶修理改造5.5428亿元、散货船5.3014亿元，船舶行业整体占98.7341%。特种船中并未逐项拆出军舰金额，但防务总装已是公司核心产业与大规模产品，故列核心。旧“海军”不能准确表达海警、公务船和民船并存，也未体现总装能力，应改为船舶总装与海洋防务。</t>
        </is>
      </c>
      <c r="J69" s="4" t="inlineStr">
        <is>
          <t>中船防务2025年年度报告</t>
        </is>
      </c>
      <c r="K69" s="4" t="inlineStr">
        <is>
          <t>2026-03-28</t>
        </is>
      </c>
      <c r="L69" s="5" t="inlineStr">
        <is>
          <t>iFinD ifind_get_stock_info + ifind_get_stock_business_segmentation (as of 2026-10-27)；中船防务2025年年度报告</t>
        </is>
      </c>
      <c r="M69" s="6" t="inlineStr">
        <is>
          <t>https://www.sse.com.cn/disclosure/listedinfo/announcement/c/new/2026-03-28/600685_20260328_293R.pdf</t>
        </is>
      </c>
    </row>
    <row r="70" ht="96" customHeight="1">
      <c r="B70" s="7" t="inlineStr">
        <is>
          <t>600698</t>
        </is>
      </c>
      <c r="C70" s="7" t="inlineStr">
        <is>
          <t>湖南天雁</t>
        </is>
      </c>
      <c r="D70" s="8" t="inlineStr">
        <is>
          <t>军工：军工配套</t>
        </is>
      </c>
      <c r="E70" s="7" t="inlineStr">
        <is>
          <t>摘除</t>
        </is>
      </c>
      <c r="F70" s="7" t="inlineStr">
        <is>
          <t>—</t>
        </is>
      </c>
      <c r="G70" s="8" t="inlineStr">
        <is>
          <t>—</t>
        </is>
      </c>
      <c r="H70" s="7" t="inlineStr">
        <is>
          <t>摘除</t>
        </is>
      </c>
      <c r="I70" s="8" t="inlineStr">
        <is>
          <t>公司当前可核验产品为发动机涡轮增压器、气门以及汽车热管理、底盘和电驱系统的泵阀、执行元件，2025年报经营与客户描述集中于汽车整车配套和售后市场，没有披露具体军用型号、军工主机厂客户或军品交付金额。“国家特种涡轮增压器定点研制生产基地”等历史表述不能单独证明当期形成军工业务，也不能把普通增压器可装特种车辆作为落地证据。2025年汽车零部件收入5.1271亿元、占99.3689%，增压器4.3934亿元、气门0.5364亿元，未独立拆分军品收入。基于民用主业与证据不足应摘除；旧“军工配套”主要依赖兵装背景和泛化配套想象，必须纠正而非保留。</t>
        </is>
      </c>
      <c r="J70" s="7" t="inlineStr">
        <is>
          <t>湖南天雁机械股份有限公司2025年年度报告</t>
        </is>
      </c>
      <c r="K70" s="7" t="inlineStr">
        <is>
          <t>2026-04-25</t>
        </is>
      </c>
      <c r="L70" s="8" t="inlineStr">
        <is>
          <t>iFinD ifind_get_stock_info + ifind_get_stock_business_segmentation (as of 2026-10-27)；湖南天雁机械股份有限公司2025年年度报告</t>
        </is>
      </c>
      <c r="M70" s="9" t="inlineStr">
        <is>
          <t>https://www.sse.com.cn/disclosure/listedinfo/announcement/c/new/2026-04-25/600698_20260425_54WK.pdf</t>
        </is>
      </c>
    </row>
    <row r="71" ht="96" customHeight="1">
      <c r="B71" s="4" t="inlineStr">
        <is>
          <t>600760</t>
        </is>
      </c>
      <c r="C71" s="4" t="inlineStr">
        <is>
          <t>中航沈飞</t>
        </is>
      </c>
      <c r="D71" s="5" t="inlineStr">
        <is>
          <t>军工：空军</t>
        </is>
      </c>
      <c r="E71" s="4" t="inlineStr">
        <is>
          <t>纠错</t>
        </is>
      </c>
      <c r="F71" s="4" t="inlineStr">
        <is>
          <t>军工</t>
        </is>
      </c>
      <c r="G71" s="5" t="inlineStr">
        <is>
          <t>航空整机-固定翼</t>
        </is>
      </c>
      <c r="H71" s="4" t="inlineStr">
        <is>
          <t>核心</t>
        </is>
      </c>
      <c r="I71" s="5" t="inlineStr">
        <is>
          <t>公司核心产品为航空防务装备，承担固定翼军用飞机整机及航空产品制造，直接面向空海军航空装备建设，兼具民用航空产品但不存在仅靠航空零部件泛化贴标的问题。2025年航空制造业和航空产品收入均为443.7850亿元，占99.3791%；其他业务2.3588亿元、其他0.4140亿元，航空制造占绝对主导，军用航空防务装备又属于其核心主业，因此明确列核心。输入没有把军机与民机收入进一步独立拆分，不应将全部443.7850亿元等同军品，但不影响主营性质判断。旧“空军”只指向一个军种，既过粗又可能遗漏其他用户，需按产品实质统一为航空整机-固定翼。</t>
        </is>
      </c>
      <c r="J71" s="4" t="inlineStr">
        <is>
          <t>中航沈飞股份有限公司2025年年度报告</t>
        </is>
      </c>
      <c r="K71" s="4" t="inlineStr">
        <is>
          <t>2026-03-31</t>
        </is>
      </c>
      <c r="L71" s="5" t="inlineStr">
        <is>
          <t>iFinD ifind_get_stock_info + ifind_get_stock_business_segmentation (as of 2026-10-27)；中航沈飞股份有限公司2025年年度报告</t>
        </is>
      </c>
      <c r="M71" s="6" t="inlineStr">
        <is>
          <t>https://www.sse.com.cn/disclosure/listedinfo/announcement/c/new/2026-03-31/600760_20260331_WSC5.pdf</t>
        </is>
      </c>
    </row>
    <row r="72" ht="96" customHeight="1">
      <c r="B72" s="7" t="inlineStr">
        <is>
          <t>600764</t>
        </is>
      </c>
      <c r="C72" s="7" t="inlineStr">
        <is>
          <t>中国海防</t>
        </is>
      </c>
      <c r="D72" s="8" t="inlineStr">
        <is>
          <t>军工：军工电子-海军电子</t>
        </is>
      </c>
      <c r="E72" s="7" t="inlineStr">
        <is>
          <t>纠错</t>
        </is>
      </c>
      <c r="F72" s="7" t="inlineStr">
        <is>
          <t>军工</t>
        </is>
      </c>
      <c r="G72" s="8" t="inlineStr">
        <is>
          <t>水声与海洋电子、军用通信与指挥控制、军工电源与电机电气</t>
        </is>
      </c>
      <c r="H72" s="7" t="inlineStr">
        <is>
          <t>核心</t>
        </is>
      </c>
      <c r="I72" s="8" t="inlineStr">
        <is>
          <t>公司水声电子防务产品直接用于水下探测、识别、对抗和舰船水下防务，特装电子产品覆盖军用电子信息与专用电气设备，均为真实防务产品，不是普通海洋电子或压载水设备的潜在军用。2025年水声电子防务产品收入13.2784亿元，约占总收入35.3623亿元的37.55%；特装电子产品6.6952亿元、约占18.94%，电子信息产品14.6340亿元，专业技术服务及其他0.2374亿元。水声与特装合计已形成重要主营收入，故列核心。旧“军工电子-海军电子”和“海军-水下防务”均以军种为主且过宽，应细化到水声海洋电子，并保留可核验的特装电子与电气配套属性。</t>
        </is>
      </c>
      <c r="J72" s="7" t="inlineStr">
        <is>
          <t>中国海防2025年年度报告</t>
        </is>
      </c>
      <c r="K72" s="7" t="inlineStr">
        <is>
          <t>2026-04-30</t>
        </is>
      </c>
      <c r="L72" s="8" t="inlineStr">
        <is>
          <t>iFinD ifind_get_stock_info + ifind_get_stock_business_segmentation (as of 2026-10-27)；中国海防2025年年度报告</t>
        </is>
      </c>
      <c r="M72" s="9" t="inlineStr">
        <is>
          <t>https://www.sse.com.cn/disclosure/listedinfo/announcement/c/new/2026-04-30/600764_20260430_EYQD.pdf</t>
        </is>
      </c>
    </row>
    <row r="73" ht="96" customHeight="1">
      <c r="B73" s="4" t="inlineStr">
        <is>
          <t>600765</t>
        </is>
      </c>
      <c r="C73" s="4" t="inlineStr">
        <is>
          <t>中航重机</t>
        </is>
      </c>
      <c r="D73" s="5" t="inlineStr">
        <is>
          <t>军工：空军</t>
        </is>
      </c>
      <c r="E73" s="4" t="inlineStr">
        <is>
          <t>纠错</t>
        </is>
      </c>
      <c r="F73" s="4" t="inlineStr">
        <is>
          <t>军工</t>
        </is>
      </c>
      <c r="G73" s="5" t="inlineStr">
        <is>
          <t>航空结构件与锻铸件</t>
        </is>
      </c>
      <c r="H73" s="4" t="inlineStr">
        <is>
          <t>核心</t>
        </is>
      </c>
      <c r="I73" s="5" t="inlineStr">
        <is>
          <t>公司锻铸产品面向航空飞机和航空发动机关键承力、转动及结构部件，服务重点型号研制批产，属于航空主机和发动机供应链的核心锻铸环节；散热器、液压产品另有军民应用，不能一概视作军工。2025年锻铸产品收入78.3062亿元，约占总收入101.1461亿元的77.42%，锻造行业收入80.6393亿元、占79.7264%；散热器14.3903亿元、液压产品4.2786亿元。输入未单列军品锻件金额，但航空重点型号锻铸业务已规模化并构成主业，符合核心标准。旧“空军”仅描述下游军种，遗漏航空发动机及机体结构配套实质，需细化为航空结构件与锻铸件。</t>
        </is>
      </c>
      <c r="J73" s="4" t="inlineStr">
        <is>
          <t>中航重机2025年年度报告</t>
        </is>
      </c>
      <c r="K73" s="4" t="inlineStr">
        <is>
          <t>2026-03-13</t>
        </is>
      </c>
      <c r="L73" s="5" t="inlineStr">
        <is>
          <t>iFinD ifind_get_stock_info + ifind_get_stock_business_segmentation (as of 2026-10-27)；中航重机2025年年度报告</t>
        </is>
      </c>
      <c r="M73" s="6" t="inlineStr">
        <is>
          <t>https://www.sse.com.cn/disclosure/listedinfo/announcement/c/new/2026-03-13/600765_20260313_TT4M.pdf</t>
        </is>
      </c>
    </row>
    <row r="74" ht="96" customHeight="1">
      <c r="B74" s="7" t="inlineStr">
        <is>
          <t>600862</t>
        </is>
      </c>
      <c r="C74" s="7" t="inlineStr">
        <is>
          <t>中航高科</t>
        </is>
      </c>
      <c r="D74" s="8" t="inlineStr">
        <is>
          <t>军工：军工材料</t>
        </is>
      </c>
      <c r="E74" s="7" t="inlineStr">
        <is>
          <t>纠错</t>
        </is>
      </c>
      <c r="F74" s="7" t="inlineStr">
        <is>
          <t>军工</t>
        </is>
      </c>
      <c r="G74" s="8" t="inlineStr">
        <is>
          <t>军工材料-碳纤维与复合材料</t>
        </is>
      </c>
      <c r="H74" s="7" t="inlineStr">
        <is>
          <t>核心</t>
        </is>
      </c>
      <c r="I74" s="8" t="inlineStr">
        <is>
          <t>公司树脂及预浸料、芳纶纸蜂窝和高温复合材料是军用飞机机体、机翼及航天结构的重要复合材料，航空新材料业务直接进入重点航空装备供应链；民航结构件、刹车产品和轨道车辆制动则属于其他应用，不能混算。2025年新材料产品收入48.6056亿元、占97.0589%，其他业务0.8025亿元、其他产品0.5971亿元、机床0.0732亿元。输入未单列军品复材收入，但航空复合材料已是规模化核心产品且国防航空为重要应用，军工显然不是低收入培育业务，因此由旧相关上调为核心。旧“军工材料”过宽，旧低空经济“碳纤维”不能替代军机复材属性，应统一为碳纤维与复合材料。</t>
        </is>
      </c>
      <c r="J74" s="7" t="inlineStr">
        <is>
          <t>中航高科2025年年度报告</t>
        </is>
      </c>
      <c r="K74" s="7" t="inlineStr">
        <is>
          <t>2026-03-14</t>
        </is>
      </c>
      <c r="L74" s="8" t="inlineStr">
        <is>
          <t>iFinD ifind_get_stock_info + ifind_get_stock_business_segmentation (as of 2026-10-27)；中航高科2025年年度报告</t>
        </is>
      </c>
      <c r="M74" s="9" t="inlineStr">
        <is>
          <t>https://www.sse.com.cn/disclosure/listedinfo/announcement/c/new/2026-03-14/600862_20260314_QMJG.pdf</t>
        </is>
      </c>
    </row>
    <row r="75" ht="96" customHeight="1">
      <c r="B75" s="4" t="inlineStr">
        <is>
          <t>600879</t>
        </is>
      </c>
      <c r="C75" s="4" t="inlineStr">
        <is>
          <t>航天电子</t>
        </is>
      </c>
      <c r="D75" s="5" t="inlineStr">
        <is>
          <t>军工：导弹</t>
        </is>
      </c>
      <c r="E75" s="4" t="inlineStr">
        <is>
          <t>纠错</t>
        </is>
      </c>
      <c r="F75" s="4" t="inlineStr">
        <is>
          <t>军工</t>
        </is>
      </c>
      <c r="G75" s="5" t="inlineStr">
        <is>
          <t>航天装备与分系统、导弹与精确制导、军用无人装备与机器人</t>
        </is>
      </c>
      <c r="H75" s="4" t="inlineStr">
        <is>
          <t>核心</t>
        </is>
      </c>
      <c r="I75" s="5" t="inlineStr">
        <is>
          <t>公司产品包括惯性与导航、测控通信与网络信息、微电子、机电组件与传感系统，以及精导对抗、有效载荷、精确制导和无人机系统，直接服务运载火箭、航天器、导弹及无人作战装备，产品链条和军用场景均明确。2025年航天配套产品收入92.7561亿元、占66.6832%，系统装备产品23.0245亿元、占16.5525%，航天机电组件12.9296亿元、占9.2952%，民用产品9.4286亿元、占6.7783%。航天与系统装备构成规模化绝对主业，故列核心。旧“卫星”“太阳翼结构”“导弹”“航天配套”等标签散乱且部分把配套能力误写成具体产品，应归并为航天分系统、精确制导与军用无人装备。</t>
        </is>
      </c>
      <c r="J75" s="4" t="inlineStr">
        <is>
          <t>航天时代电子技术股份有限公司2025年年度报告</t>
        </is>
      </c>
      <c r="K75" s="4" t="inlineStr">
        <is>
          <t>2026-03-28</t>
        </is>
      </c>
      <c r="L75" s="5" t="inlineStr">
        <is>
          <t>iFinD ifind_get_stock_info + ifind_get_stock_business_segmentation (as of 2026-10-27)；航天时代电子技术股份有限公司2025年年度报告</t>
        </is>
      </c>
      <c r="M75" s="6" t="inlineStr">
        <is>
          <t>https://www.sse.com.cn/disclosure/listedinfo/announcement/c/new/2026-03-28/600879_20260328_AXZ7.pdf</t>
        </is>
      </c>
    </row>
    <row r="76" ht="96" customHeight="1">
      <c r="B76" s="7" t="inlineStr">
        <is>
          <t>600893</t>
        </is>
      </c>
      <c r="C76" s="7" t="inlineStr">
        <is>
          <t>航发动力</t>
        </is>
      </c>
      <c r="D76" s="8" t="inlineStr">
        <is>
          <t>军工：空军</t>
        </is>
      </c>
      <c r="E76" s="7" t="inlineStr">
        <is>
          <t>纠错</t>
        </is>
      </c>
      <c r="F76" s="7" t="inlineStr">
        <is>
          <t>军工</t>
        </is>
      </c>
      <c r="G76" s="8" t="inlineStr">
        <is>
          <t>航空发动机与燃气轮机</t>
        </is>
      </c>
      <c r="H76" s="7" t="inlineStr">
        <is>
          <t>核心</t>
        </is>
      </c>
      <c r="I76" s="8" t="inlineStr">
        <is>
          <t>公司研制生产航空发动机及燃气轮机整机、部件和零组件，并提供维修保障，航空发动机直接用于军用飞机动力系统，外贸转包和非航空贸易则是独立业务，不是仅凭航发集团身份贴标。2025年航空发动机含衍生产品收入434.7625亿元，约占总收入463.3149亿元的93.84%；外贸转包19.5052亿元、非航空产品及贸易2.3201亿元，制造业收入455.0557亿元、占98.2174%。输入未将军用与民用发动机进一步拆分，但航空发动机整机及衍生产品已是绝对规模主业，核心判断充分。旧“空军”无法覆盖发动机维修、燃气轮机及其他军种用户，应细化为航空发动机与燃气轮机。</t>
        </is>
      </c>
      <c r="J76" s="7" t="inlineStr">
        <is>
          <t>中国航发动力股份有限公司2025年年度报告</t>
        </is>
      </c>
      <c r="K76" s="7" t="inlineStr">
        <is>
          <t>2026-04-02</t>
        </is>
      </c>
      <c r="L76" s="8" t="inlineStr">
        <is>
          <t>iFinD ifind_get_stock_info + ifind_get_stock_business_segmentation (as of 2026-10-27)；中国航发动力股份有限公司2025年年度报告</t>
        </is>
      </c>
      <c r="M76" s="9" t="inlineStr">
        <is>
          <t>https://www.sse.com.cn/disclosure/listedinfo/announcement/c/new/2026-04-02/600893_20260402_2PJX.pdf</t>
        </is>
      </c>
    </row>
    <row r="77" ht="96" customHeight="1">
      <c r="B77" s="4" t="inlineStr">
        <is>
          <t>600967</t>
        </is>
      </c>
      <c r="C77" s="4" t="inlineStr">
        <is>
          <t>内蒙一机</t>
        </is>
      </c>
      <c r="D77" s="5" t="inlineStr">
        <is>
          <t>军工：陆军</t>
        </is>
      </c>
      <c r="E77" s="4" t="inlineStr">
        <is>
          <t>纠错</t>
        </is>
      </c>
      <c r="F77" s="4" t="inlineStr">
        <is>
          <t>军工</t>
        </is>
      </c>
      <c r="G77" s="5" t="inlineStr">
        <is>
          <t>地面武器与装甲车辆</t>
        </is>
      </c>
      <c r="H77" s="4" t="inlineStr">
        <is>
          <t>核心</t>
        </is>
      </c>
      <c r="I77" s="5" t="inlineStr">
        <is>
          <t>公司是高新的地面武器装备研发制造企业，特种装备业务以装甲车辆等陆军主战装备为实质产品，直接承担部队机动作战、防护和火力平台任务，同时保留铁路车辆等民用制造基础，二者不能混同。2025年装备制造业及特种产品披露收入均为100.2472亿元、占100.0000%，收入规模清晰；输入未将军品特种装备与铁路车辆等民品进一步拆分，因此不能将全部收入机械认定为军工，但特种装备是公司的核心定位与规模化产品，符合核心标准。旧“陆军”只描述使用军种，未体现装甲车辆和地面武器总装属性，应规范为地面武器与装甲车辆。</t>
        </is>
      </c>
      <c r="J77" s="4" t="inlineStr">
        <is>
          <t>内蒙古第一机械集团股份有限公司2025年年度报告</t>
        </is>
      </c>
      <c r="K77" s="4" t="inlineStr">
        <is>
          <t>2026-04-28</t>
        </is>
      </c>
      <c r="L77" s="5" t="inlineStr">
        <is>
          <t>iFinD ifind_get_stock_info + ifind_get_stock_business_segmentation (as of 2026-10-27)；内蒙古第一机械集团股份有限公司2025年年度报告</t>
        </is>
      </c>
      <c r="M77" s="6" t="inlineStr">
        <is>
          <t>https://www.sse.com.cn/disclosure/listedinfo/announcement/c/new/2026-04-28/600967_20260428_P3KU.pdf</t>
        </is>
      </c>
    </row>
    <row r="78" ht="96" customHeight="1">
      <c r="B78" s="7" t="inlineStr">
        <is>
          <t>600990</t>
        </is>
      </c>
      <c r="C78" s="7" t="inlineStr">
        <is>
          <t>四创电子</t>
        </is>
      </c>
      <c r="D78" s="8" t="inlineStr">
        <is>
          <t>军工：雷达</t>
        </is>
      </c>
      <c r="E78" s="7" t="inlineStr">
        <is>
          <t>纠错</t>
        </is>
      </c>
      <c r="F78" s="7" t="inlineStr">
        <is>
          <t>军工</t>
        </is>
      </c>
      <c r="G78" s="8" t="inlineStr">
        <is>
          <t>雷达与预警探测、航空地面保障装备</t>
        </is>
      </c>
      <c r="H78" s="7" t="inlineStr">
        <is>
          <t>相关</t>
        </is>
      </c>
      <c r="I78" s="8" t="inlineStr">
        <is>
          <t>公司雷达整机及配套覆盖警戒、空管和气象等感知用途，其中警戒雷达可用于对空预警探测，机动保障装备可服务部队机动部署与野外保障，存在真实军工产品；但公共安全、气象、空管和电源业务同样占有较大比重，不能把全部感知产品视作军工。2025年雷达及雷达配套收入8.1491亿元，约占总收入17.4537亿元的46.69%，机动保障装备1.2867亿元；公共安全产品4.9612亿元、电源产品等2.9280亿元。输入未独立拆分军用雷达和军品收入，民用为主特征仍明显，故保留相关而非上调核心。旧“雷达”需规范为预警探测，旧低空“运维”不是军工产品标签，应改按机动保障装备实质补充。</t>
        </is>
      </c>
      <c r="J78" s="7" t="inlineStr">
        <is>
          <t>四创电子2025年年度报告</t>
        </is>
      </c>
      <c r="K78" s="7" t="inlineStr">
        <is>
          <t>2026-04-23</t>
        </is>
      </c>
      <c r="L78" s="8" t="inlineStr">
        <is>
          <t>iFinD ifind_get_stock_info + ifind_get_stock_business_segmentation (as of 2026-10-27)；四创电子2025年年度报告</t>
        </is>
      </c>
      <c r="M78" s="9" t="inlineStr">
        <is>
          <t>https://www.sse.com.cn/disclosure/listedinfo/announcement/c/new/2026-04-23/600990_20260423_HK9K.pdf</t>
        </is>
      </c>
    </row>
    <row r="79" ht="96" customHeight="1">
      <c r="B79" s="4" t="inlineStr">
        <is>
          <t>600992</t>
        </is>
      </c>
      <c r="C79" s="4" t="inlineStr">
        <is>
          <t>贵绳股份</t>
        </is>
      </c>
      <c r="D79" s="5" t="inlineStr">
        <is>
          <t>军工：军工材料</t>
        </is>
      </c>
      <c r="E79" s="4" t="inlineStr">
        <is>
          <t>纠错</t>
        </is>
      </c>
      <c r="F79" s="4" t="inlineStr">
        <is>
          <t>军工</t>
        </is>
      </c>
      <c r="G79" s="5" t="inlineStr">
        <is>
          <t>军工材料-其他关键材料、军工配套-通用零部件</t>
        </is>
      </c>
      <c r="H79" s="4" t="inlineStr">
        <is>
          <t>相关</t>
        </is>
      </c>
      <c r="I79" s="5" t="inlineStr">
        <is>
          <t>公司钢丝、钢绳、钢绞线和索具以桥梁、矿山、海工等民用市场为主，但特种钢丝绳已有舰船及国家重大航天工程实际配套历史，例如航母用绳和飞船回收牵引等明确应用，区别于仅凭“钢丝绳可军用”的潜在供应推断。2025年钢绳收入10.1865亿元，约占总收入20.8759亿元的48.80%，钢丝4.6556亿元、钢绞线5.6301亿元，金属制品收入20.5627亿元、占98.4997%；年报未独立拆分军工收入，民用显然占主导，故只列相关。旧“军工材料”过于笼统，需纠正为特种钢丝绳这一关键材料与索具通用配套，并避免将军工资质当作核心依据。</t>
        </is>
      </c>
      <c r="J79" s="4" t="inlineStr">
        <is>
          <t>贵州钢绳股份有限公司2025年年度报告</t>
        </is>
      </c>
      <c r="K79" s="4" t="inlineStr">
        <is>
          <t>2026-04-25</t>
        </is>
      </c>
      <c r="L79" s="5" t="inlineStr">
        <is>
          <t>iFinD ifind_get_stock_info + ifind_get_stock_business_segmentation (as of 2026-10-27)；贵州钢绳股份有限公司2025年年度报告</t>
        </is>
      </c>
      <c r="M79" s="6" t="inlineStr">
        <is>
          <t>https://www.sse.com.cn/disclosure/listedinfo/announcement/c/new/2026-04-25/600992_20260425_GO4H.pdf</t>
        </is>
      </c>
    </row>
    <row r="80" ht="96" customHeight="1">
      <c r="B80" s="7" t="inlineStr">
        <is>
          <t>601606</t>
        </is>
      </c>
      <c r="C80" s="7" t="inlineStr">
        <is>
          <t>长城军工</t>
        </is>
      </c>
      <c r="D80" s="8" t="inlineStr">
        <is>
          <t>军工：陆军</t>
        </is>
      </c>
      <c r="E80" s="7" t="inlineStr">
        <is>
          <t>纠错</t>
        </is>
      </c>
      <c r="F80" s="7" t="inlineStr">
        <is>
          <t>军工</t>
        </is>
      </c>
      <c r="G80" s="8" t="inlineStr">
        <is>
          <t>弹药与特种装备、电子对抗与蓝军仿真</t>
        </is>
      </c>
      <c r="H80" s="7" t="inlineStr">
        <is>
          <t>核心</t>
        </is>
      </c>
      <c r="I80" s="8" t="inlineStr">
        <is>
          <t>公司真实军品不是泛泛的金属制品，而是迫击炮弹、单兵火箭、子弹药、引信和火工品等弹药装备，直接面向陆军火力打击与弹药配套场景；光电对抗系列则用于目标干扰、防护和对抗训练，具有明确装备用途。2025年制造业收入15.2135亿元、占97.2568%，其中装备制造收入11.2606亿元、约占总收入71.99%，预应力锚具及其他3.9529亿元，军品所属装备制造已是主体收入和规模化核心产品，因此判为核心。旧“陆军”既遗漏光电对抗，又把弹药、引信、火工品等具体产品压缩成军种粗标签，不能反映产品实质，故细化为弹药与特种装备，并补充电子对抗与蓝军仿真，而不是凭央企背景保留。</t>
        </is>
      </c>
      <c r="J80" s="7" t="inlineStr">
        <is>
          <t>安徽长城军工股份有限公司2025年年度报告</t>
        </is>
      </c>
      <c r="K80" s="7" t="inlineStr">
        <is>
          <t>2026-04-25</t>
        </is>
      </c>
      <c r="L80" s="8" t="inlineStr">
        <is>
          <t>iFinD ifind_get_stock_info + ifind_get_stock_business_segmentation (as of 2026-10-27)；安徽长城军工股份有限公司2025年年度报告</t>
        </is>
      </c>
      <c r="M80" s="9" t="inlineStr">
        <is>
          <t>https://money.finance.sina.com.cn/corp/view/vCB_AllBulletinDetail.php?stockid=601606&amp;id=12186260</t>
        </is>
      </c>
    </row>
    <row r="81" ht="96" customHeight="1">
      <c r="B81" s="4" t="inlineStr">
        <is>
          <t>603267</t>
        </is>
      </c>
      <c r="C81" s="4" t="inlineStr">
        <is>
          <t>鸿远电子</t>
        </is>
      </c>
      <c r="D81" s="5" t="inlineStr">
        <is>
          <t>军工：军工电子</t>
        </is>
      </c>
      <c r="E81" s="4" t="inlineStr">
        <is>
          <t>纠错</t>
        </is>
      </c>
      <c r="F81" s="4" t="inlineStr">
        <is>
          <t>军工</t>
        </is>
      </c>
      <c r="G81" s="5" t="inlineStr">
        <is>
          <t>军工被动元件与连接器、军工芯片与特种集成电路</t>
        </is>
      </c>
      <c r="H81" s="4" t="inlineStr">
        <is>
          <t>核心</t>
        </is>
      </c>
      <c r="I81" s="5" t="inlineStr">
        <is>
          <t>公司自产高可靠多层瓷介电容器、滤波器、微波模块和集成电路，年报明确产品广泛应用于航天、航空、电子信息、兵器、船舶等高可靠领域，实际装入导弹、雷达、卫星及舰船电子系统完成滤波、储能和信号处理，并非把普通消费电容简单视为可军用。2025年电子元器件行业收入17.7829亿元、占99.1094%；自产电子元器件10.8820亿元、约占60.65%，代理业务6.9010亿元，高可靠自产业务规模和毛利贡献均居核心位置，故判核心。旧“军工电子”过于宽泛，且与千帆星座、MLCC等标签混写，现按产品实质以军工被动元件为主标签，集成电路和微波模块对应军工芯片与特种集成电路，避免将代理民用产品一并军工化。</t>
        </is>
      </c>
      <c r="J81" s="4" t="inlineStr">
        <is>
          <t>北京元六鸿远电子科技股份有限公司2025年年度报告</t>
        </is>
      </c>
      <c r="K81" s="4" t="inlineStr">
        <is>
          <t>2026-03-28</t>
        </is>
      </c>
      <c r="L81" s="5" t="inlineStr">
        <is>
          <t>iFinD ifind_get_stock_info + ifind_get_stock_business_segmentation (as of 2026-10-27)；北京元六鸿远电子科技股份有限公司2025年年度报告</t>
        </is>
      </c>
      <c r="M81" s="6" t="inlineStr">
        <is>
          <t>https://static.cninfo.com.cn/finalpage/2026-03-28/1225046338.PDF</t>
        </is>
      </c>
    </row>
    <row r="82" ht="96" customHeight="1">
      <c r="B82" s="7" t="inlineStr">
        <is>
          <t>603678</t>
        </is>
      </c>
      <c r="C82" s="7" t="inlineStr">
        <is>
          <t>火炬电子</t>
        </is>
      </c>
      <c r="D82" s="8" t="inlineStr">
        <is>
          <t>军工：军工电子</t>
        </is>
      </c>
      <c r="E82" s="7" t="inlineStr">
        <is>
          <t>纠错</t>
        </is>
      </c>
      <c r="F82" s="7" t="inlineStr">
        <is>
          <t>军工</t>
        </is>
      </c>
      <c r="G82" s="8" t="inlineStr">
        <is>
          <t>军工被动元件与连接器、军工材料-其他关键材料</t>
        </is>
      </c>
      <c r="H82" s="7" t="inlineStr">
        <is>
          <t>核心</t>
        </is>
      </c>
      <c r="I82" s="8" t="inlineStr">
        <is>
          <t>公司的军工落地产品包括高可靠陶瓷电容器、钽电容器、薄膜电路及微波器件，年报披露其服务航空、航天等高端领域，可用于雷达、导弹、卫星和机载电子设备的电源滤波及射频电路；自产特种陶瓷材料则面向耐高温、抗氧化航空航天部件，均有明确产品与场景。2025年自产元器件收入13.6309亿元、占33.0792%，自产新材料2.0430亿元、占4.9580%，贸易收入25.3144亿元、占61.4325%；虽然贸易占比高，高可靠自产元器件仍是重要收入和核心业务，故保留核心但不把贸易额算作军工。旧“军工电子”无法区分电容器与材料，现改为军工被动元件与连接器，并将陶瓷基关键材料单列，纠正泛化标签。</t>
        </is>
      </c>
      <c r="J82" s="7" t="inlineStr">
        <is>
          <t>福建火炬电子科技股份有限公司2025年年度报告</t>
        </is>
      </c>
      <c r="K82" s="7" t="inlineStr">
        <is>
          <t>2026-03-31</t>
        </is>
      </c>
      <c r="L82" s="8" t="inlineStr">
        <is>
          <t>iFinD ifind_get_stock_info + ifind_get_stock_business_segmentation (as of 2026-10-27)；福建火炬电子科技股份有限公司2025年年度报告</t>
        </is>
      </c>
      <c r="M82" s="9" t="inlineStr">
        <is>
          <t>http://static.cninfo.com.cn/finalpage/2026-03-31/1225055912.PDF</t>
        </is>
      </c>
    </row>
    <row r="83" ht="96" customHeight="1">
      <c r="B83" s="4" t="inlineStr">
        <is>
          <t>603712</t>
        </is>
      </c>
      <c r="C83" s="4" t="inlineStr">
        <is>
          <t>七一二</t>
        </is>
      </c>
      <c r="D83" s="5" t="inlineStr">
        <is>
          <t>军工：军工电子</t>
        </is>
      </c>
      <c r="E83" s="4" t="inlineStr">
        <is>
          <t>纠错</t>
        </is>
      </c>
      <c r="F83" s="4" t="inlineStr">
        <is>
          <t>军工</t>
        </is>
      </c>
      <c r="G83" s="5" t="inlineStr">
        <is>
          <t>军用通信与指挥控制</t>
        </is>
      </c>
      <c r="H83" s="4" t="inlineStr">
        <is>
          <t>核心</t>
        </is>
      </c>
      <c r="I83" s="5" t="inlineStr">
        <is>
          <t>公司实际产品为军民用专用无线通信终端和系统，军用机载、舰载、车载及单兵电台承担话音、数据链传输和组网通信，系统集成为指挥所与作战平台提供通信及指挥控制能力，属于已经规模交付的军工电子装备，而非通用通信产品的潜在军用想象。2025年专用无线通信行业收入20.0030亿元、占93.1249%；其中无线通信终端12.5427亿元、约占总收入58.39%，系统产品7.4604亿元、约占34.73%，主业集中度和收入规模均支持核心判定，虽含民用铁路等市场但不改变军品重要地位。旧“军工电子”只给出行业门类，未指出无线通信这一核心实质，现收敛为军用通信与指挥控制，避免误贴雷达、导航或芯片标签。</t>
        </is>
      </c>
      <c r="J83" s="4" t="inlineStr">
        <is>
          <t>天津七一二通信广播股份有限公司2025年年度报告</t>
        </is>
      </c>
      <c r="K83" s="4" t="inlineStr">
        <is>
          <t>2026-04-23</t>
        </is>
      </c>
      <c r="L83" s="5" t="inlineStr">
        <is>
          <t>iFinD ifind_get_stock_info + ifind_get_stock_business_segmentation (as of 2026-10-27)；天津七一二通信广播股份有限公司2025年年度报告</t>
        </is>
      </c>
      <c r="M83" s="6" t="inlineStr">
        <is>
          <t>http://static.sse.com.cn/disclosure/listedinfo/announcement/c/new/2026-04-23/603712_20260423_70EW.pdf</t>
        </is>
      </c>
    </row>
    <row r="84" ht="96" customHeight="1">
      <c r="B84" s="7" t="inlineStr">
        <is>
          <t>605123</t>
        </is>
      </c>
      <c r="C84" s="7" t="inlineStr">
        <is>
          <t>派克新材</t>
        </is>
      </c>
      <c r="D84" s="8" t="inlineStr">
        <is>
          <t>军工：航空装备-航空锻件</t>
        </is>
      </c>
      <c r="E84" s="7" t="inlineStr">
        <is>
          <t>纠错</t>
        </is>
      </c>
      <c r="F84" s="7" t="inlineStr">
        <is>
          <t>军工</t>
        </is>
      </c>
      <c r="G84" s="8" t="inlineStr">
        <is>
          <t>航空结构件与锻铸件</t>
        </is>
      </c>
      <c r="H84" s="7" t="inlineStr">
        <is>
          <t>核心</t>
        </is>
      </c>
      <c r="I84" s="8" t="inlineStr">
        <is>
          <t>公司生产航空发动机机匣、环形件及飞机结构用难变形金属锻件，并向国内航空航天主机和发动机配套体系供货，零件用于承受高温、高转速和复杂载荷，具有真实型号配套属性；航天锻件亦有实际产品基础，但本组不以SpaceX潜在供应商作为保留依据。2025年航空航天锻件收入9.0409亿元、约占总收入25.52%，锻造行业收入31.4109亿元、占88.6597%；电力锻件13.8945亿元、石化锻件5.4995亿元，说明公司并非纯军品企业，但航空航天已是重要收入和规模化核心产品，故判核心，且不将全部锻件等同于军品。旧“航空装备-航空锻件”方向基本正确，需统一为航空结构件与锻铸件；旧“航空发动机”只能表达应用场景，不能替代锻件产品分类。</t>
        </is>
      </c>
      <c r="J84" s="7" t="inlineStr">
        <is>
          <t>无锡派克新材料科技股份有限公司2025年年度报告</t>
        </is>
      </c>
      <c r="K84" s="7" t="inlineStr">
        <is>
          <t>2026-03-18</t>
        </is>
      </c>
      <c r="L84" s="8" t="inlineStr">
        <is>
          <t>iFinD ifind_get_stock_info + ifind_get_stock_business_segmentation (as of 2026-10-27)；无锡派克新材料科技股份有限公司2025年年度报告</t>
        </is>
      </c>
      <c r="M84" s="9" t="inlineStr">
        <is>
          <t>http://static.cninfo.com.cn/finalpage/2026-03-18/1225014158.PDF</t>
        </is>
      </c>
    </row>
    <row r="85" ht="96" customHeight="1">
      <c r="B85" s="4" t="inlineStr">
        <is>
          <t>688002</t>
        </is>
      </c>
      <c r="C85" s="4" t="inlineStr">
        <is>
          <t>睿创微纳</t>
        </is>
      </c>
      <c r="D85" s="5" t="inlineStr">
        <is>
          <t>军工：红外探测</t>
        </is>
      </c>
      <c r="E85" s="4" t="inlineStr">
        <is>
          <t>纠错</t>
        </is>
      </c>
      <c r="F85" s="4" t="inlineStr">
        <is>
          <t>军工</t>
        </is>
      </c>
      <c r="G85" s="5" t="inlineStr">
        <is>
          <t>红外光电与激光、军工芯片与特种集成电路</t>
        </is>
      </c>
      <c r="H85" s="4" t="inlineStr">
        <is>
          <t>核心</t>
        </is>
      </c>
      <c r="I85" s="5" t="inlineStr">
        <is>
          <t>公司形成红外探测器芯片、机芯模组、热像仪整机及光电系统链条，特种产品用于昼夜观察、目标探测、瞄准和平台态势感知，防务场景在年报中有明确披露；自研探测器芯片不是外购通用器件的简单组装，因此可同时对应红外光电和特种集成电路。2025年红外热成像业务收入59.3182亿元、约占总收入94.09%，微波射频业务2.0195亿元，红外热成像行业收入61.7644亿元、占97.9742%；分部未将军品与户外、汽车、工业等民用收入独立拆分，不能宣称全部红外收入均为军工，但特种装备是规模化核心产品且业务体量重要，故判核心。旧“红外探测”只覆盖探测器层级，现细化为红外光电与激光并补充军工芯片，纠正其把主营误写成单纯芯片设计的表述。</t>
        </is>
      </c>
      <c r="J85" s="4" t="inlineStr">
        <is>
          <t>烟台睿创微纳技术股份有限公司2025年年度报告</t>
        </is>
      </c>
      <c r="K85" s="4" t="inlineStr">
        <is>
          <t>2026-04-10</t>
        </is>
      </c>
      <c r="L85" s="5" t="inlineStr">
        <is>
          <t>iFinD ifind_get_stock_info + ifind_get_stock_business_segmentation (as of 2026-10-27)；烟台睿创微纳技术股份有限公司2025年年度报告</t>
        </is>
      </c>
      <c r="M85" s="6" t="inlineStr">
        <is>
          <t>http://file.finance.sina.com.cn/211.154.219.97:9494/MRGG/CNSESH_STOCK/2026/2026-4/2026-04-10/12074932.PDF</t>
        </is>
      </c>
    </row>
    <row r="86" ht="96" customHeight="1">
      <c r="B86" s="7" t="inlineStr">
        <is>
          <t>688011</t>
        </is>
      </c>
      <c r="C86" s="7" t="inlineStr">
        <is>
          <t>新光光电</t>
        </is>
      </c>
      <c r="D86" s="8" t="inlineStr">
        <is>
          <t>军工：导弹-光学制导</t>
        </is>
      </c>
      <c r="E86" s="7" t="inlineStr">
        <is>
          <t>纠错</t>
        </is>
      </c>
      <c r="F86" s="7" t="inlineStr">
        <is>
          <t>军工</t>
        </is>
      </c>
      <c r="G86" s="8" t="inlineStr">
        <is>
          <t>导弹与精确制导、电子对抗与蓝军仿真、军事仿真与军工软件</t>
        </is>
      </c>
      <c r="H86" s="7" t="inlineStr">
        <is>
          <t>核心</t>
        </is>
      </c>
      <c r="I86" s="8" t="inlineStr">
        <is>
          <t>公司军工产品包括光学制导系统、光学目标与场景仿真系统、光电专用测试设备及激光对抗系统，分别用于导弹导引头制导与测试、武器系统半实物仿真、光电装备标校和激光干扰对抗，客户与使用环节均指向武器装备研制和训练，并非普通光学产品可军用。2025年光学目标与场景仿真收入0.8465亿元、约占总收入73.00%，光学制导0.1074亿元、约占9.26%，光电专用测试0.0693亿元，民用产品仅0.0923亿元；其他电子设备制造收入1.1241亿元、占96.9437%，军品相关系统构成主体，故判核心。旧“导弹-光学制导”只保留了一条产品线，遗漏收入更大的仿真和测试业务，现按实质拆为精确制导、电子对抗与军事仿真三类。</t>
        </is>
      </c>
      <c r="J86" s="7" t="inlineStr">
        <is>
          <t>哈尔滨新光光电科技股份有限公司2025年年度报告</t>
        </is>
      </c>
      <c r="K86" s="7" t="inlineStr">
        <is>
          <t>2026-04-24</t>
        </is>
      </c>
      <c r="L86" s="8" t="inlineStr">
        <is>
          <t>iFinD ifind_get_stock_info + ifind_get_stock_business_segmentation (as of 2026-10-27)；哈尔滨新光光电科技股份有限公司2025年年度报告</t>
        </is>
      </c>
      <c r="M86" s="9" t="inlineStr">
        <is>
          <t>http://static.sse.com.cn/disclosure/listedinfo/announcement/c/new/2026-04-24/688011_20260424_71Q0.pdf</t>
        </is>
      </c>
    </row>
    <row r="87" ht="96" customHeight="1">
      <c r="B87" s="4" t="inlineStr">
        <is>
          <t>688070</t>
        </is>
      </c>
      <c r="C87" s="4" t="inlineStr">
        <is>
          <t>纵横股份</t>
        </is>
      </c>
      <c r="D87" s="5" t="inlineStr">
        <is>
          <t>军工：工业无人机</t>
        </is>
      </c>
      <c r="E87" s="4" t="inlineStr">
        <is>
          <t>纠错</t>
        </is>
      </c>
      <c r="F87" s="4" t="inlineStr">
        <is>
          <t>军工</t>
        </is>
      </c>
      <c r="G87" s="5" t="inlineStr">
        <is>
          <t>军用无人装备与机器人</t>
        </is>
      </c>
      <c r="H87" s="4" t="inlineStr">
        <is>
          <t>相关</t>
        </is>
      </c>
      <c r="I87" s="5" t="inlineStr">
        <is>
          <t>公司虽以测绘、巡检、应急等工业无人机为主，2025年报却明确披露防务等重点行业中标多个重点项目、某军贸存量项目顺利交付，第一大客户中航技进出口有限责任公司销售额5756.27万元、占9.27%，研发项目亦明确军事情报侦察用途，因此存在真实军工交付而非单纯无人机军用联想。2025年工业无人机行业收入6.2092亿元，其中无人机系统4.3288亿元、服务0.6399亿元、配件0.6250亿元，民品和低空业务仍为主且军贸未完整独立拆分，故由摘除修正为相关，概念由工业无人机规范为军用无人装备与机器人，但不判核心。</t>
        </is>
      </c>
      <c r="J87" s="4" t="inlineStr">
        <is>
          <t>成都纵横自动化技术股份有限公司2025年年度报告</t>
        </is>
      </c>
      <c r="K87" s="4" t="inlineStr">
        <is>
          <t>2026-04-01</t>
        </is>
      </c>
      <c r="L87" s="5" t="inlineStr">
        <is>
          <t>iFinD ifind_get_stock_info + ifind_get_stock_business_segmentation (as of 2026-10-27)；成都纵横自动化技术股份有限公司2025年年度报告</t>
        </is>
      </c>
      <c r="M87" s="6" t="inlineStr">
        <is>
          <t>http://money.finance.sina.com.cn/corp/view/vCB_AllBulletinDetail.php?stockid=688070&amp;id=12051261</t>
        </is>
      </c>
    </row>
    <row r="88" ht="96" customHeight="1">
      <c r="B88" s="7" t="inlineStr">
        <is>
          <t>688084</t>
        </is>
      </c>
      <c r="C88" s="7" t="inlineStr">
        <is>
          <t>晶品特装</t>
        </is>
      </c>
      <c r="D88" s="8" t="inlineStr">
        <is>
          <t>军工：军用机器人</t>
        </is>
      </c>
      <c r="E88" s="7" t="inlineStr">
        <is>
          <t>纠错</t>
        </is>
      </c>
      <c r="F88" s="7" t="inlineStr">
        <is>
          <t>军工</t>
        </is>
      </c>
      <c r="G88" s="8" t="inlineStr">
        <is>
          <t>军用无人装备与机器人、红外光电与激光、核化生防御与应急救援</t>
        </is>
      </c>
      <c r="H88" s="7" t="inlineStr">
        <is>
          <t>核心</t>
        </is>
      </c>
      <c r="I88" s="8" t="inlineStr">
        <is>
          <t>公司直接研发生产排爆、侦察、打击、伴随助力及核化检测机器人，用于危险爆炸物处置、战场侦察、火力任务和核化环境侦测；融合望远镜、手持综合观测仪、夜视眼镜与智能吊舱构成光电侦察产品，均不是民用机器人或通用相机的泛化延伸。2025年国防军工收入1.7211亿元、占58.8766%，民用收入1.1882亿元、占40.6446%；特种机器人收入1.4022亿元、约占总收入47.96%，智能感知设备0.2861亿元、模拟仿真0.3985亿元，军工已是最大行业板块和规模化核心产品，故判核心。旧“军用机器人”虽正确但不完整，现保留机器人主标签，补充红外光电与激光及核化生防御，避免将公司智能制造民品一并纳入军工。</t>
        </is>
      </c>
      <c r="J88" s="7" t="inlineStr">
        <is>
          <t>北京晶品特装科技股份有限公司2025年年度报告</t>
        </is>
      </c>
      <c r="K88" s="7" t="inlineStr">
        <is>
          <t>2026-04-28</t>
        </is>
      </c>
      <c r="L88" s="8" t="inlineStr">
        <is>
          <t>iFinD ifind_get_stock_info + ifind_get_stock_business_segmentation (as of 2026-10-27)；北京晶品特装科技股份有限公司2025年年度报告</t>
        </is>
      </c>
      <c r="M88" s="9" t="inlineStr">
        <is>
          <t>http://static.sse.com.cn/disclosure/listedinfo/announcement/c/new/2026-04-28/688084_20260428_NAQQ.pdf</t>
        </is>
      </c>
    </row>
    <row r="89" ht="96" customHeight="1">
      <c r="B89" s="4" t="inlineStr">
        <is>
          <t>688122</t>
        </is>
      </c>
      <c r="C89" s="4" t="inlineStr">
        <is>
          <t>西部超导</t>
        </is>
      </c>
      <c r="D89" s="5" t="inlineStr">
        <is>
          <t>军工：军工材料</t>
        </is>
      </c>
      <c r="E89" s="4" t="inlineStr">
        <is>
          <t>纠错</t>
        </is>
      </c>
      <c r="F89" s="4" t="inlineStr">
        <is>
          <t>军工</t>
        </is>
      </c>
      <c r="G89" s="5" t="inlineStr">
        <is>
          <t>军工材料-钛合金与高温合金</t>
        </is>
      </c>
      <c r="H89" s="4" t="inlineStr">
        <is>
          <t>核心</t>
        </is>
      </c>
      <c r="I89" s="5" t="inlineStr">
        <is>
          <t>公司高端钛合金棒丝材已批量用于军用飞机结构件和航空发动机关键部件，高性能高温合金面向航空发动机热端及高承载部位，属于有机型应用和主机配套基础的关键材料；超导产品还服务医疗、科研和聚变等领域，本次不将超导收入自动计作军工。2025年高端钛合金材料收入27.9279亿元、约占总收入53.44%，高性能高温合金5.7146亿元、约占10.94%，超导线材15.9949亿元；有色金属冶炼及压延加工收入49.6375亿元、占94.9876%。钛合金和高温合金合计体量大且为规模化核心产品，军工航空应用重要，故判核心。旧“军工材料”没有指出材料体系，又与超导磁体概念混列，现收敛为钛合金与高温合金，防止把全部超导体业务军工化。</t>
        </is>
      </c>
      <c r="J89" s="4" t="inlineStr">
        <is>
          <t>西部超导材料科技股份有限公司2025年年度报告</t>
        </is>
      </c>
      <c r="K89" s="4" t="inlineStr">
        <is>
          <t>2026-04-24</t>
        </is>
      </c>
      <c r="L89" s="5" t="inlineStr">
        <is>
          <t>iFinD ifind_get_stock_info + ifind_get_stock_business_segmentation (as of 2026-10-27)；西部超导材料科技股份有限公司2025年年度报告</t>
        </is>
      </c>
      <c r="M89" s="6" t="inlineStr">
        <is>
          <t>https://static.cninfo.com.cn/finalpage/2026-04-24/1225162778.PDF</t>
        </is>
      </c>
    </row>
    <row r="90" ht="96" customHeight="1">
      <c r="B90" s="7" t="inlineStr">
        <is>
          <t>688239</t>
        </is>
      </c>
      <c r="C90" s="7" t="inlineStr">
        <is>
          <t>航宇科技</t>
        </is>
      </c>
      <c r="D90" s="8" t="inlineStr">
        <is>
          <t>军工：航空发动机</t>
        </is>
      </c>
      <c r="E90" s="7" t="inlineStr">
        <is>
          <t>纠错</t>
        </is>
      </c>
      <c r="F90" s="7" t="inlineStr">
        <is>
          <t>军工</t>
        </is>
      </c>
      <c r="G90" s="8" t="inlineStr">
        <is>
          <t>航空结构件与锻铸件、航空发动机与燃气轮机</t>
        </is>
      </c>
      <c r="H90" s="7" t="inlineStr">
        <is>
          <t>核心</t>
        </is>
      </c>
      <c r="I90" s="8" t="inlineStr">
        <is>
          <t>公司专门制造航空难变形金属材料环形锻件，产品用于军用航空发动机机匣、涡轮和连接环等关键部位，也覆盖航天与燃气轮机装备，已进入国内外航空发动机及主机配套链，属于真实批量零部件而非普通金属加工可军用。2025年航空锻件收入14.8109亿元、约占总收入72.83%，燃气轮机锻件2.7812亿元、航天锻件1.1289亿元，锻造行业收入18.9562亿元、占93.2131%；航空产品是绝对主体和重要收入，虽军民航空未独立拆分，规模化核心产品及军工配套明确，故判核心。旧“航空发动机”只描述下游场景，容易误解为公司制造整机发动机，现以航空结构件与锻铸件为产品主标签，并保留航空发动机与燃气轮机作为实际应用分类。</t>
        </is>
      </c>
      <c r="J90" s="7" t="inlineStr">
        <is>
          <t>贵州航宇科技发展股份有限公司2025年年度报告</t>
        </is>
      </c>
      <c r="K90" s="7" t="inlineStr">
        <is>
          <t>2026-04-30</t>
        </is>
      </c>
      <c r="L90" s="8" t="inlineStr">
        <is>
          <t>iFinD ifind_get_stock_info + ifind_get_stock_business_segmentation (as of 2026-10-27)；贵州航宇科技发展股份有限公司2025年年度报告</t>
        </is>
      </c>
      <c r="M90" s="9" t="inlineStr">
        <is>
          <t>http://file.finance.sina.com.cn/211.154.219.97:9494/MRGG/CNSESH_STOCK/2026/2026-4/2026-04-30/12276613.PDF</t>
        </is>
      </c>
    </row>
    <row r="91" ht="96" customHeight="1">
      <c r="B91" s="4" t="inlineStr">
        <is>
          <t>688281</t>
        </is>
      </c>
      <c r="C91" s="4" t="inlineStr">
        <is>
          <t>华秦科技</t>
        </is>
      </c>
      <c r="D91" s="5" t="inlineStr">
        <is>
          <t>军工：军工材料</t>
        </is>
      </c>
      <c r="E91" s="4" t="inlineStr">
        <is>
          <t>纠错</t>
        </is>
      </c>
      <c r="F91" s="4" t="inlineStr">
        <is>
          <t>军工</t>
        </is>
      </c>
      <c r="G91" s="5" t="inlineStr">
        <is>
          <t>军工材料-超材料与隐身材料</t>
        </is>
      </c>
      <c r="H91" s="4" t="inlineStr">
        <is>
          <t>核心</t>
        </is>
      </c>
      <c r="I91" s="5" t="inlineStr">
        <is>
          <t>公司核心产品为隐身、伪装和防护等特种功能材料及涂层，应用于军用航空装备和航空发动机，通过降低电磁、红外等可探测特征并耐受复杂服役环境提升平台生存力，已有真实武器装备配套，不是普通涂料或潜在军工供应。2025年特种功能材料产品及技术服务收入10.1828亿元、约占总收入81.87%，航空航天行业收入11.5977亿元、占93.2470%；航空航天零部件加工1.2510亿元、声学超材料及服务0.4974亿元、陶瓷基复合材料0.1639亿元，特种材料的主体地位明确，故判核心。旧“军工材料”范围过粗，无法体现公司最重要的隐身功能属性，现改为军工材料-超材料与隐身材料，且不额外把陶瓷基复材归入碳纤维或把加工服务夸大为航空整机业务。</t>
        </is>
      </c>
      <c r="J91" s="4" t="inlineStr">
        <is>
          <t>陕西华秦科技实业股份有限公司2025年年度报告</t>
        </is>
      </c>
      <c r="K91" s="4" t="inlineStr">
        <is>
          <t>2026-04-28</t>
        </is>
      </c>
      <c r="L91" s="5" t="inlineStr">
        <is>
          <t>iFinD ifind_get_stock_info + ifind_get_stock_business_segmentation (as of 2026-10-27)；陕西华秦科技实业股份有限公司2025年年度报告</t>
        </is>
      </c>
      <c r="M91" s="6" t="inlineStr">
        <is>
          <t>https://vip.stock.finance.sina.com.cn/corp/view/vCB_AllBulletinDetail.php?stockid=688281&amp;id=12214280</t>
        </is>
      </c>
    </row>
    <row r="92" ht="96" customHeight="1">
      <c r="B92" s="7" t="inlineStr">
        <is>
          <t>688297</t>
        </is>
      </c>
      <c r="C92" s="7" t="inlineStr">
        <is>
          <t>中无人机</t>
        </is>
      </c>
      <c r="D92" s="8" t="inlineStr">
        <is>
          <t>军工：无人机</t>
        </is>
      </c>
      <c r="E92" s="7" t="inlineStr">
        <is>
          <t>纠错</t>
        </is>
      </c>
      <c r="F92" s="7" t="inlineStr">
        <is>
          <t>军工</t>
        </is>
      </c>
      <c r="G92" s="8" t="inlineStr">
        <is>
          <t>军用无人装备与机器人</t>
        </is>
      </c>
      <c r="H92" s="7" t="inlineStr">
        <is>
          <t>核心</t>
        </is>
      </c>
      <c r="I92" s="8" t="inlineStr">
        <is>
          <t>公司翼龙-1、翼龙-2、翼龙-X等大型固定翼无人机系统面向侦察监视、情报搜集及察打一体等军事任务，具备真实军贸和防务应用，同时翼龙-2H也用于应急救灾；本次保留依据是明确的军用无人机整机与任务系统，而非低空经济热度或航空工业央企背景。2025年无人机系统产品及服务收入30.1585亿元，航空航天产品制造及相关服务占比100%，公司收入几乎全部来自无人机整机和服务，虽分部未将军贸、国内军用与应急民用分别列示，但大型军用无人机是规模化核心产品，故判核心。旧“无人机”与“军贸”一个过宽、一个只描述销售渠道，均不能表达装备实质，现统一细化为军用无人装备与机器人，避免误列民用工业无人机或航空整机通用标签。</t>
        </is>
      </c>
      <c r="J92" s="7" t="inlineStr">
        <is>
          <t>中航（成都）无人机系统股份有限公司2025年年度报告</t>
        </is>
      </c>
      <c r="K92" s="7" t="inlineStr">
        <is>
          <t>2026-03-17</t>
        </is>
      </c>
      <c r="L92" s="8" t="inlineStr">
        <is>
          <t>iFinD ifind_get_stock_info + ifind_get_stock_business_segmentation (as of 2026-10-27)；中航（成都）无人机系统股份有限公司2025年年度报告</t>
        </is>
      </c>
      <c r="M92" s="9" t="inlineStr">
        <is>
          <t>http://static.cninfo.com.cn/finalpage/2026-03-17/1225012993.PDF</t>
        </is>
      </c>
    </row>
    <row r="93" ht="96" customHeight="1">
      <c r="B93" s="4" t="inlineStr">
        <is>
          <t>688333</t>
        </is>
      </c>
      <c r="C93" s="4" t="inlineStr">
        <is>
          <t>铂力特</t>
        </is>
      </c>
      <c r="D93" s="5" t="inlineStr">
        <is>
          <t>军工：军工材料</t>
        </is>
      </c>
      <c r="E93" s="4" t="inlineStr">
        <is>
          <t>纠错</t>
        </is>
      </c>
      <c r="F93" s="4" t="inlineStr">
        <is>
          <t>军工</t>
        </is>
      </c>
      <c r="G93" s="5" t="inlineStr">
        <is>
          <t>航空结构件与锻铸件、航天装备与分系统</t>
        </is>
      </c>
      <c r="H93" s="4" t="inlineStr">
        <is>
          <t>核心</t>
        </is>
      </c>
      <c r="I93" s="5" t="inlineStr">
        <is>
          <t>公司利用金属增材制造直接生产航空航天复杂结构件、发动机零件及火箭相关部件，并提供打印设备和工艺服务，已服务多类国家重点型号和航空主机配套，属于可核验的装备制造落地；保留依据不是SpaceX潜在供应商，也不是将金属粉末或通用3D打印能力想象成军工。2025年航空航天收入8.8326亿元、占47.7009%，工业机械收入8.9354亿元、占48.2561%；3D打印定制化产品及技术服务10.5231亿元，自研设备及服务6.8610亿元，航空航天已是接近半数的重要收入，军工型号配套具有规模，故判核心，但不把工业和医疗收入算作军品。旧“军工材料”定位错误，公司实质是增材制造装备与零部件服务，现改为航空结构件，并对火箭等实际产品补列航天装备与分系统。</t>
        </is>
      </c>
      <c r="J93" s="4" t="inlineStr">
        <is>
          <t>西安铂力特增材技术股份有限公司2025年年度报告</t>
        </is>
      </c>
      <c r="K93" s="4" t="inlineStr">
        <is>
          <t>2026-04-30</t>
        </is>
      </c>
      <c r="L93" s="5" t="inlineStr">
        <is>
          <t>iFinD ifind_get_stock_info + ifind_get_stock_business_segmentation (as of 2026-10-27)；西安铂力特增材技术股份有限公司2025年年度报告</t>
        </is>
      </c>
      <c r="M93" s="6" t="inlineStr">
        <is>
          <t>http://static.cninfo.com.cn/finalpage/2026-04-30/1225265594.PDF</t>
        </is>
      </c>
    </row>
    <row r="94" ht="96" customHeight="1">
      <c r="B94" s="7" t="inlineStr">
        <is>
          <t>688375</t>
        </is>
      </c>
      <c r="C94" s="7" t="inlineStr">
        <is>
          <t>国博电子</t>
        </is>
      </c>
      <c r="D94" s="8" t="inlineStr">
        <is>
          <t>军工：雷达</t>
        </is>
      </c>
      <c r="E94" s="7" t="inlineStr">
        <is>
          <t>纠错</t>
        </is>
      </c>
      <c r="F94" s="7" t="inlineStr">
        <is>
          <t>军工</t>
        </is>
      </c>
      <c r="G94" s="8" t="inlineStr">
        <is>
          <t>雷达与预警探测、军工芯片与特种集成电路</t>
        </is>
      </c>
      <c r="H94" s="7" t="inlineStr">
        <is>
          <t>核心</t>
        </is>
      </c>
      <c r="I94" s="8" t="inlineStr">
        <is>
          <t>公司有源相控阵T/R组件和射频模块是雷达天线收发的核心部件，用于防空预警、火控及其他军用相控阵雷达，实现波束扫描、信号放大与控制；射频放大和控制芯片则用于特种射频链路，另有移动通信基站等民用场景，不能全部混同。2025年T/R组件和射频模块收入21.0821亿元、约占总收入88.36%，射频芯片1.8717亿元、其他芯片0.6315亿元，模拟集成电路行业收入23.5853亿元、占98.8488%，核心组件已形成大规模收入，故判核心。旧“雷达”只指出下游整机，旧“军工电子-T/R组件”又未覆盖芯片层级，现按产品与应用拆为雷达与预警探测、军工芯片与特种集成电路，不再额外泛贴导弹或卫星有效载荷。</t>
        </is>
      </c>
      <c r="J94" s="7" t="inlineStr">
        <is>
          <t>南京国博电子股份有限公司2025年年度报告</t>
        </is>
      </c>
      <c r="K94" s="7" t="inlineStr">
        <is>
          <t>2026-04-10</t>
        </is>
      </c>
      <c r="L94" s="8" t="inlineStr">
        <is>
          <t>iFinD ifind_get_stock_info + ifind_get_stock_business_segmentation (as of 2026-10-27)；南京国博电子股份有限公司2025年年度报告</t>
        </is>
      </c>
      <c r="M94" s="9" t="inlineStr">
        <is>
          <t>https://static.cninfo.com.cn/finalpage/2026-04-10/1225090270.PDF</t>
        </is>
      </c>
    </row>
    <row r="95" ht="96" customHeight="1">
      <c r="B95" s="4" t="inlineStr">
        <is>
          <t>688385</t>
        </is>
      </c>
      <c r="C95" s="4" t="inlineStr">
        <is>
          <t>复旦微电</t>
        </is>
      </c>
      <c r="D95" s="5" t="inlineStr">
        <is>
          <t>军工：军工电子-军工芯片</t>
        </is>
      </c>
      <c r="E95" s="4" t="inlineStr">
        <is>
          <t>纠错</t>
        </is>
      </c>
      <c r="F95" s="4" t="inlineStr">
        <is>
          <t>军工</t>
        </is>
      </c>
      <c r="G95" s="5" t="inlineStr">
        <is>
          <t>军工芯片与特种集成电路</t>
        </is>
      </c>
      <c r="H95" s="4" t="inlineStr">
        <is>
          <t>核心</t>
        </is>
      </c>
      <c r="I95" s="5" t="inlineStr">
        <is>
          <t>公司高可靠FPGA、PSoC及部分非挥发存储器用于卫星通信、特种图像处理、控制与数据计算等场景，年报明确高可靠产品持续放量并形成客户需求，属于已销售的真实特种芯片；安全识别、智能电表和消费类存储产品则具有大量民用市场，本次不将其整体军工化。2025年FPGA及其他芯片收入14.1362亿元、约占总收入35.50%，非挥发存储器10.4153亿元，设计及销售集成电路行业收入38.2846亿元、占96.1378%；分部没有单独披露军品收入，但FPGA为最大产品板块，高可靠产品规模和技术地位突出，故判核心。旧“军工电子-军工芯片”和“FPGA”意思重复且行业标签偏粗，现统一为军工芯片与特种集成电路，同时纠正把公司简单概括为“FPGA为主、存储为辅”而忽略民用业务的做法。</t>
        </is>
      </c>
      <c r="J95" s="4" t="inlineStr">
        <is>
          <t>上海复旦微电子集团股份有限公司2025年年度报告</t>
        </is>
      </c>
      <c r="K95" s="4" t="inlineStr">
        <is>
          <t>2026-03-28</t>
        </is>
      </c>
      <c r="L95" s="5" t="inlineStr">
        <is>
          <t>iFinD ifind_get_stock_info + ifind_get_stock_business_segmentation (as of 2026-10-27)；上海复旦微电子集团股份有限公司2025年年度报告</t>
        </is>
      </c>
      <c r="M95" s="6" t="inlineStr">
        <is>
          <t>https://www.fmsh.com/UpLoadFile/20260330/%E5%A4%8D%E6%97%A6%E5%BE%AE%E7%94%B5_2025%E5%B9%B4%E5%B9%B4%E5%BA%A6%E6%8A%A5%E5%91%8A-2026-03-28.pdf</t>
        </is>
      </c>
    </row>
    <row r="96" ht="96" customHeight="1">
      <c r="B96" s="7" t="inlineStr">
        <is>
          <t>688543</t>
        </is>
      </c>
      <c r="C96" s="7" t="inlineStr">
        <is>
          <t>国科军工</t>
        </is>
      </c>
      <c r="D96" s="8" t="inlineStr">
        <is>
          <t>军工：导弹</t>
        </is>
      </c>
      <c r="E96" s="7" t="inlineStr">
        <is>
          <t>纠错</t>
        </is>
      </c>
      <c r="F96" s="7" t="inlineStr">
        <is>
          <t>军工</t>
        </is>
      </c>
      <c r="G96" s="8" t="inlineStr">
        <is>
          <t>导弹与精确制导、弹药与特种装备</t>
        </is>
      </c>
      <c r="H96" s="7" t="inlineStr">
        <is>
          <t>核心</t>
        </is>
      </c>
      <c r="I96" s="8" t="inlineStr">
        <is>
          <t>公司专注导弹、火箭固体发动机动力与控制产品以及弹药装备，固体发动机为导弹和火箭提供飞行动力，控制产品参与发动机工作状态调节，弹药产品直接用于火力打击和作战保障，具有明确军方型号及装备用途，不是凭公司名称含“军工”而认定。2025年军品收入13.5178亿元、约占总收入95.84%，民品仅0.4172亿元，受托研制0.1308亿元，其他制造业收入14.0659亿元、占99.7376%；军品占绝对主体并已形成规模收入，核心判定充分。旧“导弹”与“导弹-弹药”把动力分系统和弹药混在一个粗标签下，也没有区分两类核心产品，现细化为导弹与精确制导、弹药与特种装备，保留真实主业并提升映射精度。</t>
        </is>
      </c>
      <c r="J96" s="7" t="inlineStr">
        <is>
          <t>江西国科军工集团股份有限公司2025年年度报告</t>
        </is>
      </c>
      <c r="K96" s="7" t="inlineStr">
        <is>
          <t>2026-03-31</t>
        </is>
      </c>
      <c r="L96" s="8" t="inlineStr">
        <is>
          <t>iFinD ifind_get_stock_info + ifind_get_stock_business_segmentation (as of 2026-10-27)；江西国科军工集团股份有限公司2025年年度报告</t>
        </is>
      </c>
      <c r="M96" s="9" t="inlineStr">
        <is>
          <t>http://file.finance.sina.com.cn/211.154.219.97:9494/MRGG/CNSESH_STOCK/2026/2026-3/2026-03-31/12039301.PDF</t>
        </is>
      </c>
    </row>
    <row r="97" ht="96" customHeight="1">
      <c r="B97" s="4" t="inlineStr">
        <is>
          <t>688552</t>
        </is>
      </c>
      <c r="C97" s="4" t="inlineStr">
        <is>
          <t>航天南湖</t>
        </is>
      </c>
      <c r="D97" s="5" t="inlineStr">
        <is>
          <t>军工：雷达</t>
        </is>
      </c>
      <c r="E97" s="4" t="inlineStr">
        <is>
          <t>纠错</t>
        </is>
      </c>
      <c r="F97" s="4" t="inlineStr">
        <is>
          <t>军工</t>
        </is>
      </c>
      <c r="G97" s="5" t="inlineStr">
        <is>
          <t>雷达与预警探测</t>
        </is>
      </c>
      <c r="H97" s="4" t="inlineStr">
        <is>
          <t>核心</t>
        </is>
      </c>
      <c r="I97" s="5" t="inlineStr">
        <is>
          <t>公司主营防空预警雷达整机、配套装备和零部件，产品用于对空中目标进行搜索、探测、跟踪与预警，为防空作战和指挥系统提供目标信息，另有反无人机等延伸应用，均有明确防务场景，并非一般电子测量设备或民用雷达。2025年雷达及配套装备收入6.8244亿元、约占总收入84.23%，雷达零部件1.0537亿元、约占13.01%，雷达产品制造及相关服务行业收入8.0900亿元、占99.8521%；雷达全链条收入接近全部营业收入，属于主营和规模化核心产品，故判核心。旧“雷达”和“军贸”分别停留在宽泛设备名和销售渠道，无法体现防空预警用途，现统一为雷达与预警探测，不额外将军贸、低空或央企属性作为独立军工概念。</t>
        </is>
      </c>
      <c r="J97" s="4" t="inlineStr">
        <is>
          <t>航天南湖电子信息技术股份有限公司2025年年度报告</t>
        </is>
      </c>
      <c r="K97" s="4" t="inlineStr">
        <is>
          <t>2026-04-22</t>
        </is>
      </c>
      <c r="L97" s="5" t="inlineStr">
        <is>
          <t>iFinD ifind_get_stock_info + ifind_get_stock_business_segmentation (as of 2026-10-27)；航天南湖电子信息技术股份有限公司2025年年度报告</t>
        </is>
      </c>
      <c r="M97" s="6" t="inlineStr">
        <is>
          <t>http://static.sse.com.cn/disclosure/listedinfo/announcement/c/new/2026-04-22/688552_20260422_DCWA.pdf</t>
        </is>
      </c>
    </row>
    <row r="98" ht="96" customHeight="1">
      <c r="B98" s="7" t="inlineStr">
        <is>
          <t>688563</t>
        </is>
      </c>
      <c r="C98" s="7" t="inlineStr">
        <is>
          <t>航材股份</t>
        </is>
      </c>
      <c r="D98" s="8" t="inlineStr">
        <is>
          <t>军工：军工材料</t>
        </is>
      </c>
      <c r="E98" s="7" t="inlineStr">
        <is>
          <t>纠错</t>
        </is>
      </c>
      <c r="F98" s="7" t="inlineStr">
        <is>
          <t>军工</t>
        </is>
      </c>
      <c r="G98" s="8" t="inlineStr">
        <is>
          <t>航空结构件与锻铸件、军工材料-钛合金与高温合金、军工材料-特种玻璃与石英</t>
        </is>
      </c>
      <c r="H98" s="7" t="inlineStr">
        <is>
          <t>核心</t>
        </is>
      </c>
      <c r="I98" s="8" t="inlineStr">
        <is>
          <t>公司面向航空发动机和飞机提供高温合金母合金、钛合金精密铸件、座舱透明件及橡胶密封件，分别用于发动机热端与结构件、飞机承力部件和座舱透明观察密封系统，具有中国航发及航空主机配套的真实产品基础，而非凭央企背景保留。2025年航空成品件收入14.4320亿元、约占总收入50.50%，基础材料11.2537亿元、约占39.37%，制造业收入26.9179亿元、占94.1813%，非航空成品件仅1.2322亿元；航空产品为主体且军工配套重要，虽军民航空未独立拆分，仍符合核心标准。旧“军工材料”遗漏大量航空成品件，现同时标注结构件与钛合金高温合金，并以特种玻璃与石英覆盖座舱透明件，避免所有产品被笼统视为原材料。</t>
        </is>
      </c>
      <c r="J98" s="7" t="inlineStr">
        <is>
          <t>北京航空材料研究院股份有限公司2025年年度报告</t>
        </is>
      </c>
      <c r="K98" s="7" t="inlineStr">
        <is>
          <t>2026-04-01</t>
        </is>
      </c>
      <c r="L98" s="8" t="inlineStr">
        <is>
          <t>iFinD ifind_get_stock_info + ifind_get_stock_business_segmentation (as of 2026-10-27)；北京航空材料研究院股份有限公司2025年年度报告</t>
        </is>
      </c>
      <c r="M98" s="9" t="inlineStr">
        <is>
          <t>http://money.finance.sina.com.cn/corp/view/vCB_AllBulletinDetail.php?stockid=688563&amp;id=12053006</t>
        </is>
      </c>
    </row>
    <row r="99" ht="96" customHeight="1">
      <c r="B99" s="4" t="inlineStr">
        <is>
          <t>688568</t>
        </is>
      </c>
      <c r="C99" s="4" t="inlineStr">
        <is>
          <t>中科星图</t>
        </is>
      </c>
      <c r="D99" s="5" t="inlineStr">
        <is>
          <t>军工：军工AI</t>
        </is>
      </c>
      <c r="E99" s="4" t="inlineStr">
        <is>
          <t>纠错</t>
        </is>
      </c>
      <c r="F99" s="4" t="inlineStr">
        <is>
          <t>军工</t>
        </is>
      </c>
      <c r="G99" s="5" t="inlineStr">
        <is>
          <t>军事仿真与军工软件、军用通信与指挥控制</t>
        </is>
      </c>
      <c r="H99" s="4" t="inlineStr">
        <is>
          <t>核心</t>
        </is>
      </c>
      <c r="I99" s="5" t="inlineStr">
        <is>
          <t>公司以GEOVIS数字地球和空天数据平台服务特种领域，年报披露星图洛书防务与公共安全大数据智能分析平台、星图战擎等产品，可用于防务数据处理、态势展示、仿真推演和指挥辅助，属于已经取得收入的军工软件与信息系统，不是把卫星遥感通用能力直接等同军用。2025年地理信息特种领域收入6.3743亿元、占23.8137%，民用领域14.5078亿元、占54.1993%，商业航天3.8329亿元、低空经济2.0491亿元；特种领域已独立拆分且构成重要收入，虽民用占比更高，仍符合核心中“重要收入”标准，故判核心而非摘除。旧“军工AI”过于营销化，未说明软件和指挥信息实质，现细化为军事仿真与军工软件，并补充军用通信与指挥控制。</t>
        </is>
      </c>
      <c r="J99" s="4" t="inlineStr">
        <is>
          <t>中科星图股份有限公司2025年年度报告</t>
        </is>
      </c>
      <c r="K99" s="4" t="inlineStr">
        <is>
          <t>2026-04-15</t>
        </is>
      </c>
      <c r="L99" s="5" t="inlineStr">
        <is>
          <t>iFinD ifind_get_stock_info + ifind_get_stock_business_segmentation (as of 2026-10-27)；中科星图股份有限公司2025年年度报告</t>
        </is>
      </c>
      <c r="M99" s="6" t="inlineStr">
        <is>
          <t>http://money.finance.sina.com.cn/corp/view/vCB_AllBulletinDetail.php?stockid=688568&amp;id=12090946</t>
        </is>
      </c>
    </row>
    <row r="100" ht="96" customHeight="1">
      <c r="B100" s="7" t="inlineStr">
        <is>
          <t>688708</t>
        </is>
      </c>
      <c r="C100" s="7" t="inlineStr">
        <is>
          <t>佳驰科技</t>
        </is>
      </c>
      <c r="D100" s="8" t="inlineStr">
        <is>
          <t>军工：军工材料</t>
        </is>
      </c>
      <c r="E100" s="7" t="inlineStr">
        <is>
          <t>纠错</t>
        </is>
      </c>
      <c r="F100" s="7" t="inlineStr">
        <is>
          <t>军工</t>
        </is>
      </c>
      <c r="G100" s="8" t="inlineStr">
        <is>
          <t>军工材料-超材料与隐身材料</t>
        </is>
      </c>
      <c r="H100" s="7" t="inlineStr">
        <is>
          <t>核心</t>
        </is>
      </c>
      <c r="I100" s="8" t="inlineStr">
        <is>
          <t>公司提供电磁功能涂层材料、隐身功能结构件和电磁维护材料，涂覆或集成于军用航空装备表面与结构，通过吸收、调控电磁波降低雷达散射特征，并为装备全寿命隐身性能维护服务，属于明确的武器装备材料与结构配套，不是普通电磁兼容材料的泛军用。2025年隐身功能涂层材料收入5.6013亿元、占50.5861%，隐身功能结构件5.1970亿元、占46.9349%，两项合计约97.52%；电磁兼容材料及其他仅0.2722亿元，隐身相关产品几乎构成全部收入，规模化核心地位清楚，故判核心。旧“军工材料”及“隐身材料”方向正确但粒度不统一，现收敛为军工材料-超材料与隐身材料，同时不把少量电磁兼容或民品业务扩展为电子对抗装备。</t>
        </is>
      </c>
      <c r="J100" s="7" t="inlineStr">
        <is>
          <t>成都佳驰电子科技股份有限公司2025年年度报告</t>
        </is>
      </c>
      <c r="K100" s="7" t="inlineStr">
        <is>
          <t>2026-04-28</t>
        </is>
      </c>
      <c r="L100" s="8" t="inlineStr">
        <is>
          <t>iFinD ifind_get_stock_info + ifind_get_stock_business_segmentation (as of 2026-10-27)；成都佳驰电子科技股份有限公司2025年年度报告</t>
        </is>
      </c>
      <c r="M100" s="9" t="inlineStr">
        <is>
          <t>http://static.cninfo.com.cn/finalpage/2026-04-28/1225198823.PDF</t>
        </is>
      </c>
    </row>
    <row r="101" ht="96" customHeight="1">
      <c r="B101" s="4" t="inlineStr">
        <is>
          <t>688709</t>
        </is>
      </c>
      <c r="C101" s="4" t="inlineStr">
        <is>
          <t>成都华微</t>
        </is>
      </c>
      <c r="D101" s="5" t="inlineStr">
        <is>
          <t>军工：军工电子-特种集成电路</t>
        </is>
      </c>
      <c r="E101" s="4" t="inlineStr">
        <is>
          <t>纠错</t>
        </is>
      </c>
      <c r="F101" s="4" t="inlineStr">
        <is>
          <t>军工</t>
        </is>
      </c>
      <c r="G101" s="5" t="inlineStr">
        <is>
          <t>军工芯片与特种集成电路</t>
        </is>
      </c>
      <c r="H101" s="4" t="inlineStr">
        <is>
          <t>核心</t>
        </is>
      </c>
      <c r="I101" s="5" t="inlineStr">
        <is>
          <t>公司主营特种集成电路，产品覆盖FPGA、CPLD、SoPC、MCU、存储器、AD/DA转换器、接口驱动及电源管理芯片，用于特种装备的可编程逻辑、信号采集转换、控制和供电管理，服务高可靠电子系统，已有真实产品谱系和销售，而非一般消费芯片可军用。2025年集成电路行业收入7.5846亿元、占99.7994%；数字集成电路4.0428亿元、约占总收入53.20%，模拟集成电路2.7555亿元、约占36.26%，技术服务0.5031亿元，特种芯片构成绝对主营和规模化核心产品，故判核心。旧“军工电子-特种集成电路”虽方向正确，但仍叠加宽泛的军工电子层级，现统一为军工芯片与特种集成电路，保留全部数字和模拟产品实质，不额外虚增雷达、导航或通信整机概念。</t>
        </is>
      </c>
      <c r="J101" s="4" t="inlineStr">
        <is>
          <t>成都华微电子科技股份有限公司2025年年度报告</t>
        </is>
      </c>
      <c r="K101" s="4" t="inlineStr">
        <is>
          <t>2026-04-30</t>
        </is>
      </c>
      <c r="L101" s="5" t="inlineStr">
        <is>
          <t>iFinD ifind_get_stock_info + ifind_get_stock_business_segmentation (as of 2026-10-27)；成都华微电子科技股份有限公司2025年年度报告</t>
        </is>
      </c>
      <c r="M101" s="6" t="inlineStr">
        <is>
          <t>http://file.finance.sina.com.cn/211.154.219.97:9494/MRGG/CNSESH_STOCK/2026/2026-4/2026-04-30/12277763.PDF</t>
        </is>
      </c>
    </row>
  </sheetData>
  <autoFilter ref="B4:M101"/>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9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6" customWidth="1" min="4" max="4"/>
    <col width="10" customWidth="1" min="5" max="5"/>
    <col width="16" customWidth="1" min="6" max="6"/>
    <col width="55" customWidth="1" min="7" max="7"/>
    <col width="10" customWidth="1" min="8" max="8"/>
    <col width="115" customWidth="1" min="9" max="9"/>
    <col width="44" customWidth="1" min="10" max="10"/>
    <col width="14" customWidth="1" min="11" max="11"/>
    <col width="62" customWidth="1" min="12" max="12"/>
    <col width="74" customWidth="1" min="13" max="13"/>
  </cols>
  <sheetData>
    <row r="2" ht="32" customHeight="1">
      <c r="B2" s="1" t="inlineStr">
        <is>
          <t>军工 · 清洗后89只股池</t>
        </is>
      </c>
    </row>
    <row r="3">
      <c r="B3" s="2" t="inlineStr">
        <is>
          <t>核心74只、相关15只；按装备、分系统、材料和软件细化为31个二级概念。</t>
        </is>
      </c>
    </row>
    <row r="4">
      <c r="B4" s="3" t="inlineStr">
        <is>
          <t>代码</t>
        </is>
      </c>
      <c r="C4" s="3" t="inlineStr">
        <is>
          <t>名称</t>
        </is>
      </c>
      <c r="D4" s="3" t="inlineStr">
        <is>
          <t>旧军工概念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6" customHeight="1">
      <c r="B5" s="4" t="inlineStr">
        <is>
          <t>000519</t>
        </is>
      </c>
      <c r="C5" s="4" t="inlineStr">
        <is>
          <t>中兵红箭</t>
        </is>
      </c>
      <c r="D5" s="5" t="inlineStr">
        <is>
          <t>军工：陆军</t>
        </is>
      </c>
      <c r="E5" s="4" t="inlineStr">
        <is>
          <t>纠错</t>
        </is>
      </c>
      <c r="F5" s="4" t="inlineStr">
        <is>
          <t>军工</t>
        </is>
      </c>
      <c r="G5" s="5" t="inlineStr">
        <is>
          <t>弹药与特种装备</t>
        </is>
      </c>
      <c r="H5" s="4" t="inlineStr">
        <is>
          <t>核心</t>
        </is>
      </c>
      <c r="I5" s="5" t="inlineStr">
        <is>
          <t>公司特种装备并非一般机械制造，年报明确其承担多个国家重点型号研发和生产，多型装备由科研转入首批生产，部分产品国内独家，直接服务部队装备建设；结合原资料所列弹药属性，应归入弹药与特种装备，而非宽泛的“陆军”。2025年特种装备收入72.6944亿元，占营业收入78.3856%；超硬材料16.1573亿元，占17.4223%，汽车制造占4.1921%，军工特种装备已是绝对主业，故列核心。旧标签只按军种分类，既不能体现弹药及特种装备产品实质，也把超硬材料民品混入印象，需细化为具体装备概念。</t>
        </is>
      </c>
      <c r="J5" s="4" t="inlineStr">
        <is>
          <t>中兵红箭：2025年年度报告</t>
        </is>
      </c>
      <c r="K5" s="4" t="inlineStr">
        <is>
          <t>2026-04-24</t>
        </is>
      </c>
      <c r="L5" s="5" t="inlineStr">
        <is>
          <t>iFinD ifind_get_stock_info + ifind_get_stock_business_segmentation (as of 2026-10-27)；中兵红箭：2025年年度报告</t>
        </is>
      </c>
      <c r="M5" s="6" t="inlineStr">
        <is>
          <t>https://static.cninfo.com.cn/finalpage/2026-04-24/1225160985.PDF</t>
        </is>
      </c>
    </row>
    <row r="6" ht="96" customHeight="1">
      <c r="B6" s="7" t="inlineStr">
        <is>
          <t>000547</t>
        </is>
      </c>
      <c r="C6" s="7" t="inlineStr">
        <is>
          <t>航天发展</t>
        </is>
      </c>
      <c r="D6" s="8" t="inlineStr">
        <is>
          <t>军工：军工电子-电子对抗</t>
        </is>
      </c>
      <c r="E6" s="7" t="inlineStr">
        <is>
          <t>纠错</t>
        </is>
      </c>
      <c r="F6" s="7" t="inlineStr">
        <is>
          <t>军工</t>
        </is>
      </c>
      <c r="G6" s="8" t="inlineStr">
        <is>
          <t>电子对抗与蓝军仿真、军用通信与指挥控制</t>
        </is>
      </c>
      <c r="H6" s="7" t="inlineStr">
        <is>
          <t>核心</t>
        </is>
      </c>
      <c r="I6" s="8" t="inlineStr">
        <is>
          <t>公司蓝军体系面向军队实战化训练、武器试验鉴定和体系对抗，产品包括数字及半实物仿真、靶标、复杂电磁环境构设、目标模拟和干扰设备，客户包括部队与军工科研院所；新一代通信与指控产品包括车船载及无人机通信节点、交换控制和军网终端，军用场景明确。2025年防务装备产业收入10.7674亿元，占43.0536%；其中蓝军装备及相关产品5.5495亿元、通信与指控5.6032亿元，合计构成重要收入来源，故列核心。旧“军工电子-电子对抗”只覆盖一部分，需补出蓝军仿真和军用通信指控两条实质产品线。</t>
        </is>
      </c>
      <c r="J6" s="7" t="inlineStr">
        <is>
          <t>航天发展：2025年年度报告</t>
        </is>
      </c>
      <c r="K6" s="7" t="inlineStr">
        <is>
          <t>2026-04-29</t>
        </is>
      </c>
      <c r="L6" s="8" t="inlineStr">
        <is>
          <t>iFinD ifind_get_stock_info + ifind_get_stock_business_segmentation (as of 2026-10-27)；航天发展：2025年年度报告</t>
        </is>
      </c>
      <c r="M6" s="9" t="inlineStr">
        <is>
          <t>https://static.cninfo.com.cn/finalpage/2026-04-29/1225247825.PDF</t>
        </is>
      </c>
    </row>
    <row r="7" ht="96" customHeight="1">
      <c r="B7" s="4" t="inlineStr">
        <is>
          <t>000561</t>
        </is>
      </c>
      <c r="C7" s="4" t="inlineStr">
        <is>
          <t>烽火电子</t>
        </is>
      </c>
      <c r="D7" s="5" t="inlineStr">
        <is>
          <t>军工：军工电子</t>
        </is>
      </c>
      <c r="E7" s="4" t="inlineStr">
        <is>
          <t>纠错</t>
        </is>
      </c>
      <c r="F7" s="4" t="inlineStr">
        <is>
          <t>军工</t>
        </is>
      </c>
      <c r="G7" s="5" t="inlineStr">
        <is>
          <t>军用通信与指挥控制、雷达与预警探测、航空机载系统与航电</t>
        </is>
      </c>
      <c r="H7" s="4" t="inlineStr">
        <is>
          <t>核心</t>
        </is>
      </c>
      <c r="I7" s="5" t="inlineStr">
        <is>
          <t>公司为通信装备、雷达及电声器材科研生产骨干企业，产品包括特种短波及无线通信设备、航空搜救定位设备、无线电高度表、多普勒雷达和导航设备，既服务部队通信与后勤保障，也直接配装航空平台，不是普通民用通信企业。2025年通信行业收入9.4464亿元，占56.4544%，雷达行业6.5467亿元，占39.1250%；分产品通信及配套6.9080亿元、雷达及配套6.5467亿元、电声器材2.5384亿元，通信和雷达合计占绝对主体，故列核心。旧“军工电子”过粗，且未反映2025年并入雷达业务后的结构，应拆为通信指控、雷达探测和航空机载航电。</t>
        </is>
      </c>
      <c r="J7" s="4" t="inlineStr">
        <is>
          <t>烽火电子：2025年年度报告</t>
        </is>
      </c>
      <c r="K7" s="4" t="inlineStr">
        <is>
          <t>2026-04-29</t>
        </is>
      </c>
      <c r="L7" s="5" t="inlineStr">
        <is>
          <t>iFinD ifind_get_stock_info + ifind_get_stock_business_segmentation (as of 2026-10-27)；烽火电子：2025年年度报告</t>
        </is>
      </c>
      <c r="M7" s="6" t="inlineStr">
        <is>
          <t>https://static.cninfo.com.cn/finalpage/2026-04-29/1225250693.PDF</t>
        </is>
      </c>
    </row>
    <row r="8" ht="96" customHeight="1">
      <c r="B8" s="7" t="inlineStr">
        <is>
          <t>000576</t>
        </is>
      </c>
      <c r="C8" s="7" t="inlineStr">
        <is>
          <t>甘化科工</t>
        </is>
      </c>
      <c r="D8" s="8" t="inlineStr">
        <is>
          <t>军工：军工电子</t>
        </is>
      </c>
      <c r="E8" s="7" t="inlineStr">
        <is>
          <t>纠错</t>
        </is>
      </c>
      <c r="F8" s="7" t="inlineStr">
        <is>
          <t>军工</t>
        </is>
      </c>
      <c r="G8" s="8" t="inlineStr">
        <is>
          <t>军工电源与电机电气、弹药与特种装备、红外光电与激光</t>
        </is>
      </c>
      <c r="H8" s="7" t="inlineStr">
        <is>
          <t>核心</t>
        </is>
      </c>
      <c r="I8" s="8" t="inlineStr">
        <is>
          <t>公司年报明确三块主营均为军工产品：升华电源的模块及定制电源用于机载、舰载、弹载武器平台，客户为军工企业、科研院所和军工厂；沈阳含能的钨球、钨环、钨柱预制破片用于炮弹、火箭弹和导弹毁伤部件；甘鑫科技红外等光电成像组件用于弹载、车载、无人装备的目标探测、定位和瞄准。2025年电源及相关产品收入2.5090亿元，高性能特种合金材料制品2.1078亿元，光电成像系统0.2888亿元，制造业整体占97.0509%，军工已是主营业务，故由旧“相关”上调为核心。旧“军工电子”无法覆盖弹药破片，需按电源、弹药和光电三条产品线纠正。</t>
        </is>
      </c>
      <c r="J8" s="7" t="inlineStr">
        <is>
          <t>甘化科工：2025年年度报告</t>
        </is>
      </c>
      <c r="K8" s="7" t="inlineStr">
        <is>
          <t>2026-04-20</t>
        </is>
      </c>
      <c r="L8" s="8" t="inlineStr">
        <is>
          <t>iFinD ifind_get_stock_info + ifind_get_stock_business_segmentation (as of 2026-10-27)；甘化科工：2025年年度报告</t>
        </is>
      </c>
      <c r="M8" s="9" t="inlineStr">
        <is>
          <t>https://static.cninfo.com.cn/finalpage/2026-04-20/1225119259.PDF</t>
        </is>
      </c>
    </row>
    <row r="9" ht="96" customHeight="1">
      <c r="B9" s="4" t="inlineStr">
        <is>
          <t>000733</t>
        </is>
      </c>
      <c r="C9" s="4" t="inlineStr">
        <is>
          <t>振华科技</t>
        </is>
      </c>
      <c r="D9" s="5" t="inlineStr">
        <is>
          <t>军工：军工电子</t>
        </is>
      </c>
      <c r="E9" s="4" t="inlineStr">
        <is>
          <t>纠错</t>
        </is>
      </c>
      <c r="F9" s="4" t="inlineStr">
        <is>
          <t>军工</t>
        </is>
      </c>
      <c r="G9" s="5" t="inlineStr">
        <is>
          <t>军工被动元件与连接器、军工芯片与特种集成电路、军工电源与电机电气</t>
        </is>
      </c>
      <c r="H9" s="4" t="inlineStr">
        <is>
          <t>核心</t>
        </is>
      </c>
      <c r="I9" s="5" t="inlineStr">
        <is>
          <t>公司新型电子元器件直接服务国家战略重点型号，基础产品包括电阻、电容、电感、半导体分立器件、继电器和连接器，混合集成电路包括厚膜电源、微电路模块、电源组件、射频模块及电机驱动，年报明确应用于航空、航天、兵器、船舶和核工业等重点领域，已有实际型号配套而非潜在军用。2025年电子元器件制造业收入57.5497亿元，占100.0000%，其中新型电子元器件57.0999亿元，现代服务业仅0.4499亿元；但未单列军品收入，不能把全部收入等同军工。基于规模化的重点型号元器件主业列核心。旧“军工电子”和“MLCC”只指向单一元件，应扩展为被动元件、特种集成电路及电源电机控制。</t>
        </is>
      </c>
      <c r="J9" s="4" t="inlineStr">
        <is>
          <t>振华科技：2025年年度报告</t>
        </is>
      </c>
      <c r="K9" s="4" t="inlineStr">
        <is>
          <t>2026-04-29</t>
        </is>
      </c>
      <c r="L9" s="5" t="inlineStr">
        <is>
          <t>iFinD ifind_get_stock_info + ifind_get_stock_business_segmentation (as of 2026-10-27)；振华科技：2025年年度报告</t>
        </is>
      </c>
      <c r="M9" s="6" t="inlineStr">
        <is>
          <t>https://static.cninfo.com.cn/finalpage/2026-04-29/1225246300.PDF</t>
        </is>
      </c>
    </row>
    <row r="10" ht="96" customHeight="1">
      <c r="B10" s="7" t="inlineStr">
        <is>
          <t>000738</t>
        </is>
      </c>
      <c r="C10" s="7" t="inlineStr">
        <is>
          <t>航发控制</t>
        </is>
      </c>
      <c r="D10" s="8" t="inlineStr">
        <is>
          <t>军工：航空发动机</t>
        </is>
      </c>
      <c r="E10" s="7" t="inlineStr">
        <is>
          <t>纠错</t>
        </is>
      </c>
      <c r="F10" s="7" t="inlineStr">
        <is>
          <t>军工</t>
        </is>
      </c>
      <c r="G10" s="8" t="inlineStr">
        <is>
          <t>航空发动机与燃气轮机</t>
        </is>
      </c>
      <c r="H10" s="7" t="inlineStr">
        <is>
          <t>核心</t>
        </is>
      </c>
      <c r="I10" s="8" t="inlineStr">
        <is>
          <t>公司核心产品是军民用航空发动机及燃气轮机控制系统，承担在研在役型号研制、生产、维修和保障，产品配装涡喷、涡扇、涡轴、涡桨发动机以及无人机、舰船和弹用动力装置；衍生产品还包括地面战车电液作动装置和弹用动力控制部件，均为明确装备场景。2025年发动机控制系统及部件收入45.8190亿元，按年报分产品口径占88.60%；国际合作4.0232亿元，控制系统技术衍生品1.8741亿元，主营集中度很高，故列核心。旧“航空发动机”容易误解为公司制造整台发动机，实际壁垒在控制、燃油调节及作动系统，应统一细化到航空发动机与燃气轮机概念。</t>
        </is>
      </c>
      <c r="J10" s="7" t="inlineStr">
        <is>
          <t>航发控制：2025年年度报告</t>
        </is>
      </c>
      <c r="K10" s="7" t="inlineStr">
        <is>
          <t>2026-03-27</t>
        </is>
      </c>
      <c r="L10" s="8" t="inlineStr">
        <is>
          <t>iFinD ifind_get_stock_info + ifind_get_stock_business_segmentation (as of 2026-10-27)；航发控制：2025年年度报告</t>
        </is>
      </c>
      <c r="M10" s="9" t="inlineStr">
        <is>
          <t>https://static.cninfo.com.cn/finalpage/2026-03-27/1225036461.PDF</t>
        </is>
      </c>
    </row>
    <row r="11" ht="96" customHeight="1">
      <c r="B11" s="4" t="inlineStr">
        <is>
          <t>000768</t>
        </is>
      </c>
      <c r="C11" s="4" t="inlineStr">
        <is>
          <t>中航西飞</t>
        </is>
      </c>
      <c r="D11" s="5" t="inlineStr">
        <is>
          <t>军工：军贸</t>
        </is>
      </c>
      <c r="E11" s="4" t="inlineStr">
        <is>
          <t>纠错</t>
        </is>
      </c>
      <c r="F11" s="4" t="inlineStr">
        <is>
          <t>军工</t>
        </is>
      </c>
      <c r="G11" s="5" t="inlineStr">
        <is>
          <t>航空整机-固定翼、航空结构件与锻铸件</t>
        </is>
      </c>
      <c r="H11" s="4" t="inlineStr">
        <is>
          <t>核心</t>
        </is>
      </c>
      <c r="I11" s="5" t="inlineStr">
        <is>
          <t>公司直接研制生产军用大中型运输机、轰炸机和特种飞机，运输机承担远程投送、兵力部署，轰炸机承担远程打击，特种飞机承担空基指挥、空中受油、海空侦察和电磁制压，同时生产军民用航空零部件，属于真实整机总装与结构件业务。2025年航空工业产品收入405.4801亿元，占98.8645%，其他工业产品4.6572亿元，占1.1355%；飞机产品分部没有将军机和民机收入独立拆开，不能将全部航空收入都视作军品，但军用大中型固定翼整机是公司明确核心产品，故列核心。旧“军贸”“空军”只描述销售区域或军种，遗漏整机与航空结构件实质，需据产品重新标注。</t>
        </is>
      </c>
      <c r="J11" s="4" t="inlineStr">
        <is>
          <t>中航西飞：2025年年度报告</t>
        </is>
      </c>
      <c r="K11" s="4" t="inlineStr">
        <is>
          <t>2026-03-31</t>
        </is>
      </c>
      <c r="L11" s="5" t="inlineStr">
        <is>
          <t>iFinD ifind_get_stock_info + ifind_get_stock_business_segmentation (as of 2026-10-27)；中航西飞：2025年年度报告</t>
        </is>
      </c>
      <c r="M11" s="6" t="inlineStr">
        <is>
          <t>https://static.cninfo.com.cn/finalpage/2026-03-31/1225052459.PDF</t>
        </is>
      </c>
    </row>
    <row r="12" ht="96" customHeight="1">
      <c r="B12" s="7" t="inlineStr">
        <is>
          <t>000901</t>
        </is>
      </c>
      <c r="C12" s="7" t="inlineStr">
        <is>
          <t>航天科技</t>
        </is>
      </c>
      <c r="D12" s="8" t="inlineStr">
        <is>
          <t>军工：惯性导航</t>
        </is>
      </c>
      <c r="E12" s="7" t="inlineStr">
        <is>
          <t>纠错</t>
        </is>
      </c>
      <c r="F12" s="7" t="inlineStr">
        <is>
          <t>军工</t>
        </is>
      </c>
      <c r="G12" s="8" t="inlineStr">
        <is>
          <t>军用导航与惯导、航天装备与分系统</t>
        </is>
      </c>
      <c r="H12" s="7" t="inlineStr">
        <is>
          <t>相关</t>
        </is>
      </c>
      <c r="I12" s="8" t="inlineStr">
        <is>
          <t>公司航天应用板块就是军工业务，加速度传感器主要面向军品，用于航天、航空、船舶和兵器的惯性导航系统；另有发动机及舵机零部件、伺服装配、军用电缆、光纤环圈，以及服务航天研究院武器研制和批产保障的测试测控系统，军工落地清晰。2025年航天产品收入8.7787亿元，占15.8971%；汽车电子仪表42.4814亿元，占76.9282%，平台软件及感知设备3.7289亿元，占6.7526%，说明收入仍以汽车电子为主，军工虽是重要板块但未占主导，故由旧“核心”下调为相关。旧“惯性导航”“航天配套”方向基本正确，但需明确惯导器件与航天分系统、测试保障的产品边界。</t>
        </is>
      </c>
      <c r="J12" s="7" t="inlineStr">
        <is>
          <t>航天科技：2025年年度报告</t>
        </is>
      </c>
      <c r="K12" s="7" t="inlineStr">
        <is>
          <t>2026-04-29</t>
        </is>
      </c>
      <c r="L12" s="8" t="inlineStr">
        <is>
          <t>iFinD ifind_get_stock_info + ifind_get_stock_business_segmentation (as of 2026-10-27)；航天科技：2025年年度报告</t>
        </is>
      </c>
      <c r="M12" s="9" t="inlineStr">
        <is>
          <t>https://static.cninfo.com.cn/finalpage/2026-04-29/1225227513.PDF</t>
        </is>
      </c>
    </row>
    <row r="13" ht="96" customHeight="1">
      <c r="B13" s="4" t="inlineStr">
        <is>
          <t>002025</t>
        </is>
      </c>
      <c r="C13" s="4" t="inlineStr">
        <is>
          <t>航天电器</t>
        </is>
      </c>
      <c r="D13" s="5" t="inlineStr">
        <is>
          <t>军工：军工电子</t>
        </is>
      </c>
      <c r="E13" s="4" t="inlineStr">
        <is>
          <t>纠错</t>
        </is>
      </c>
      <c r="F13" s="4" t="inlineStr">
        <is>
          <t>军工</t>
        </is>
      </c>
      <c r="G13" s="5" t="inlineStr">
        <is>
          <t>军工被动元件与连接器、军工电源与电机电气</t>
        </is>
      </c>
      <c r="H13" s="4" t="inlineStr">
        <is>
          <t>核心</t>
        </is>
      </c>
      <c r="I13" s="5" t="inlineStr">
        <is>
          <t>公司高端连接器、线缆组件、微特电机与控制组件、密封及特种继电器、光电器件已实际销售给航天、航空、电子、舰船和兵器客户，年报明确军品基本覆盖全部防务装备领域，并承担载人航天、探月、北斗和火星探测等工程配套，不是通用连接器可军用的推断。2025年连接器收入39.8420亿元，电机13.5794亿元，继电器2.4040亿元，光通信器件1.3175亿元；电子元器件制造业收入57.1429亿元，占98.1864%，但未独立拆分军品与民品。防务配套是规模化核心业务，故列核心。旧“军工电子”“连接器”需要收敛为军工被动元件与连接器，并补充微特电机和控制组件对应的电源电机电气概念。</t>
        </is>
      </c>
      <c r="J13" s="4" t="inlineStr">
        <is>
          <t>航天电器：2025年年度报告</t>
        </is>
      </c>
      <c r="K13" s="4" t="inlineStr">
        <is>
          <t>2026-03-31</t>
        </is>
      </c>
      <c r="L13" s="5" t="inlineStr">
        <is>
          <t>iFinD ifind_get_stock_info + ifind_get_stock_business_segmentation (as of 2026-10-27)；航天电器：2025年年度报告</t>
        </is>
      </c>
      <c r="M13" s="6" t="inlineStr">
        <is>
          <t>https://static.cninfo.com.cn/finalpage/2026-03-31/1225054265.PDF</t>
        </is>
      </c>
    </row>
    <row r="14" ht="96" customHeight="1">
      <c r="B14" s="7" t="inlineStr">
        <is>
          <t>002049</t>
        </is>
      </c>
      <c r="C14" s="7" t="inlineStr">
        <is>
          <t>紫光国微</t>
        </is>
      </c>
      <c r="D14" s="8" t="inlineStr">
        <is>
          <t>军工：军工电子-军工芯片</t>
        </is>
      </c>
      <c r="E14" s="7" t="inlineStr">
        <is>
          <t>纠错</t>
        </is>
      </c>
      <c r="F14" s="7" t="inlineStr">
        <is>
          <t>军工</t>
        </is>
      </c>
      <c r="G14" s="8" t="inlineStr">
        <is>
          <t>军工芯片与特种集成电路</t>
        </is>
      </c>
      <c r="H14" s="7" t="inlineStr">
        <is>
          <t>核心</t>
        </is>
      </c>
      <c r="I14" s="8" t="inlineStr">
        <is>
          <t>公司特种集成电路已形成处理器、可编程器件、存储器、网络与接口、模拟器件、ASIC及SoPC等八百多个货架品种，宇航用耐辐照FPGA、回读刷新芯片、存储器和总线接口已获得核心用户应用并产生持续收入，属于高可靠特种芯片实际供货，而非把普通安全芯片泛化为军工。2025年特种集成电路收入32.1201亿元，占52.26%；智能安全芯片25.4714亿元，占41.45%，晶体元器件3.2029亿元，占5.2116%，特种集成电路已超过半数且为两大主业之一，故列核心。旧“军工电子-军工芯片”与业务一致，但应改用产品实质更明确的军工芯片与特种集成电路，并避免把民用智能安全芯片一并计入军工。</t>
        </is>
      </c>
      <c r="J14" s="7" t="inlineStr">
        <is>
          <t>紫光国微：2025年年度报告</t>
        </is>
      </c>
      <c r="K14" s="7" t="inlineStr">
        <is>
          <t>2026-04-21</t>
        </is>
      </c>
      <c r="L14" s="8" t="inlineStr">
        <is>
          <t>iFinD ifind_get_stock_info + ifind_get_stock_business_segmentation (as of 2026-10-27)；紫光国微：2025年年度报告</t>
        </is>
      </c>
      <c r="M14" s="9" t="inlineStr">
        <is>
          <t>https://static.cninfo.com.cn/finalpage/2026-04-21/1225133393.PDF</t>
        </is>
      </c>
    </row>
    <row r="15" ht="96" customHeight="1">
      <c r="B15" s="4" t="inlineStr">
        <is>
          <t>002111</t>
        </is>
      </c>
      <c r="C15" s="4" t="inlineStr">
        <is>
          <t>威海广泰</t>
        </is>
      </c>
      <c r="D15" s="5" t="inlineStr">
        <is>
          <t>军工：航空地面装备</t>
        </is>
      </c>
      <c r="E15" s="4" t="inlineStr">
        <is>
          <t>纠错</t>
        </is>
      </c>
      <c r="F15" s="4" t="inlineStr">
        <is>
          <t>军工</t>
        </is>
      </c>
      <c r="G15" s="5" t="inlineStr">
        <is>
          <t>航空地面保障装备、军用无人装备与机器人</t>
        </is>
      </c>
      <c r="H15" s="4" t="inlineStr">
        <is>
          <t>相关</t>
        </is>
      </c>
      <c r="I15" s="5" t="inlineStr">
        <is>
          <t>公司军工相关性来自真实历史军用空港装备、靶机和军品特种装备订单，而不是把民航地勤设备直接军工化。2024年官方投资者关系记录仍将军队、武警列为客户，2019年军方靶机及军品特种装备中标也证明已有军工交付；但2025年披露重点已转向民航空港、消防应急和民用无人机，空港地面设备收入21.0201亿元、消防设备10.7719亿元，军品收入未独立拆分，当前民用业务明显为主，故由初审摘除修正为相关而非核心。旧航空地面装备方向可保留，并补充军用无人装备与机器人，同时剔除全部空港收入皆属军工的错误理解。</t>
        </is>
      </c>
      <c r="J15" s="4" t="inlineStr">
        <is>
          <t>威海广泰空港设备股份有限公司投资者关系活动记录表</t>
        </is>
      </c>
      <c r="K15" s="4" t="inlineStr">
        <is>
          <t>2024-05-16</t>
        </is>
      </c>
      <c r="L15" s="5" t="inlineStr">
        <is>
          <t>iFinD ifind_get_stock_info + ifind_get_stock_business_segmentation (as of 2026-10-27)；威海广泰空港设备股份有限公司投资者关系活动记录表</t>
        </is>
      </c>
      <c r="M15" s="6" t="inlineStr">
        <is>
          <t>http://notice.10jqka.com.cn/api/pdf/76e3ea0cfcc94665.pdf</t>
        </is>
      </c>
    </row>
    <row r="16" ht="96" customHeight="1">
      <c r="B16" s="7" t="inlineStr">
        <is>
          <t>002149</t>
        </is>
      </c>
      <c r="C16" s="7" t="inlineStr">
        <is>
          <t>西部材料</t>
        </is>
      </c>
      <c r="D16" s="8" t="inlineStr">
        <is>
          <t>军工：军工材料</t>
        </is>
      </c>
      <c r="E16" s="7" t="inlineStr">
        <is>
          <t>纠错</t>
        </is>
      </c>
      <c r="F16" s="7" t="inlineStr">
        <is>
          <t>军工</t>
        </is>
      </c>
      <c r="G16" s="8" t="inlineStr">
        <is>
          <t>军工材料-钛合金与高温合金、军工材料-其他关键材料</t>
        </is>
      </c>
      <c r="H16" s="7" t="inlineStr">
        <is>
          <t>相关</t>
        </is>
      </c>
      <c r="I16" s="8" t="inlineStr">
        <is>
          <t>公司钛锆加工材已有可核验型号应用：航空航天用钛合金薄板及厚板在多个重点型号批量应用，舰船用钛合金板、环材和锻件通过型号鉴定并批量供货，兵器用高防护钛合金形成生产体系，客户覆盖中航工业、中国船舶、中国兵器和中国航发；航天用高温铌合金亦用于液体火箭发动机。2025年稀有金属压延加工收入32.3054亿元，占100%；钛制品22.0974亿元，其他金属产品8.6894亿元，其他业务1.5185亿元，但军工与化工、核电等民用收入未独立拆分。鉴于真实批产配套明确而民用材料收入体量也大，列相关较旧“核心”更审慎。旧“军工材料”过粗，需区分钛合金与高温合金及其他稀有金属关键材料。</t>
        </is>
      </c>
      <c r="J16" s="7" t="inlineStr">
        <is>
          <t>西部材料：2025年年度报告</t>
        </is>
      </c>
      <c r="K16" s="7" t="inlineStr">
        <is>
          <t>2026-04-28</t>
        </is>
      </c>
      <c r="L16" s="8" t="inlineStr">
        <is>
          <t>iFinD ifind_get_stock_info + ifind_get_stock_business_segmentation (as of 2026-10-27)；西部材料：2025年年度报告</t>
        </is>
      </c>
      <c r="M16" s="9" t="inlineStr">
        <is>
          <t>https://static.cninfo.com.cn/finalpage/2026-04-28/1225216013.PDF</t>
        </is>
      </c>
    </row>
    <row r="17" ht="96" customHeight="1">
      <c r="B17" s="4" t="inlineStr">
        <is>
          <t>002151</t>
        </is>
      </c>
      <c r="C17" s="4" t="inlineStr">
        <is>
          <t>北斗星通</t>
        </is>
      </c>
      <c r="D17" s="5" t="inlineStr">
        <is>
          <t>军工：卫星-北斗导航</t>
        </is>
      </c>
      <c r="E17" s="4" t="inlineStr">
        <is>
          <t>纠错</t>
        </is>
      </c>
      <c r="F17" s="4" t="inlineStr">
        <is>
          <t>军工</t>
        </is>
      </c>
      <c r="G17" s="5" t="inlineStr">
        <is>
          <t>军用导航与惯导、军工芯片与特种集成电路</t>
        </is>
      </c>
      <c r="H17" s="4" t="inlineStr">
        <is>
          <t>相关</t>
        </is>
      </c>
      <c r="I17" s="5" t="inlineStr">
        <is>
          <t>公司并非只有民用北斗概念，年报产品清单明确包含特种基带芯片、特种射频基带一体化芯片、抗干扰芯片、特种类单点定位模块、RNSS/RDSS双模定位及高动态定位模块；同时披露部分产品已办理军品生产合同登记备案并执行军工产品增值税政策，可核验存在实际军品业务，而非单纯导航可军用。2025年芯片及数据服务收入11.6959亿元，占52.8603%，导航产品8.6004亿元，占38.8703%，陶瓷元器件1.8297亿元，占8.2694%，但未单列上述特种芯片和模块收入，且车载、消费和行业民用市场占重要位置，故列相关而非核心。旧“卫星-北斗导航”范围过宽，应聚焦军用导航与特种芯片。</t>
        </is>
      </c>
      <c r="J17" s="4" t="inlineStr">
        <is>
          <t>北斗星通：2025年年度报告</t>
        </is>
      </c>
      <c r="K17" s="4" t="inlineStr">
        <is>
          <t>2026-03-26</t>
        </is>
      </c>
      <c r="L17" s="5" t="inlineStr">
        <is>
          <t>iFinD ifind_get_stock_info + ifind_get_stock_business_segmentation (as of 2026-10-27)；北斗星通：2025年年度报告</t>
        </is>
      </c>
      <c r="M17" s="6" t="inlineStr">
        <is>
          <t>https://static.cninfo.com.cn/finalpage/2026-03-26/1225030960.PDF</t>
        </is>
      </c>
    </row>
    <row r="18" ht="96" customHeight="1">
      <c r="B18" s="7" t="inlineStr">
        <is>
          <t>002179</t>
        </is>
      </c>
      <c r="C18" s="7" t="inlineStr">
        <is>
          <t>中航光电</t>
        </is>
      </c>
      <c r="D18" s="8" t="inlineStr">
        <is>
          <t>军工：军工电子、MPO/连接器、连接器</t>
        </is>
      </c>
      <c r="E18" s="7" t="inlineStr">
        <is>
          <t>纠错</t>
        </is>
      </c>
      <c r="F18" s="7" t="inlineStr">
        <is>
          <t>军工</t>
        </is>
      </c>
      <c r="G18" s="8" t="inlineStr">
        <is>
          <t>军工被动元件与连接器</t>
        </is>
      </c>
      <c r="H18" s="7" t="inlineStr">
        <is>
          <t>核心</t>
        </is>
      </c>
      <c r="I18" s="8" t="inlineStr">
        <is>
          <t>公司专业为航空及防务提供互连解决方案，电连接器、光连接器、流体连接器、线缆组件和集成化设备已用于防务领域，代表产品包括GJB598、GJB599、D38999、VPX、1553B及1394总线组件、宇航和深水密封等特种连接器，年报还明确其防务首选互连方案供应商地位，属于真实批量配套。2025年连接器行业收入210.7280亿元，占98.5352%；电连接器及集成互连组件159.4267亿元，光连接器及其他光器件36.5877亿元，流体连接器、齿科及其他17.8462亿元，未独立披露防务收入，不能将民机和数据中心收入全算军工。防务是长期核心市场且产品规模大，故列核心。旧“军工电子”及重复的MPO标签需统一为军工被动元件与连接器。</t>
        </is>
      </c>
      <c r="J18" s="7" t="inlineStr">
        <is>
          <t>中航光电：2025年年度报告</t>
        </is>
      </c>
      <c r="K18" s="7" t="inlineStr">
        <is>
          <t>2026-03-28</t>
        </is>
      </c>
      <c r="L18" s="8" t="inlineStr">
        <is>
          <t>iFinD ifind_get_stock_info + ifind_get_stock_business_segmentation (as of 2026-10-27)；中航光电：2025年年度报告</t>
        </is>
      </c>
      <c r="M18" s="9" t="inlineStr">
        <is>
          <t>https://static.cninfo.com.cn/finalpage/2026-03-28/1225044952.PDF</t>
        </is>
      </c>
    </row>
    <row r="19" ht="96" customHeight="1">
      <c r="B19" s="4" t="inlineStr">
        <is>
          <t>002190</t>
        </is>
      </c>
      <c r="C19" s="4" t="inlineStr">
        <is>
          <t>成飞集成</t>
        </is>
      </c>
      <c r="D19" s="5" t="inlineStr">
        <is>
          <t>军工：军工配套</t>
        </is>
      </c>
      <c r="E19" s="4" t="inlineStr">
        <is>
          <t>纠错</t>
        </is>
      </c>
      <c r="F19" s="4" t="inlineStr">
        <is>
          <t>军工</t>
        </is>
      </c>
      <c r="G19" s="5" t="inlineStr">
        <is>
          <t>航空结构件与锻铸件</t>
        </is>
      </c>
      <c r="H19" s="4" t="inlineStr">
        <is>
          <t>相关</t>
        </is>
      </c>
      <c r="I19" s="5" t="inlineStr">
        <is>
          <t>公司航空零部件由母公司承制，采用数控加工和部件装配方式，可加工铝合金、钛合金、钢材和蜂窝复材飞机结构类零件，已与国内飞机制造主机厂形成长期稳定合作，并在多种机型承接装配任务，符合真实主机厂配套而非借成飞名称推断军工。2025年航空零部件收入1.0342亿元，仅占4.48%；工装模具及汽车零部件收入21.8668亿元，占94.74%，其他业务0.1801亿元，说明汽车业务占绝对主导，且航空分部没有进一步拆分军机与民机，故列相关。旧“军工配套”过于笼统，既不能说明产品也不能体现收入边缘性，应细化为航空结构件与锻铸件，并保留其非核心定位。</t>
        </is>
      </c>
      <c r="J19" s="4" t="inlineStr">
        <is>
          <t>成飞集成：2025年年度报告</t>
        </is>
      </c>
      <c r="K19" s="4" t="inlineStr">
        <is>
          <t>2026-03-14</t>
        </is>
      </c>
      <c r="L19" s="5" t="inlineStr">
        <is>
          <t>iFinD ifind_get_stock_info + ifind_get_stock_business_segmentation (as of 2026-10-27)；成飞集成：2025年年度报告</t>
        </is>
      </c>
      <c r="M19" s="6" t="inlineStr">
        <is>
          <t>https://static.cninfo.com.cn/finalpage/2026-03-14/1225009102.PDF</t>
        </is>
      </c>
    </row>
    <row r="20" ht="96" customHeight="1">
      <c r="B20" s="7" t="inlineStr">
        <is>
          <t>002265</t>
        </is>
      </c>
      <c r="C20" s="7" t="inlineStr">
        <is>
          <t>建设工业</t>
        </is>
      </c>
      <c r="D20" s="8" t="inlineStr">
        <is>
          <t>军工：军工配套</t>
        </is>
      </c>
      <c r="E20" s="7" t="inlineStr">
        <is>
          <t>纠错</t>
        </is>
      </c>
      <c r="F20" s="7" t="inlineStr">
        <is>
          <t>军工</t>
        </is>
      </c>
      <c r="G20" s="8" t="inlineStr">
        <is>
          <t>枪械与单兵装备</t>
        </is>
      </c>
      <c r="H20" s="7" t="inlineStr">
        <is>
          <t>核心</t>
        </is>
      </c>
      <c r="I20" s="8" t="inlineStr">
        <is>
          <t>公司特品明确为轻型武器装备，产品实现谱系、口径和市场覆盖，属于枪械类轻武器研发制造，并推进武器装备机械化、信息化、智能化融合及有人、无人平台拓展，外贸产品已出口多个国家和地区；这不是汽车零部件业务衍生的泛军工标签。2025年机械制造业收入45.0998亿元，占100.0000%，输入未提供特品、汽车零部件和新兴产业的独立收入拆分，因此不能把全部制造业收入都视为军工，也不能虚构轻武器占比。年报同时明确主营业务以轻型武器装备为主、汽车零部件和战略性新兴产业为支撑，故列核心。旧“军工配套”严重低估并模糊了公司总装产品属性，应纠正为枪械与单兵装备。</t>
        </is>
      </c>
      <c r="J20" s="7" t="inlineStr">
        <is>
          <t>建设工业：2025年年度报告</t>
        </is>
      </c>
      <c r="K20" s="7" t="inlineStr">
        <is>
          <t>2026-04-23</t>
        </is>
      </c>
      <c r="L20" s="8" t="inlineStr">
        <is>
          <t>iFinD ifind_get_stock_info + ifind_get_stock_business_segmentation (as of 2026-10-27)；建设工业：2025年年度报告</t>
        </is>
      </c>
      <c r="M20" s="9" t="inlineStr">
        <is>
          <t>https://static.cninfo.com.cn/finalpage/2026-04-23/1225148136.PDF</t>
        </is>
      </c>
    </row>
    <row r="21" ht="96" customHeight="1">
      <c r="B21" s="4" t="inlineStr">
        <is>
          <t>002389</t>
        </is>
      </c>
      <c r="C21" s="4" t="inlineStr">
        <is>
          <t>航天彩虹</t>
        </is>
      </c>
      <c r="D21" s="5" t="inlineStr">
        <is>
          <t>军工：无人机</t>
        </is>
      </c>
      <c r="E21" s="4" t="inlineStr">
        <is>
          <t>纠错</t>
        </is>
      </c>
      <c r="F21" s="4" t="inlineStr">
        <is>
          <t>军工</t>
        </is>
      </c>
      <c r="G21" s="5" t="inlineStr">
        <is>
          <t>军用无人装备与机器人、导弹与精确制导</t>
        </is>
      </c>
      <c r="H21" s="4" t="inlineStr">
        <is>
          <t>核心</t>
        </is>
      </c>
      <c r="I21" s="5" t="inlineStr">
        <is>
          <t>公司彩虹系列包括CH-4察打一体、CH-5和CH-9中高空长航时无人机及CH-817单兵便携蜂群系统，并提供机载任务设备和武器系统；专为无人机研制的AR系列导弹覆盖多个重量级别。产品自2004年起批量出口，多款主力无人机已批量装备国内，具备明确作战用途和规模化交付，不属于民用低空无人机泛化。2025年无人机及相关产品收入18.3798亿元，航空航天产品制造收入21.6465亿元、占73.8671%，另有技术服务3.2668亿元；塑料薄膜制造占24.8915%。无人机已是核心主业，故列核心。旧“无人机”“军贸”仅描述产品或市场，需细化为军用无人装备，并补充AR机载导弹对应的精确制导概念。</t>
        </is>
      </c>
      <c r="J21" s="4" t="inlineStr">
        <is>
          <t>航天彩虹：2025年年度报告</t>
        </is>
      </c>
      <c r="K21" s="4" t="inlineStr">
        <is>
          <t>2026-03-27</t>
        </is>
      </c>
      <c r="L21" s="5" t="inlineStr">
        <is>
          <t>iFinD ifind_get_stock_info + ifind_get_stock_business_segmentation (as of 2026-10-27)；航天彩虹：2025年年度报告</t>
        </is>
      </c>
      <c r="M21" s="6" t="inlineStr">
        <is>
          <t>https://static.cninfo.com.cn/finalpage/2026-03-27/1225036384.PDF</t>
        </is>
      </c>
    </row>
    <row r="22" ht="96" customHeight="1">
      <c r="B22" s="7" t="inlineStr">
        <is>
          <t>002414</t>
        </is>
      </c>
      <c r="C22" s="7" t="inlineStr">
        <is>
          <t>高德红外</t>
        </is>
      </c>
      <c r="D22" s="8" t="inlineStr">
        <is>
          <t>军工：红外探测</t>
        </is>
      </c>
      <c r="E22" s="7" t="inlineStr">
        <is>
          <t>纠错</t>
        </is>
      </c>
      <c r="F22" s="7" t="inlineStr">
        <is>
          <t>军工</t>
        </is>
      </c>
      <c r="G22" s="8" t="inlineStr">
        <is>
          <t>红外光电与激光、弹药与特种装备</t>
        </is>
      </c>
      <c r="H22" s="7" t="inlineStr">
        <is>
          <t>核心</t>
        </is>
      </c>
      <c r="I22" s="8" t="inlineStr">
        <is>
          <t>公司具备制冷和非制冷红外焦平面探测器芯片批产能力，自产高端探测器已用于国内多个重点型号；红外热成像整机及综合光电系统服务国防，同时拥有完整装备系统总体、传统弹药及信息化弹药业务，形成从核心芯片到装备系统的真实军工链条。2025年红外热成像仪及综合光电系统收入44.8877亿元，其他电子设备制造业收入45.8990亿元、占99.3737%；传统弹药及信息化弹药收入1.0113亿元，虽规模较小但产品明确。红外业务中也有民用消费、工业和汽车应用，年报未独立拆分军民收入，不过国防重点型号与规模化红外核心产品足以支持核心定位。旧“红外探测”应规范为红外光电与激光，并补充弹药与特种装备。</t>
        </is>
      </c>
      <c r="J22" s="7" t="inlineStr">
        <is>
          <t>高德红外：2025年年度报告</t>
        </is>
      </c>
      <c r="K22" s="7" t="inlineStr">
        <is>
          <t>2026-04-15</t>
        </is>
      </c>
      <c r="L22" s="8" t="inlineStr">
        <is>
          <t>iFinD ifind_get_stock_info + ifind_get_stock_business_segmentation (as of 2026-10-27)；高德红外：2025年年度报告</t>
        </is>
      </c>
      <c r="M22" s="9" t="inlineStr">
        <is>
          <t>https://static.cninfo.com.cn/finalpage/2026-04-15/1225101748.PDF</t>
        </is>
      </c>
    </row>
    <row r="23" ht="96" customHeight="1">
      <c r="B23" s="4" t="inlineStr">
        <is>
          <t>002465</t>
        </is>
      </c>
      <c r="C23" s="4" t="inlineStr">
        <is>
          <t>海格通信</t>
        </is>
      </c>
      <c r="D23" s="5" t="inlineStr">
        <is>
          <t>军工：军工电子-军用通信</t>
        </is>
      </c>
      <c r="E23" s="4" t="inlineStr">
        <is>
          <t>纠错</t>
        </is>
      </c>
      <c r="F23" s="4" t="inlineStr">
        <is>
          <t>军工</t>
        </is>
      </c>
      <c r="G23" s="5" t="inlineStr">
        <is>
          <t>军用通信与指挥控制、军用导航与惯导、军事仿真与军工软件</t>
        </is>
      </c>
      <c r="H23" s="4" t="inlineStr">
        <is>
          <t>核心</t>
        </is>
      </c>
      <c r="I23" s="5" t="inlineStr">
        <is>
          <t>公司无线通信覆盖短波、超短波、卫星通信、数据链和有无人协同，短波产品已配装新一代机载平台，超短波进入中空无人通信节点；北斗导航形成芯片、模块、天线、终端和系统全链条并服务特殊机构用户；模拟仿真覆盖飞行、车辆和无人机训练，2025年中标某部队飞行模拟训练服务，军工场景可核验。2025年无线通信收入10.9990亿元，占25.07%，北斗导航5.1539亿元，占11.74%，航空航天含模拟仿真3.5764亿元，占8.15%；数智生态23.3478亿元，占53.21%。军民业务并存但三条防务产品线规模大且为核心产业，故列核心。旧“军用通信”需保留，同时补出北斗导航和军事仿真，避免只用卫星地面设备概括。</t>
        </is>
      </c>
      <c r="J23" s="4" t="inlineStr">
        <is>
          <t>海格通信：2025年年度报告</t>
        </is>
      </c>
      <c r="K23" s="4" t="inlineStr">
        <is>
          <t>2026-03-28</t>
        </is>
      </c>
      <c r="L23" s="5" t="inlineStr">
        <is>
          <t>iFinD ifind_get_stock_info + ifind_get_stock_business_segmentation (as of 2026-10-27)；海格通信：2025年年度报告</t>
        </is>
      </c>
      <c r="M23" s="6" t="inlineStr">
        <is>
          <t>https://static.cninfo.com.cn/finalpage/2026-03-28/1225044009.PDF</t>
        </is>
      </c>
    </row>
    <row r="24" ht="96" customHeight="1">
      <c r="B24" s="7" t="inlineStr">
        <is>
          <t>002519</t>
        </is>
      </c>
      <c r="C24" s="7" t="inlineStr">
        <is>
          <t>银河电子</t>
        </is>
      </c>
      <c r="D24" s="8" t="inlineStr">
        <is>
          <t>军工：陆军-装备配套</t>
        </is>
      </c>
      <c r="E24" s="7" t="inlineStr">
        <is>
          <t>纠错</t>
        </is>
      </c>
      <c r="F24" s="7" t="inlineStr">
        <is>
          <t>军工</t>
        </is>
      </c>
      <c r="G24" s="8" t="inlineStr">
        <is>
          <t>军工电源与电机电气、地面武器与装甲车辆</t>
        </is>
      </c>
      <c r="H24" s="7" t="inlineStr">
        <is>
          <t>核心</t>
        </is>
      </c>
      <c r="I24" s="8" t="inlineStr">
        <is>
          <t>公司智能特种装备包括智能供配电、综合电子信息、综合环境控制和技术保障装备，分系统直接用于坦克、装甲车、自行火炮、指挥车、通信车和侦察车等军用特种车辆，为陆海空火及武警型号配套；子公司具备规模化、系列化交付能力，属于真实装备分系统而非普通机顶盒业务。2025年智能机电产品收入2.7406亿元，占50.03%，新能源产品2.3714亿元，占43.29%，其他0.3659亿元；智能机电还包含智能终端，军品收入未独立拆分，且受军品采购限制影响仍有亏损。鉴于军用供配电和车辆机电是核心产品并已形成系列配套，保留核心但不得把全部智能机电收入视为军工。旧“陆军-装备配套”应细化为车辆平台与军工电源电机电气。</t>
        </is>
      </c>
      <c r="J24" s="7" t="inlineStr">
        <is>
          <t>银河电子：2025年年度报告</t>
        </is>
      </c>
      <c r="K24" s="7" t="inlineStr">
        <is>
          <t>2026-04-15</t>
        </is>
      </c>
      <c r="L24" s="8" t="inlineStr">
        <is>
          <t>iFinD ifind_get_stock_info + ifind_get_stock_business_segmentation (as of 2026-10-27)；银河电子：2025年年度报告</t>
        </is>
      </c>
      <c r="M24" s="9" t="inlineStr">
        <is>
          <t>https://static.cninfo.com.cn/finalpage/2026-04-15/1225101519.PDF</t>
        </is>
      </c>
    </row>
    <row r="25" ht="96" customHeight="1">
      <c r="B25" s="4" t="inlineStr">
        <is>
          <t>002535</t>
        </is>
      </c>
      <c r="C25" s="4" t="inlineStr">
        <is>
          <t>林州重机</t>
        </is>
      </c>
      <c r="D25" s="5" t="inlineStr">
        <is>
          <t>军工：军工配套</t>
        </is>
      </c>
      <c r="E25" s="4" t="inlineStr">
        <is>
          <t>纠错</t>
        </is>
      </c>
      <c r="F25" s="4" t="inlineStr">
        <is>
          <t>军工</t>
        </is>
      </c>
      <c r="G25" s="5" t="inlineStr">
        <is>
          <t>军工配套-通用零部件</t>
        </is>
      </c>
      <c r="H25" s="4" t="inlineStr">
        <is>
          <t>相关</t>
        </is>
      </c>
      <c r="I25" s="5" t="inlineStr">
        <is>
          <t>公司年报将军工列为独立业务板块，实际模式是为军工企业提供零部件配套，按订单定制或来料加工，依据图号、精度、材料和产品大小交付，说明已有真实军工客户和收入，并非煤矿机械可转军用的猜测；但披露未说明零部件对应何种武器平台，故只能使用通用零部件概念，不能擅自贴坦克或导弹标签。2025年军工产品系列收入0.1840亿元，占1.6316%，煤矿机械及综合服务10.8184亿元，占95.9168%，其他业务0.2765亿元，军工收入规模很小且煤机占绝对主导，因此列相关而非核心。旧“军工配套”方向可保留但需规范为军工配套-通用零部件，旧“边缘”也应依据独立军工分部上调为相关。</t>
        </is>
      </c>
      <c r="J25" s="4" t="inlineStr">
        <is>
          <t>林州重机：2025年年度报告</t>
        </is>
      </c>
      <c r="K25" s="4" t="inlineStr">
        <is>
          <t>2026-04-29</t>
        </is>
      </c>
      <c r="L25" s="5" t="inlineStr">
        <is>
          <t>iFinD ifind_get_stock_info + ifind_get_stock_business_segmentation (as of 2026-10-27)；林州重机：2025年年度报告</t>
        </is>
      </c>
      <c r="M25" s="6" t="inlineStr">
        <is>
          <t>https://static.cninfo.com.cn/finalpage/2026-04-29/1225236031.PDF</t>
        </is>
      </c>
    </row>
    <row r="26" ht="96" customHeight="1">
      <c r="B26" s="7" t="inlineStr">
        <is>
          <t>002625</t>
        </is>
      </c>
      <c r="C26" s="7" t="inlineStr">
        <is>
          <t>光启技术</t>
        </is>
      </c>
      <c r="D26" s="8" t="inlineStr">
        <is>
          <t>军工：军工材料</t>
        </is>
      </c>
      <c r="E26" s="7" t="inlineStr">
        <is>
          <t>纠错</t>
        </is>
      </c>
      <c r="F26" s="7" t="inlineStr">
        <is>
          <t>军工</t>
        </is>
      </c>
      <c r="G26" s="8" t="inlineStr">
        <is>
          <t>军工材料-超材料与隐身材料</t>
        </is>
      </c>
      <c r="H26" s="7" t="inlineStr">
        <is>
          <t>核心</t>
        </is>
      </c>
      <c r="I26" s="8" t="inlineStr">
        <is>
          <t>公司向尖端装备交付航电系统、电磁调制和力学结构一体化的超材料功能结构件，产品用于航空、航天、远程制导、水面及水下装备，使装备具备电磁调制和低可探测等能力；公司是我国先进装备研制、批产核心供应商，并已实现超材料大规模量产，属于实际军工核心产品，不是通用材料潜在应用。2025年超材料行业收入20.3542亿元，占99.4965%；其中超材料产品17.9587亿元，超材料研发业务2.3955亿元，其他仅0.1030亿元，主营业务高度集中，故列核心。旧“军工材料”过于宽泛，需按产品实质细化为军工材料-超材料与隐身材料；对于预浸料、蜂窝芯材等中间产品，不再额外泛贴多个材料标签。</t>
        </is>
      </c>
      <c r="J26" s="7" t="inlineStr">
        <is>
          <t>光启技术：2025年年度报告</t>
        </is>
      </c>
      <c r="K26" s="7" t="inlineStr">
        <is>
          <t>2026-04-28</t>
        </is>
      </c>
      <c r="L26" s="8" t="inlineStr">
        <is>
          <t>iFinD ifind_get_stock_info + ifind_get_stock_business_segmentation (as of 2026-10-27)；光启技术：2025年年度报告</t>
        </is>
      </c>
      <c r="M26" s="9" t="inlineStr">
        <is>
          <t>https://static.cninfo.com.cn/finalpage/2026-04-28/1225220969.PDF</t>
        </is>
      </c>
    </row>
    <row r="27" ht="96" customHeight="1">
      <c r="B27" s="4" t="inlineStr">
        <is>
          <t>300008</t>
        </is>
      </c>
      <c r="C27" s="4" t="inlineStr">
        <is>
          <t>天海防务</t>
        </is>
      </c>
      <c r="D27" s="5" t="inlineStr">
        <is>
          <t>军工：海军</t>
        </is>
      </c>
      <c r="E27" s="4" t="inlineStr">
        <is>
          <t>纠错</t>
        </is>
      </c>
      <c r="F27" s="4" t="inlineStr">
        <is>
          <t>军工</t>
        </is>
      </c>
      <c r="G27" s="5" t="inlineStr">
        <is>
          <t>船舶总装与海洋防务、军用无人装备与机器人</t>
        </is>
      </c>
      <c r="H27" s="4" t="inlineStr">
        <is>
          <t>相关</t>
        </is>
      </c>
      <c r="I27" s="5" t="inlineStr">
        <is>
          <t>公司确有特种船艇及防务装备研发制造业务，年报列示特种无人船艇、智能船舶系统、水域救援及安防装备和特种装备，且船海工程交付项目包含舰艇监理，属于真实防务产品与船舶工程落地，并非仅凭公司名称保留。2025年船海工程设计建造总承包收入40.3678亿元，约占总收入89.34%，主要是运输船、海工船等；防务装备及产品收入1.4634亿元，仅约3.24%，军品内部未再独立拆分。因此军工是实际但低占比业务，应由旧“海军、核心”下调为相关；旧军种粗标签也改为船舶总装与海洋防务，并将已披露的特种无人船艇落到军用无人装备与机器人。</t>
        </is>
      </c>
      <c r="J27" s="4" t="inlineStr">
        <is>
          <t>天海融合防务装备技术股份有限公司2025年年度报告</t>
        </is>
      </c>
      <c r="K27" s="4" t="inlineStr">
        <is>
          <t>2026-03-31</t>
        </is>
      </c>
      <c r="L27" s="5" t="inlineStr">
        <is>
          <t>iFinD ifind_get_stock_info + ifind_get_stock_business_segmentation (as of 2026-10-27)；天海融合防务装备技术股份有限公司2025年年度报告</t>
        </is>
      </c>
      <c r="M27" s="6" t="inlineStr">
        <is>
          <t>https://static.cninfo.com.cn/finalpage/2026-03-31/1225054550.PDF</t>
        </is>
      </c>
    </row>
    <row r="28" ht="96" customHeight="1">
      <c r="B28" s="7" t="inlineStr">
        <is>
          <t>300024</t>
        </is>
      </c>
      <c r="C28" s="7" t="inlineStr">
        <is>
          <t>机器人</t>
        </is>
      </c>
      <c r="D28" s="8" t="inlineStr">
        <is>
          <t>军工：工业机器人</t>
        </is>
      </c>
      <c r="E28" s="7" t="inlineStr">
        <is>
          <t>纠错</t>
        </is>
      </c>
      <c r="F28" s="7" t="inlineStr">
        <is>
          <t>军工</t>
        </is>
      </c>
      <c r="G28" s="8" t="inlineStr">
        <is>
          <t>军用无人装备与机器人</t>
        </is>
      </c>
      <c r="H28" s="7" t="inlineStr">
        <is>
          <t>相关</t>
        </is>
      </c>
      <c r="I28" s="8" t="inlineStr">
        <is>
          <t>新松除工业六轴机器人外，年报仍明确列示特种机器人包括自动转载机器人系统、装备自动保障系统，这类产品对应装备转载输送和自动保障场景，具有既有军工交付基础，不是把普通焊接或搬运机器人直接视作军品。2025年智能装备制造收入41.0993亿元、占99.7119%；自动化装配与检测生产线及系统集成14.9294亿元、工业机器人10.9706亿元、物流仓储7.3396亿元、半导体装备5.2504亿元，特种军用机器人没有独立拆分，新增应用披露也以工业和建筑为主。故只判相关、不判核心；旧“工业机器人”不能表达军工实质，纠正为军用无人装备与机器人，同时避免凭中科院背景扩大认定。</t>
        </is>
      </c>
      <c r="J28" s="7" t="inlineStr">
        <is>
          <t>沈阳新松机器人自动化股份有限公司2025年年度报告</t>
        </is>
      </c>
      <c r="K28" s="7" t="inlineStr">
        <is>
          <t>2026-04-24</t>
        </is>
      </c>
      <c r="L28" s="8" t="inlineStr">
        <is>
          <t>iFinD ifind_get_stock_info + ifind_get_stock_business_segmentation (as of 2026-10-27)；沈阳新松机器人自动化股份有限公司2025年年度报告</t>
        </is>
      </c>
      <c r="M28" s="9" t="inlineStr">
        <is>
          <t>https://static.cninfo.com.cn/finalpage/2026-04-24/1225170932.PDF</t>
        </is>
      </c>
    </row>
    <row r="29" ht="96" customHeight="1">
      <c r="B29" s="4" t="inlineStr">
        <is>
          <t>300034</t>
        </is>
      </c>
      <c r="C29" s="4" t="inlineStr">
        <is>
          <t>钢研高纳</t>
        </is>
      </c>
      <c r="D29" s="5" t="inlineStr">
        <is>
          <t>军工：军工材料</t>
        </is>
      </c>
      <c r="E29" s="4" t="inlineStr">
        <is>
          <t>纠错</t>
        </is>
      </c>
      <c r="F29" s="4" t="inlineStr">
        <is>
          <t>军工</t>
        </is>
      </c>
      <c r="G29" s="5" t="inlineStr">
        <is>
          <t>军工材料-钛合金与高温合金</t>
        </is>
      </c>
      <c r="H29" s="4" t="inlineStr">
        <is>
          <t>核心</t>
        </is>
      </c>
      <c r="I29" s="5" t="inlineStr">
        <is>
          <t>公司真实产品是航空航天用高温合金母合金、航空发动机精密铸件、盘环锻件及铝镁钛轻质合金制品，覆盖发动机叶片、机匣和转子类零件，已形成规模化产能并直接服务航空航天主机配套，而非普通金属材料的概念性军用。2025年有色金属冶炼及压延加工收入36.9697亿元、占100%，铸造高温合金24.8028亿元、变形高温合金9.5547亿元、新型高温合金2.3875亿元，分别约占67.09%、25.84%和6.46%；军用与民用航空、燃机收入未独立拆分。鉴于核心产品及规模均明确，维持核心；旧“军工材料”过宽，细化到钛合金与高温合金。</t>
        </is>
      </c>
      <c r="J29" s="4" t="inlineStr">
        <is>
          <t>北京钢研高纳科技股份有限公司2025年年度报告</t>
        </is>
      </c>
      <c r="K29" s="4" t="inlineStr">
        <is>
          <t>2026-03-20</t>
        </is>
      </c>
      <c r="L29" s="5" t="inlineStr">
        <is>
          <t>iFinD ifind_get_stock_info + ifind_get_stock_business_segmentation (as of 2026-10-27)；北京钢研高纳科技股份有限公司2025年年度报告</t>
        </is>
      </c>
      <c r="M29" s="6" t="inlineStr">
        <is>
          <t>https://static.cninfo.com.cn/finalpage/2026-03-20/1225018881.PDF</t>
        </is>
      </c>
    </row>
    <row r="30" ht="96" customHeight="1">
      <c r="B30" s="7" t="inlineStr">
        <is>
          <t>300101</t>
        </is>
      </c>
      <c r="C30" s="7" t="inlineStr">
        <is>
          <t>振芯科技</t>
        </is>
      </c>
      <c r="D30" s="8" t="inlineStr">
        <is>
          <t>军工：军工电子</t>
        </is>
      </c>
      <c r="E30" s="7" t="inlineStr">
        <is>
          <t>纠错</t>
        </is>
      </c>
      <c r="F30" s="7" t="inlineStr">
        <is>
          <t>军工</t>
        </is>
      </c>
      <c r="G30" s="8" t="inlineStr">
        <is>
          <t>军工芯片与特种集成电路、军用导航与惯导</t>
        </is>
      </c>
      <c r="H30" s="7" t="inlineStr">
        <is>
          <t>核心</t>
        </is>
      </c>
      <c r="I30" s="8" t="inlineStr">
        <is>
          <t>公司拥有北斗射频、基带和导航抗干扰芯片、DDS、射频组件及北斗终端，产品用于各型北斗终端、整机和系统平台，DDS已为北斗卫星原子钟配套并在轨运行；高动态、抗欺骗与抗压制终端面向飞机等载体，具备明确特种导航和装备电子场景。2025年集成电路业务收入4.3797亿元、占45.8564%，北斗导航综合应用3.4906亿元、占36.5474%，两项合计82.4038%；智慧城市1.4549亿元、占15.2328%，军用收入未单独拆分。核心芯片和导航合计占绝对主体，故判核心；旧“军工电子”过粗，应拆为军工芯片与特种集成电路、军用导航与惯导。</t>
        </is>
      </c>
      <c r="J30" s="7" t="inlineStr">
        <is>
          <t>成都振芯科技股份有限公司2025年年度报告</t>
        </is>
      </c>
      <c r="K30" s="7" t="inlineStr">
        <is>
          <t>2026-04-28</t>
        </is>
      </c>
      <c r="L30" s="8" t="inlineStr">
        <is>
          <t>iFinD ifind_get_stock_info + ifind_get_stock_business_segmentation (as of 2026-10-27)；成都振芯科技股份有限公司2025年年度报告</t>
        </is>
      </c>
      <c r="M30" s="9" t="inlineStr">
        <is>
          <t>https://static.cninfo.com.cn/finalpage/2026-04-28/1225210200.PDF</t>
        </is>
      </c>
    </row>
    <row r="31" ht="96" customHeight="1">
      <c r="B31" s="4" t="inlineStr">
        <is>
          <t>300395</t>
        </is>
      </c>
      <c r="C31" s="4" t="inlineStr">
        <is>
          <t>菲利华</t>
        </is>
      </c>
      <c r="D31" s="5" t="inlineStr">
        <is>
          <t>军工：军工材料</t>
        </is>
      </c>
      <c r="E31" s="4" t="inlineStr">
        <is>
          <t>纠错</t>
        </is>
      </c>
      <c r="F31" s="4" t="inlineStr">
        <is>
          <t>军工</t>
        </is>
      </c>
      <c r="G31" s="5" t="inlineStr">
        <is>
          <t>军工材料-特种玻璃与石英</t>
        </is>
      </c>
      <c r="H31" s="4" t="inlineStr">
        <is>
          <t>相关</t>
        </is>
      </c>
      <c r="I31" s="5" t="inlineStr">
        <is>
          <t>公司石英玻璃纤维、立体编织预制件及其复合材料具备耐高温、耐烧蚀和高透波性能，实际配套航空航天与海洋装备；年报还明确部分航空航天用石英纤维制品涉及国家秘密，复合材料获得批量生产订单，属于可核验的装备材料落地。2025年非金属矿物制品业收入20.1085亿元、占99.7272%，石英玻璃材料12.5846亿元、石英玻璃制品7.5239亿元，未按军工、半导体、光伏和光通讯拆分军用收入，石英电子布等民用业务也在增长。因此军工材料真实但占比无法核实且民用领域较多，维持相关；旧“军工材料”细化为特种玻璃与石英，不沿用含义宽泛的旧称。</t>
        </is>
      </c>
      <c r="J31" s="4" t="inlineStr">
        <is>
          <t>湖北菲利华石英玻璃股份有限公司2025年年度报告</t>
        </is>
      </c>
      <c r="K31" s="4" t="inlineStr">
        <is>
          <t>2026-04-24</t>
        </is>
      </c>
      <c r="L31" s="5" t="inlineStr">
        <is>
          <t>iFinD ifind_get_stock_info + ifind_get_stock_business_segmentation (as of 2026-10-27)；湖北菲利华石英玻璃股份有限公司2025年年度报告</t>
        </is>
      </c>
      <c r="M31" s="6" t="inlineStr">
        <is>
          <t>https://static.cninfo.com.cn/finalpage/2026-04-24/1225161586.PDF</t>
        </is>
      </c>
    </row>
    <row r="32" ht="96" customHeight="1">
      <c r="B32" s="7" t="inlineStr">
        <is>
          <t>300581</t>
        </is>
      </c>
      <c r="C32" s="7" t="inlineStr">
        <is>
          <t>晨曦航空</t>
        </is>
      </c>
      <c r="D32" s="8" t="inlineStr">
        <is>
          <t>军工：空军</t>
        </is>
      </c>
      <c r="E32" s="7" t="inlineStr">
        <is>
          <t>纠错</t>
        </is>
      </c>
      <c r="F32" s="7" t="inlineStr">
        <is>
          <t>军工</t>
        </is>
      </c>
      <c r="G32" s="8" t="inlineStr">
        <is>
          <t>军用导航与惯导、航空机载系统与航电</t>
        </is>
      </c>
      <c r="H32" s="7" t="inlineStr">
        <is>
          <t>核心</t>
        </is>
      </c>
      <c r="I32" s="8" t="inlineStr">
        <is>
          <t>公司直接研制光纤、激光等捷联惯性综合导航系统、导航计算机组件，以及航空发动机参数采集器、飞控计算机和发动机电子控制系统，主要为国有大型军工企业配套，最终用户主要为军方，军用场景、产品与客户链条均明确。2025年航空机电产品收入1.1273亿元、占86.7060%，其中光纤捷联惯导0.5655亿元、激光捷联惯导0.3772亿元、导航计算机组件0.0870亿元；专业技术服务0.0840亿元、其他业务0.0888亿元，未另拆军民收入。航空机电及惯导为收入主体，故维持核心；旧“空军”是军种粗标签，应改为军用导航与惯导、航空机载系统与航电。</t>
        </is>
      </c>
      <c r="J32" s="7" t="inlineStr">
        <is>
          <t>西安晨曦航空科技股份有限公司2025年年度报告</t>
        </is>
      </c>
      <c r="K32" s="7" t="inlineStr">
        <is>
          <t>2026-04-29</t>
        </is>
      </c>
      <c r="L32" s="8" t="inlineStr">
        <is>
          <t>iFinD ifind_get_stock_info + ifind_get_stock_business_segmentation (as of 2026-10-27)；西安晨曦航空科技股份有限公司2025年年度报告</t>
        </is>
      </c>
      <c r="M32" s="9" t="inlineStr">
        <is>
          <t>https://static.cninfo.com.cn/finalpage/2026-04-29/1225246742.PDF</t>
        </is>
      </c>
    </row>
    <row r="33" ht="96" customHeight="1">
      <c r="B33" s="4" t="inlineStr">
        <is>
          <t>300589</t>
        </is>
      </c>
      <c r="C33" s="4" t="inlineStr">
        <is>
          <t>江龙船艇</t>
        </is>
      </c>
      <c r="D33" s="5" t="inlineStr">
        <is>
          <t>军工：海军</t>
        </is>
      </c>
      <c r="E33" s="4" t="inlineStr">
        <is>
          <t>纠错</t>
        </is>
      </c>
      <c r="F33" s="4" t="inlineStr">
        <is>
          <t>军工</t>
        </is>
      </c>
      <c r="G33" s="5" t="inlineStr">
        <is>
          <t>船舶总装与海洋防务</t>
        </is>
      </c>
      <c r="H33" s="4" t="inlineStr">
        <is>
          <t>相关</t>
        </is>
      </c>
      <c r="I33" s="5" t="inlineStr">
        <is>
          <t>公司普通公务执法船、旅游船不能全部归为海军装备，但也不能忽视特殊批量公务船的真实军工属性。2023年报披露15.05亿元合同且合同内容涉及国家秘密，并具备武器装备质量管理体系认证；2025年报仍披露特殊批量公务船项目审价、延期违约及订单减少对经营的影响，说明该军工项目仍在履约链条中。2025年船艇销售收入6.6187亿元，其中公务执法3.8337亿元、旅游休闲1.8685亿元、特种作业0.9165亿元，军船收入未独立拆分且普通公务与民船较多，故由摘除修正为相关，概念统一为船舶总装与海洋防务，不再简单使用海军核心标签。</t>
        </is>
      </c>
      <c r="J33" s="4" t="inlineStr">
        <is>
          <t>江龙船艇科技股份有限公司2025年年度报告</t>
        </is>
      </c>
      <c r="K33" s="4" t="inlineStr">
        <is>
          <t>2026-04-24</t>
        </is>
      </c>
      <c r="L33" s="5" t="inlineStr">
        <is>
          <t>iFinD ifind_get_stock_info + ifind_get_stock_business_segmentation (as of 2026-10-27)；江龙船艇科技股份有限公司2025年年度报告</t>
        </is>
      </c>
      <c r="M33" s="6" t="inlineStr">
        <is>
          <t>https://static.cninfo.com.cn/finalpage/2026-04-24/1225166198.PDF</t>
        </is>
      </c>
    </row>
    <row r="34" ht="96" customHeight="1">
      <c r="B34" s="7" t="inlineStr">
        <is>
          <t>300593</t>
        </is>
      </c>
      <c r="C34" s="7" t="inlineStr">
        <is>
          <t>新雷能</t>
        </is>
      </c>
      <c r="D34" s="8" t="inlineStr">
        <is>
          <t>军工：军工电子</t>
        </is>
      </c>
      <c r="E34" s="7" t="inlineStr">
        <is>
          <t>纠错</t>
        </is>
      </c>
      <c r="F34" s="7" t="inlineStr">
        <is>
          <t>军工</t>
        </is>
      </c>
      <c r="G34" s="8" t="inlineStr">
        <is>
          <t>军工电源与电机电气、军工芯片与特种集成电路</t>
        </is>
      </c>
      <c r="H34" s="7" t="inlineStr">
        <is>
          <t>核心</t>
        </is>
      </c>
      <c r="I34" s="8" t="inlineStr">
        <is>
          <t>公司实际军工产品是航空航天装备用高可靠电源、机载电机电驱及特种电源管理芯片，年报明确航空航天用电力电子产品进入批量交付的品种和数量持续增加，并有面向中低轨航天器的抗辐照加固IC，不是泛称集成电路企业。2025年高端装备及配套行业收入11.7424亿元、占98.8254%；电源类10.6544亿元、约占89.67%，集成电路产品0.6504亿元、约占5.47%，电驱电机类0.3924亿元、约占3.30%，军用与通信、数据中心等收入未独立拆分。电源及电机电气规模化主业地位明确，故判核心；旧“军工电子”应精确为军工电源与电机电气，并补充特种集成电路。</t>
        </is>
      </c>
      <c r="J34" s="7" t="inlineStr">
        <is>
          <t>北京新雷能科技股份有限公司2025年年度报告</t>
        </is>
      </c>
      <c r="K34" s="7" t="inlineStr">
        <is>
          <t>2026-04-21</t>
        </is>
      </c>
      <c r="L34" s="8" t="inlineStr">
        <is>
          <t>iFinD ifind_get_stock_info + ifind_get_stock_business_segmentation (as of 2026-10-27)；北京新雷能科技股份有限公司2025年年度报告</t>
        </is>
      </c>
      <c r="M34" s="9" t="inlineStr">
        <is>
          <t>https://static.cninfo.com.cn/finalpage/2026-04-21/1225130176.PDF</t>
        </is>
      </c>
    </row>
    <row r="35" ht="96" customHeight="1">
      <c r="B35" s="4" t="inlineStr">
        <is>
          <t>300696</t>
        </is>
      </c>
      <c r="C35" s="4" t="inlineStr">
        <is>
          <t>爱乐达</t>
        </is>
      </c>
      <c r="D35" s="5" t="inlineStr">
        <is>
          <t>军工：军工电子</t>
        </is>
      </c>
      <c r="E35" s="4" t="inlineStr">
        <is>
          <t>纠错</t>
        </is>
      </c>
      <c r="F35" s="4" t="inlineStr">
        <is>
          <t>军工</t>
        </is>
      </c>
      <c r="G35" s="5" t="inlineStr">
        <is>
          <t>航空结构件与锻铸件</t>
        </is>
      </c>
      <c r="H35" s="4" t="inlineStr">
        <is>
          <t>核心</t>
        </is>
      </c>
      <c r="I35" s="5" t="inlineStr">
        <is>
          <t>公司从事军用及民用飞机零部件精密制造、特种工艺和部组件装配，军机产品覆盖战斗机、运输机、无人机和教练机的结构件、液压系统件及起落架零件；2025年主力型号及无人机整机机体全流程配套已批量交付，并新增军用航空主机厂和科研院所客户，属于真实规模化主机配套。2025年航空零部件制造收入5.0012亿元、占100%，飞机零部件4.9504亿元、约98.98%，地面设备及其他0.0508亿元，未单列军民收入。航空制造全部构成主营且军机交付明确，故维持核心；旧“军工电子”与数控加工、装配业务不符，应纠正为航空结构件与锻铸件。</t>
        </is>
      </c>
      <c r="J35" s="4" t="inlineStr">
        <is>
          <t>成都爱乐达航空制造股份有限公司2025年年度报告</t>
        </is>
      </c>
      <c r="K35" s="4" t="inlineStr">
        <is>
          <t>2026-04-25</t>
        </is>
      </c>
      <c r="L35" s="5" t="inlineStr">
        <is>
          <t>iFinD ifind_get_stock_info + ifind_get_stock_business_segmentation (as of 2026-10-27)；成都爱乐达航空制造股份有限公司2025年年度报告</t>
        </is>
      </c>
      <c r="M35" s="6" t="inlineStr">
        <is>
          <t>https://static.cninfo.com.cn/finalpage/2026-04-25/1225190592.PDF</t>
        </is>
      </c>
    </row>
    <row r="36" ht="96" customHeight="1">
      <c r="B36" s="7" t="inlineStr">
        <is>
          <t>300699</t>
        </is>
      </c>
      <c r="C36" s="7" t="inlineStr">
        <is>
          <t>光威复材</t>
        </is>
      </c>
      <c r="D36" s="8" t="inlineStr">
        <is>
          <t>军工：军工材料</t>
        </is>
      </c>
      <c r="E36" s="7" t="inlineStr">
        <is>
          <t>纠错</t>
        </is>
      </c>
      <c r="F36" s="7" t="inlineStr">
        <is>
          <t>军工</t>
        </is>
      </c>
      <c r="G36" s="8" t="inlineStr">
        <is>
          <t>军工材料-碳纤维与复合材料</t>
        </is>
      </c>
      <c r="H36" s="7" t="inlineStr">
        <is>
          <t>核心</t>
        </is>
      </c>
      <c r="I36" s="8" t="inlineStr">
        <is>
          <t>公司高性能碳纤维、预浸料和复合材料制品已长期服务航空航天及兵器装备，年报称其为我国航空航天等领域碳纤维主力供应商，并持续保障装备发展所需；光晟科技还开展火箭及导弹发动机壳体研发与自动化批量生产基地建设，具有明确装备应用而非一般风电材料外推。2025年新材料制造收入27.7000亿元、占96.8694%，碳纤维及织物14.5696亿元、碳梁9.4338亿元、预浸料2.3768亿元、制品及其他2.0934亿元，军工收入未独立拆分。航空航天核心材料和稳定批供构成重要主业，故维持核心；旧“军工材料”细化为碳纤维与复合材料。</t>
        </is>
      </c>
      <c r="J36" s="7" t="inlineStr">
        <is>
          <t>威海光威复合材料股份有限公司2025年年度报告</t>
        </is>
      </c>
      <c r="K36" s="7" t="inlineStr">
        <is>
          <t>2026-03-31</t>
        </is>
      </c>
      <c r="L36" s="8" t="inlineStr">
        <is>
          <t>iFinD ifind_get_stock_info + ifind_get_stock_business_segmentation (as of 2026-10-27)；威海光威复合材料股份有限公司2025年年度报告</t>
        </is>
      </c>
      <c r="M36" s="9" t="inlineStr">
        <is>
          <t>https://static.cninfo.com.cn/finalpage/2026-03-31/1225052430.PDF</t>
        </is>
      </c>
    </row>
    <row r="37" ht="96" customHeight="1">
      <c r="B37" s="4" t="inlineStr">
        <is>
          <t>300726</t>
        </is>
      </c>
      <c r="C37" s="4" t="inlineStr">
        <is>
          <t>宏达电子</t>
        </is>
      </c>
      <c r="D37" s="5" t="inlineStr">
        <is>
          <t>军工：军工电子</t>
        </is>
      </c>
      <c r="E37" s="4" t="inlineStr">
        <is>
          <t>纠错</t>
        </is>
      </c>
      <c r="F37" s="4" t="inlineStr">
        <is>
          <t>军工</t>
        </is>
      </c>
      <c r="G37" s="5" t="inlineStr">
        <is>
          <t>军工被动元件与连接器、军工电源与电机电气</t>
        </is>
      </c>
      <c r="H37" s="4" t="inlineStr">
        <is>
          <t>核心</t>
        </is>
      </c>
      <c r="I37" s="5" t="inlineStr">
        <is>
          <t>公司主力产品为钽电容、陶瓷电容、电感、电阻和电源模块等高可靠元器件，年报明确以高可靠产品为主，客户覆盖飞行器、车辆、船舶、雷达等系统工程和装备，钽电容及非钽产品已规模化供应，不是普通消费类元件的军用想象。2025年电子元器件行业收入18.8667亿元、占100%，元器件收入13.9526亿元、约73.95%，模块及其他4.9141亿元、约26.05%；年报另披露非钽业务销售占比66.07%，但未单列军民收入。高可靠电子元器件和模块构成核心主业，故判核心；旧“军工电子、钽电容”只覆盖局部，应细化为军工被动元件与连接器并补充军工电源与电机电气。</t>
        </is>
      </c>
      <c r="J37" s="4" t="inlineStr">
        <is>
          <t>株洲宏达电子股份有限公司2025年年度报告</t>
        </is>
      </c>
      <c r="K37" s="4" t="inlineStr">
        <is>
          <t>2026-04-24</t>
        </is>
      </c>
      <c r="L37" s="5" t="inlineStr">
        <is>
          <t>iFinD ifind_get_stock_info + ifind_get_stock_business_segmentation (as of 2026-10-27)；株洲宏达电子股份有限公司2025年年度报告</t>
        </is>
      </c>
      <c r="M37" s="6" t="inlineStr">
        <is>
          <t>https://static.cninfo.com.cn/finalpage/2026-04-24/1225167028.PDF</t>
        </is>
      </c>
    </row>
    <row r="38" ht="96" customHeight="1">
      <c r="B38" s="7" t="inlineStr">
        <is>
          <t>300775</t>
        </is>
      </c>
      <c r="C38" s="7" t="inlineStr">
        <is>
          <t>三角防务</t>
        </is>
      </c>
      <c r="D38" s="8" t="inlineStr">
        <is>
          <t>军工：航空装备-航空锻件</t>
        </is>
      </c>
      <c r="E38" s="7" t="inlineStr">
        <is>
          <t>纠错</t>
        </is>
      </c>
      <c r="F38" s="7" t="inlineStr">
        <is>
          <t>军工</t>
        </is>
      </c>
      <c r="G38" s="8" t="inlineStr">
        <is>
          <t>航空结构件与锻铸件、航空发动机与燃气轮机</t>
        </is>
      </c>
      <c r="H38" s="7" t="inlineStr">
        <is>
          <t>核心</t>
        </is>
      </c>
      <c r="I38" s="8" t="inlineStr">
        <is>
          <t>公司大型模锻件和自由锻件直接用于新一代战斗机、运输机、直升机机身关键结构及国产航空发动机盘件，并进入各大主机厂供应体系；年报明确产品大部分为军用航空锻件，少部分为民用大型锻件，军工产品和主机厂配套均有实证。2025年特种合金锻压收入15.4112亿元、占97.0160%，模锻件14.6334亿元、自由锻件0.7778亿元，其他收入0.4740亿元、占2.9840%，军品未独立拆分但年报明确占大部分。军用航空锻件是绝对核心产品，故维持核心；旧“航空装备-航空锻件”方向正确但仍需产品化，细化为航空结构件与锻铸件并补充航空发动机与燃气轮机。</t>
        </is>
      </c>
      <c r="J38" s="7" t="inlineStr">
        <is>
          <t>西安三角防务股份有限公司2025年年度报告</t>
        </is>
      </c>
      <c r="K38" s="7" t="inlineStr">
        <is>
          <t>2026-04-28</t>
        </is>
      </c>
      <c r="L38" s="8" t="inlineStr">
        <is>
          <t>iFinD ifind_get_stock_info + ifind_get_stock_business_segmentation (as of 2026-10-27)；西安三角防务股份有限公司2025年年度报告</t>
        </is>
      </c>
      <c r="M38" s="9" t="inlineStr">
        <is>
          <t>https://static.cninfo.com.cn/finalpage/2026-04-28/1225204663.PDF</t>
        </is>
      </c>
    </row>
    <row r="39" ht="96" customHeight="1">
      <c r="B39" s="4" t="inlineStr">
        <is>
          <t>300777</t>
        </is>
      </c>
      <c r="C39" s="4" t="inlineStr">
        <is>
          <t>中简科技</t>
        </is>
      </c>
      <c r="D39" s="5" t="inlineStr">
        <is>
          <t>军工：军工材料</t>
        </is>
      </c>
      <c r="E39" s="4" t="inlineStr">
        <is>
          <t>纠错</t>
        </is>
      </c>
      <c r="F39" s="4" t="inlineStr">
        <is>
          <t>军工</t>
        </is>
      </c>
      <c r="G39" s="5" t="inlineStr">
        <is>
          <t>军工材料-碳纤维与复合材料</t>
        </is>
      </c>
      <c r="H39" s="4" t="inlineStr">
        <is>
          <t>核心</t>
        </is>
      </c>
      <c r="I39" s="5" t="inlineStr">
        <is>
          <t>公司ZT7、ZT8、ZT9等高性能碳纤维及织物是多型航空航天结构部件的关键基础材料，年报明确多款产品已稳定批量应用，客户主要为国内大型航空航天企业集团，报告期继续完成主力型号批产交付，并拓展航发、兵器用户，属于真实规模化装备材料供应。2025年新材料制造业收入8.4602亿元、占99.9908%，其中碳纤维5.8415亿元、碳纤维织物2.6186亿元，合计约8.4601亿元，其他业务仅0.0008亿元，军民收入未另拆。主营几乎全部围绕高性能碳纤维且批产型号明确，故维持核心；旧“军工材料”过泛，应细化到碳纤维与复合材料。</t>
        </is>
      </c>
      <c r="J39" s="4" t="inlineStr">
        <is>
          <t>中简科技股份有限公司2025年年度报告</t>
        </is>
      </c>
      <c r="K39" s="4" t="inlineStr">
        <is>
          <t>2026-04-15</t>
        </is>
      </c>
      <c r="L39" s="5" t="inlineStr">
        <is>
          <t>iFinD ifind_get_stock_info + ifind_get_stock_business_segmentation (as of 2026-10-27)；中简科技股份有限公司2025年年度报告</t>
        </is>
      </c>
      <c r="M39" s="6" t="inlineStr">
        <is>
          <t>https://static.cninfo.com.cn/finalpage/2026-04-15/1225102375.PDF</t>
        </is>
      </c>
    </row>
    <row r="40" ht="96" customHeight="1">
      <c r="B40" s="7" t="inlineStr">
        <is>
          <t>300810</t>
        </is>
      </c>
      <c r="C40" s="7" t="inlineStr">
        <is>
          <t>中科海讯</t>
        </is>
      </c>
      <c r="D40" s="8" t="inlineStr">
        <is>
          <t>军工：军工电子-水声电子</t>
        </is>
      </c>
      <c r="E40" s="7" t="inlineStr">
        <is>
          <t>纠错</t>
        </is>
      </c>
      <c r="F40" s="7" t="inlineStr">
        <is>
          <t>军工</t>
        </is>
      </c>
      <c r="G40" s="8" t="inlineStr">
        <is>
          <t>水声与海洋电子、军事仿真与军工软件</t>
        </is>
      </c>
      <c r="H40" s="7" t="inlineStr">
        <is>
          <t>核心</t>
        </is>
      </c>
      <c r="I40" s="8" t="inlineStr">
        <is>
          <t>公司产品直接用于国家特种电子信息行业声纳装备，包括信号处理平台、舰壳或拖曳等声纳系统、水声大数据与仿真训练系统及无人探测系统，服务水声目标探测识别、水声通信、导航测绘和训练，军工产品及场景清晰。2025年国家特种电子信息行业收入3.1567亿元、占100%，其中信号处理平台1.4515亿元、水声大数据与仿真系统1.4386亿元、声纳系统0.2146亿元、其他0.0519亿元，已无其他民用主业分部。全部收入来自特种电子信息且产品规模化，故维持核心；旧“军工电子-水声电子、海军”混合了行业与军种，应改为水声与海洋电子，并将占比较高的仿真业务落到军事仿真与军工软件。</t>
        </is>
      </c>
      <c r="J40" s="7" t="inlineStr">
        <is>
          <t>北京中科海讯数字科技股份有限公司2025年年度报告</t>
        </is>
      </c>
      <c r="K40" s="7" t="inlineStr">
        <is>
          <t>2026-04-17</t>
        </is>
      </c>
      <c r="L40" s="8" t="inlineStr">
        <is>
          <t>iFinD ifind_get_stock_info + ifind_get_stock_business_segmentation (as of 2026-10-27)；北京中科海讯数字科技股份有限公司2025年年度报告</t>
        </is>
      </c>
      <c r="M40" s="9" t="inlineStr">
        <is>
          <t>https://static.cninfo.com.cn/finalpage/2026-04-17/1225113928.PDF</t>
        </is>
      </c>
    </row>
    <row r="41" ht="96" customHeight="1">
      <c r="B41" s="4" t="inlineStr">
        <is>
          <t>300855</t>
        </is>
      </c>
      <c r="C41" s="4" t="inlineStr">
        <is>
          <t>图南股份</t>
        </is>
      </c>
      <c r="D41" s="5" t="inlineStr">
        <is>
          <t>军工：军工材料</t>
        </is>
      </c>
      <c r="E41" s="4" t="inlineStr">
        <is>
          <t>纠错</t>
        </is>
      </c>
      <c r="F41" s="4" t="inlineStr">
        <is>
          <t>军工</t>
        </is>
      </c>
      <c r="G41" s="5" t="inlineStr">
        <is>
          <t>军工材料-钛合金与高温合金、航空发动机与燃气轮机</t>
        </is>
      </c>
      <c r="H41" s="4" t="inlineStr">
        <is>
          <t>核心</t>
        </is>
      </c>
      <c r="I41" s="5" t="inlineStr">
        <is>
          <t>公司铸造和变形高温合金、特种不锈钢及精密铸件实际用于航空发动机和燃气轮机热端，包括机匣、涡轮转动及导向叶片、整体叶盘、导向器等，并通过定型、小批量到批量供货方式服务飞机和航空发动机客户，具备明确军用及高端装备配套。2025年有色金属冶炼及压延加工收入9.7048亿元、占86.2087%，变形高温合金5.3870亿元、铸造高温合金2.6822亿元；零部件制造0.5915亿元、占5.2544%，其他行业0.9610亿元、占8.5369%，军用与民用未独立拆分。高温合金及发动机部件是收入主体，故判核心；旧“军工材料”需细化为钛合金与高温合金，并体现发动机热端部件实质。</t>
        </is>
      </c>
      <c r="J41" s="4" t="inlineStr">
        <is>
          <t>江苏图南合金股份有限公司2025年年度报告</t>
        </is>
      </c>
      <c r="K41" s="4" t="inlineStr">
        <is>
          <t>2026-04-18</t>
        </is>
      </c>
      <c r="L41" s="5" t="inlineStr">
        <is>
          <t>iFinD ifind_get_stock_info + ifind_get_stock_business_segmentation (as of 2026-10-27)；江苏图南合金股份有限公司2025年年度报告</t>
        </is>
      </c>
      <c r="M41" s="6" t="inlineStr">
        <is>
          <t>https://static.cninfo.com.cn/finalpage/2026-04-18/1225117117.PDF</t>
        </is>
      </c>
    </row>
    <row r="42" ht="96" customHeight="1">
      <c r="B42" s="7" t="inlineStr">
        <is>
          <t>300875</t>
        </is>
      </c>
      <c r="C42" s="7" t="inlineStr">
        <is>
          <t>捷强装备</t>
        </is>
      </c>
      <c r="D42" s="8" t="inlineStr">
        <is>
          <t>军工：核化生防御</t>
        </is>
      </c>
      <c r="E42" s="7" t="inlineStr">
        <is>
          <t>纠错</t>
        </is>
      </c>
      <c r="F42" s="7" t="inlineStr">
        <is>
          <t>军工</t>
        </is>
      </c>
      <c r="G42" s="8" t="inlineStr">
        <is>
          <t>核化生防御与应急救援</t>
        </is>
      </c>
      <c r="H42" s="7" t="inlineStr">
        <is>
          <t>核心</t>
        </is>
      </c>
      <c r="I42" s="8" t="inlineStr">
        <is>
          <t>公司形成核辐射监测、生物检测、核生化防护与洗消装备的侦察、防护、洗消链条，产品用于军队防疫、部队后勤保障、核应急和国防装备更新，控股子公司还是国防生物安全领域生物侦察装备配套供应商，具有真实军用产品和客户场景。2025年核生化安全装备收入1.9799亿元、占62.3086%，其中核辐射监测1.4271亿元、生物检测0.1072亿元、其他核化生防御装备及配件0.2753亿元；新材料应用产品1.1977亿元、占37.6914%，军队与民用核电、环保收入未独立拆分。核化生装备仍为最大主业，故维持核心；旧“核化生防御”规范为核化生防御与应急救援。</t>
        </is>
      </c>
      <c r="J42" s="7" t="inlineStr">
        <is>
          <t>天津捷强动力装备股份有限公司2025年年度报告</t>
        </is>
      </c>
      <c r="K42" s="7" t="inlineStr">
        <is>
          <t>2026-04-28</t>
        </is>
      </c>
      <c r="L42" s="8" t="inlineStr">
        <is>
          <t>iFinD ifind_get_stock_info + ifind_get_stock_business_segmentation (as of 2026-10-27)；天津捷强动力装备股份有限公司2025年年度报告</t>
        </is>
      </c>
      <c r="M42" s="9" t="inlineStr">
        <is>
          <t>https://static.cninfo.com.cn/finalpage/2026-04-28/1225207779.PDF</t>
        </is>
      </c>
    </row>
    <row r="43" ht="96" customHeight="1">
      <c r="B43" s="4" t="inlineStr">
        <is>
          <t>301050</t>
        </is>
      </c>
      <c r="C43" s="4" t="inlineStr">
        <is>
          <t>雷电微力</t>
        </is>
      </c>
      <c r="D43" s="5" t="inlineStr">
        <is>
          <t>军工：导弹</t>
        </is>
      </c>
      <c r="E43" s="4" t="inlineStr">
        <is>
          <t>纠错</t>
        </is>
      </c>
      <c r="F43" s="4" t="inlineStr">
        <is>
          <t>军工</t>
        </is>
      </c>
      <c r="G43" s="5" t="inlineStr">
        <is>
          <t>雷达与预警探测、军用通信与指挥控制</t>
        </is>
      </c>
      <c r="H43" s="4" t="inlineStr">
        <is>
          <t>核心</t>
        </is>
      </c>
      <c r="I43" s="5" t="inlineStr">
        <is>
          <t>公司主要出货毫米波有源相控阵阵列天线和TR组件，是雷达、通信系统的核心组件，专用市场仍为核心深耕方向，产品直接决定波束电控扫描、信号收发和系统性能，属于真实专用电子装备配套，而非卫星互联网等潜在通用应用。2025年计算机、通信和其他电子设备制造业收入7.4050亿元、占100%，阵列天线4.5486亿元、约61.43%，TR组件2.8458亿元、约38.43%，其他类0.0105亿元，专用与通用收入未独立拆分。两类产品合计约99.86%，故维持核心；旧“导弹、精确制导”不能完整反映当前年报披露的雷达与通信产品实质，应纠正为雷达与预警探测、军用通信与指挥控制。</t>
        </is>
      </c>
      <c r="J43" s="4" t="inlineStr">
        <is>
          <t>成都雷电微力科技股份有限公司2025年年度报告</t>
        </is>
      </c>
      <c r="K43" s="4" t="inlineStr">
        <is>
          <t>2026-04-24</t>
        </is>
      </c>
      <c r="L43" s="5" t="inlineStr">
        <is>
          <t>iFinD ifind_get_stock_info + ifind_get_stock_business_segmentation (as of 2026-10-27)；成都雷电微力科技股份有限公司2025年年度报告</t>
        </is>
      </c>
      <c r="M43" s="6" t="inlineStr">
        <is>
          <t>https://static.cninfo.com.cn/finalpage/2026-04-24/1225169202.PDF</t>
        </is>
      </c>
    </row>
    <row r="44" ht="96" customHeight="1">
      <c r="B44" s="7" t="inlineStr">
        <is>
          <t>301302</t>
        </is>
      </c>
      <c r="C44" s="7" t="inlineStr">
        <is>
          <t>华如科技</t>
        </is>
      </c>
      <c r="D44" s="8" t="inlineStr">
        <is>
          <t>军工：军工AI</t>
        </is>
      </c>
      <c r="E44" s="7" t="inlineStr">
        <is>
          <t>纠错</t>
        </is>
      </c>
      <c r="F44" s="7" t="inlineStr">
        <is>
          <t>军工</t>
        </is>
      </c>
      <c r="G44" s="8" t="inlineStr">
        <is>
          <t>军事仿真与军工软件、电子对抗与蓝军仿真</t>
        </is>
      </c>
      <c r="H44" s="7" t="inlineStr">
        <is>
          <t>核心</t>
        </is>
      </c>
      <c r="I44" s="8" t="inlineStr">
        <is>
          <t>公司以军事仿真和军事智能为主业，XSim体系包括军事大模型、智能仿真平台、数字战场和数字兵力，产品用于作战实验、模拟训练、装备论证、试验鉴定和综合保障，并已形成智能蓝军、谋战、智能靶标等方案；主要客户为军队和国防工业企业，不是通用AI软件概念。2025年军事训练收入1.8469亿元、占61.0220%，智能决策0.4203亿元、占13.8853%，数智试验0.2161亿元、占7.1401%，游戏及文旅0.4769亿元、占15.7551%，智能装备0.0623亿元、占2.0597%。军事相关板块占绝对主体，故维持核心；旧“军工AI、军工电子”过泛，应细化为军事仿真与军工软件、电子对抗与蓝军仿真。</t>
        </is>
      </c>
      <c r="J44" s="7" t="inlineStr">
        <is>
          <t>北京华如科技股份有限公司2025年年度报告</t>
        </is>
      </c>
      <c r="K44" s="7" t="inlineStr">
        <is>
          <t>2026-04-21</t>
        </is>
      </c>
      <c r="L44" s="8" t="inlineStr">
        <is>
          <t>iFinD ifind_get_stock_info + ifind_get_stock_business_segmentation (as of 2026-10-27)；北京华如科技股份有限公司2025年年度报告</t>
        </is>
      </c>
      <c r="M44" s="9" t="inlineStr">
        <is>
          <t>https://static.cninfo.com.cn/finalpage/2026-04-21/1225129388.PDF</t>
        </is>
      </c>
    </row>
    <row r="45" ht="96" customHeight="1">
      <c r="B45" s="4" t="inlineStr">
        <is>
          <t>302132</t>
        </is>
      </c>
      <c r="C45" s="4" t="inlineStr">
        <is>
          <t>中航成飞</t>
        </is>
      </c>
      <c r="D45" s="5" t="inlineStr">
        <is>
          <t>军工：航空装备-战斗机主机厂</t>
        </is>
      </c>
      <c r="E45" s="4" t="inlineStr">
        <is>
          <t>纠错</t>
        </is>
      </c>
      <c r="F45" s="4" t="inlineStr">
        <is>
          <t>军工</t>
        </is>
      </c>
      <c r="G45" s="5" t="inlineStr">
        <is>
          <t>航空整机-固定翼</t>
        </is>
      </c>
      <c r="H45" s="4" t="inlineStr">
        <is>
          <t>核心</t>
        </is>
      </c>
      <c r="I45" s="5" t="inlineStr">
        <is>
          <t>公司是航空整机研制生产和出口基地，已研制歼-10、歼-20、枭龙等主战固定翼装备，并提供整机维修、备件、培训和军贸服务，军用航空产品按客户采购计划交付，产品、军方及军贸客户场景均为直接证据。2025年航空制造业收入735.5138亿元、占97.6014%，航空产品收入同为735.5138亿元，其他收入18.0758亿元、占2.3986%，航空防务与民机大部件未独立拆分。航空整机研发制造构成绝对主营且军用主战装备是核心，故维持核心；旧“战斗机主机厂、空军、军贸”混用主机、军种和贸易方式，统一按产品实质纠正为航空整机-固定翼。</t>
        </is>
      </c>
      <c r="J45" s="4" t="inlineStr">
        <is>
          <t>中航成飞股份有限公司2025年年度报告</t>
        </is>
      </c>
      <c r="K45" s="4" t="inlineStr">
        <is>
          <t>2026-04-29</t>
        </is>
      </c>
      <c r="L45" s="5" t="inlineStr">
        <is>
          <t>iFinD ifind_get_stock_info + ifind_get_stock_business_segmentation (as of 2026-10-27)；中航成飞股份有限公司2025年年度报告</t>
        </is>
      </c>
      <c r="M45" s="6" t="inlineStr">
        <is>
          <t>https://static.cninfo.com.cn/finalpage/2026-04-29/1225250581.PDF</t>
        </is>
      </c>
    </row>
    <row r="46" ht="96" customHeight="1">
      <c r="B46" s="7" t="inlineStr">
        <is>
          <t>600038</t>
        </is>
      </c>
      <c r="C46" s="7" t="inlineStr">
        <is>
          <t>中直股份</t>
        </is>
      </c>
      <c r="D46" s="8" t="inlineStr">
        <is>
          <t>军工：航空装备-直升机主机厂</t>
        </is>
      </c>
      <c r="E46" s="7" t="inlineStr">
        <is>
          <t>纠错</t>
        </is>
      </c>
      <c r="F46" s="7" t="inlineStr">
        <is>
          <t>军工</t>
        </is>
      </c>
      <c r="G46" s="8" t="inlineStr">
        <is>
          <t>航空整机-直升机</t>
        </is>
      </c>
      <c r="H46" s="7" t="inlineStr">
        <is>
          <t>核心</t>
        </is>
      </c>
      <c r="I46" s="8" t="inlineStr">
        <is>
          <t>公司是我国直升机产业专业化上市平台，研发制造多型不同吨位直升机及零部件，并覆盖通用飞机、航空转包和客户化服务，直升机整机研制、生产和交付构成实际主业；军用航空装备属性来自其装备谱系和主责主业，不是仅凭航空工业央企背景认定。2025年航空制造业收入288.7524亿元、占99.2740%，航空产品收入同为288.7524亿元，其他收入2.1118亿元、占0.7260%，其中先进制造1.0136亿元，军用与民用直升机收入未独立拆分。航空产品占绝对主体且直升机为核心整机产品，故维持核心；旧“直升机主机厂、空军、陆军”应按产品统一为航空整机-直升机。</t>
        </is>
      </c>
      <c r="J46" s="7" t="inlineStr">
        <is>
          <t>中航直升机股份有限公司2025年年度报告（更正后）</t>
        </is>
      </c>
      <c r="K46" s="7" t="inlineStr">
        <is>
          <t>2026-05-16</t>
        </is>
      </c>
      <c r="L46" s="8" t="inlineStr">
        <is>
          <t>iFinD ifind_get_stock_info + ifind_get_stock_business_segmentation (as of 2026-10-27)；中航直升机股份有限公司2025年年度报告（更正后）</t>
        </is>
      </c>
      <c r="M46" s="9" t="inlineStr">
        <is>
          <t>https://static.cninfo.com.cn/finalpage/2026-05-16/1225309475.PDF</t>
        </is>
      </c>
    </row>
    <row r="47" ht="96" customHeight="1">
      <c r="B47" s="4" t="inlineStr">
        <is>
          <t>600150</t>
        </is>
      </c>
      <c r="C47" s="4" t="inlineStr">
        <is>
          <t>中国船舶</t>
        </is>
      </c>
      <c r="D47" s="5" t="inlineStr">
        <is>
          <t>军工：海军</t>
        </is>
      </c>
      <c r="E47" s="4" t="inlineStr">
        <is>
          <t>纠错</t>
        </is>
      </c>
      <c r="F47" s="4" t="inlineStr">
        <is>
          <t>军工</t>
        </is>
      </c>
      <c r="G47" s="5" t="inlineStr">
        <is>
          <t>船舶总装与海洋防务</t>
        </is>
      </c>
      <c r="H47" s="4" t="inlineStr">
        <is>
          <t>核心</t>
        </is>
      </c>
      <c r="I47" s="5" t="inlineStr">
        <is>
          <t>公司旗下江南造船、大连造船、武昌造船直接建造军用舰船，广船国际建造军辅船，年报明确其为国内领先海洋防务装备上市公司和海军装备建设重要力量，具备研发、设计、总装及修理改装能力，属于真实军舰总装而非普通造船的军用联想。2025年工业收入1480.6774亿元、占97.4271%，船舶造修及海洋工程1312.7873亿元、约占总收入86.38%，机电设备186.1722亿元、约占12.25%，军船和民船未独立拆分。船舶总装为绝对主营且军用舰船是核心产品谱系，故维持核心；旧“海军”是军种粗标签，改为船舶总装与海洋防务更准确。</t>
        </is>
      </c>
      <c r="J47" s="4" t="inlineStr">
        <is>
          <t>中国船舶工业股份有限公司2025年年度报告</t>
        </is>
      </c>
      <c r="K47" s="4" t="inlineStr">
        <is>
          <t>2026-04-30</t>
        </is>
      </c>
      <c r="L47" s="5" t="inlineStr">
        <is>
          <t>iFinD ifind_get_stock_info + ifind_get_stock_business_segmentation (as of 2026-10-27)；中国船舶工业股份有限公司2025年年度报告</t>
        </is>
      </c>
      <c r="M47" s="6" t="inlineStr">
        <is>
          <t>https://static.cninfo.com.cn/finalpage/2026-04-30/1225261150.PDF</t>
        </is>
      </c>
    </row>
    <row r="48" ht="96" customHeight="1">
      <c r="B48" s="7" t="inlineStr">
        <is>
          <t>600184</t>
        </is>
      </c>
      <c r="C48" s="7" t="inlineStr">
        <is>
          <t>光电股份</t>
        </is>
      </c>
      <c r="D48" s="8" t="inlineStr">
        <is>
          <t>军工：导弹-精确制导</t>
        </is>
      </c>
      <c r="E48" s="7" t="inlineStr">
        <is>
          <t>纠错</t>
        </is>
      </c>
      <c r="F48" s="7" t="inlineStr">
        <is>
          <t>军工</t>
        </is>
      </c>
      <c r="G48" s="8" t="inlineStr">
        <is>
          <t>导弹与精确制导、红外光电与激光</t>
        </is>
      </c>
      <c r="H48" s="7" t="inlineStr">
        <is>
          <t>核心</t>
        </is>
      </c>
      <c r="I48" s="8" t="inlineStr">
        <is>
          <t>公司防务板块直接生产大型武器系统、炮弹导弹炸弹用精确制导导引头，以及机载、车载、舰载光电信息装备；激光末制导炮弹、空地导弹和炸弹导引头已列明，部分光电产品广泛列装，客户为装备总体单位、主机厂和终端军方，军工落地充分。2025年防务产品收入15.7364亿元、约占总收入64.46%，光学玻璃8.5154亿元、约占34.88%，其他业务0.1584亿元、占0.6487%，防务内部未再拆分。防务产品已占多数且为核心主业，故维持核心；旧“导弹-精确制导、光电系统、陆军”应去除军种泛称，按实质归为导弹与精确制导、红外光电与激光。</t>
        </is>
      </c>
      <c r="J48" s="7" t="inlineStr">
        <is>
          <t>北方光电股份有限公司2025年年度报告</t>
        </is>
      </c>
      <c r="K48" s="7" t="inlineStr">
        <is>
          <t>2026-04-25</t>
        </is>
      </c>
      <c r="L48" s="8" t="inlineStr">
        <is>
          <t>iFinD ifind_get_stock_info + ifind_get_stock_business_segmentation (as of 2026-10-27)；北方光电股份有限公司2025年年度报告</t>
        </is>
      </c>
      <c r="M48" s="9" t="inlineStr">
        <is>
          <t>https://static.cninfo.com.cn/finalpage/2026-04-25/1225182277.PDF</t>
        </is>
      </c>
    </row>
    <row r="49" ht="96" customHeight="1">
      <c r="B49" s="4" t="inlineStr">
        <is>
          <t>600316</t>
        </is>
      </c>
      <c r="C49" s="4" t="inlineStr">
        <is>
          <t>洪都航空</t>
        </is>
      </c>
      <c r="D49" s="5" t="inlineStr">
        <is>
          <t>军工：导弹</t>
        </is>
      </c>
      <c r="E49" s="4" t="inlineStr">
        <is>
          <t>纠错</t>
        </is>
      </c>
      <c r="F49" s="4" t="inlineStr">
        <is>
          <t>军工</t>
        </is>
      </c>
      <c r="G49" s="5" t="inlineStr">
        <is>
          <t>航空整机-固定翼</t>
        </is>
      </c>
      <c r="H49" s="4" t="inlineStr">
        <is>
          <t>核心</t>
        </is>
      </c>
      <c r="I49" s="5" t="inlineStr">
        <is>
          <t>公司真实业务是CJ6初级教练机、K8基础教练机和L15高级教练机等固定翼军用训练装备的研制、生产、维修及服务保障，并承担防务产品研发制造，直接服务飞行员训练和航空防务体系建设，并非一般航空零部件可军民两用的推断。输入2025年分部显示航空产业收入73.8474亿元、占99.1356%，其中教练机17.7166亿元，约占公司总收入23.78%；其他民品配件56.1308亿元，说明民品配件金额较大，但教练机仍是具有规模的核心防务产品，故列核心。旧“导弹”没有对应主营产品支撑，旧“空军”又只是军种粗标签，均应纠正为按整机实质划分的固定翼航空整机。</t>
        </is>
      </c>
      <c r="J49" s="4" t="inlineStr">
        <is>
          <t>洪都航空2025年年度报告</t>
        </is>
      </c>
      <c r="K49" s="4" t="inlineStr">
        <is>
          <t>2026-03-28</t>
        </is>
      </c>
      <c r="L49" s="5" t="inlineStr">
        <is>
          <t>iFinD ifind_get_stock_info + ifind_get_stock_business_segmentation (as of 2026-10-27)；洪都航空2025年年度报告</t>
        </is>
      </c>
      <c r="M49" s="6" t="inlineStr">
        <is>
          <t>https://www.sse.com.cn/disclosure/listedinfo/announcement/c/new/2026-03-28/600316_20260328_HVBB.pdf</t>
        </is>
      </c>
    </row>
    <row r="50" ht="96" customHeight="1">
      <c r="B50" s="7" t="inlineStr">
        <is>
          <t>600353</t>
        </is>
      </c>
      <c r="C50" s="7" t="inlineStr">
        <is>
          <t>旭光电子</t>
        </is>
      </c>
      <c r="D50" s="8" t="inlineStr">
        <is>
          <t>军工：军工电子</t>
        </is>
      </c>
      <c r="E50" s="7" t="inlineStr">
        <is>
          <t>纠错</t>
        </is>
      </c>
      <c r="F50" s="7" t="inlineStr">
        <is>
          <t>军工</t>
        </is>
      </c>
      <c r="G50" s="8" t="inlineStr">
        <is>
          <t>航空结构件与锻铸件、航空机载系统与航电</t>
        </is>
      </c>
      <c r="H50" s="7" t="inlineStr">
        <is>
          <t>核心</t>
        </is>
      </c>
      <c r="I50" s="8" t="inlineStr">
        <is>
          <t>公司军工业务具有明确产品载体：航空航天飞行器精密结构件直接用于飞行器机体或设备结构配套，智能嵌入式计算机用于装备机载计算与控制场景，均不是以普通真空灭弧室的潜在军用价值来贴标。输入2025年分部明确列出军工行业收入3.9414亿元、占24.1073%，毛利率37.0512%；其中精密结构件2.4361亿元、嵌入式计算机1.5053亿元，两项合计恰与军工行业收入对应。军工已形成数亿元收入和重要利润来源，虽电力设备收入8.7345亿元、占53.4239%仍为最大板块，仍符合重要收入的核心标准。旧“军工电子”只覆盖计算机而漏掉结构件，需按产品实质拆分细化。</t>
        </is>
      </c>
      <c r="J50" s="7" t="inlineStr">
        <is>
          <t>旭光电子2025年年度报告</t>
        </is>
      </c>
      <c r="K50" s="7" t="inlineStr">
        <is>
          <t>2026-03-20</t>
        </is>
      </c>
      <c r="L50" s="8" t="inlineStr">
        <is>
          <t>iFinD ifind_get_stock_info + ifind_get_stock_business_segmentation (as of 2026-10-27)；旭光电子2025年年度报告</t>
        </is>
      </c>
      <c r="M50" s="9" t="inlineStr">
        <is>
          <t>https://www.sse.com.cn/disclosure/listedinfo/announcement/c/new/2026-03-20/600353_20260320_8A7X.pdf</t>
        </is>
      </c>
    </row>
    <row r="51" ht="96" customHeight="1">
      <c r="B51" s="4" t="inlineStr">
        <is>
          <t>600363</t>
        </is>
      </c>
      <c r="C51" s="4" t="inlineStr">
        <is>
          <t>联创光电</t>
        </is>
      </c>
      <c r="D51" s="5" t="inlineStr">
        <is>
          <t>军工：军工电子</t>
        </is>
      </c>
      <c r="E51" s="4" t="inlineStr">
        <is>
          <t>纠错</t>
        </is>
      </c>
      <c r="F51" s="4" t="inlineStr">
        <is>
          <t>军工</t>
        </is>
      </c>
      <c r="G51" s="5" t="inlineStr">
        <is>
          <t>红外光电与激光</t>
        </is>
      </c>
      <c r="H51" s="4" t="inlineStr">
        <is>
          <t>相关</t>
        </is>
      </c>
      <c r="I51" s="5" t="inlineStr">
        <is>
          <t>公司真实防务相关业务是半导体激光系列及航天微电子元器件，其中激光器可进入光电对抗、激光装备等军用光电系统，航天微电子器件面向航天装备配套；这与LED背光源、智能控制器等民用产品具有明确区别。2025年“半导体激光系列及航天微电子元器件”合并收入3.3745亿元，约占各产品收入合计33.4225亿元的10.10%，但年报未把军用激光、航天微电子及各自收入进一步独立拆分，无法将军工视为公司主营；智能控制产品16.6230亿元、背光源11.4522亿元，民用规模明显更大，故由核心下调为相关。旧“军工电子”过宽，也不能体现可控核聚变超导磁体与防务激光是不同业务，应收敛到可核验的红外光电与激光方向。</t>
        </is>
      </c>
      <c r="J51" s="4" t="inlineStr">
        <is>
          <t>2025年年度报告</t>
        </is>
      </c>
      <c r="K51" s="4" t="inlineStr">
        <is>
          <t>2026-04-30</t>
        </is>
      </c>
      <c r="L51" s="5" t="inlineStr">
        <is>
          <t>iFinD ifind_get_stock_info + ifind_get_stock_business_segmentation (as of 2026-10-27)；2025年年度报告</t>
        </is>
      </c>
      <c r="M51" s="6" t="inlineStr">
        <is>
          <t>https://www.sse.com.cn/disclosure/listedinfo/announcement/c/new/2026-04-30/600363_20260430_79K3.pdf</t>
        </is>
      </c>
    </row>
    <row r="52" ht="96" customHeight="1">
      <c r="B52" s="7" t="inlineStr">
        <is>
          <t>600372</t>
        </is>
      </c>
      <c r="C52" s="7" t="inlineStr">
        <is>
          <t>中航机载</t>
        </is>
      </c>
      <c r="D52" s="8" t="inlineStr">
        <is>
          <t>军工：航空装备-机载系统</t>
        </is>
      </c>
      <c r="E52" s="7" t="inlineStr">
        <is>
          <t>纠错</t>
        </is>
      </c>
      <c r="F52" s="7" t="inlineStr">
        <is>
          <t>军工</t>
        </is>
      </c>
      <c r="G52" s="8" t="inlineStr">
        <is>
          <t>航空机载系统与航电</t>
        </is>
      </c>
      <c r="H52" s="7" t="inlineStr">
        <is>
          <t>核心</t>
        </is>
      </c>
      <c r="I52" s="8" t="inlineStr">
        <is>
          <t>公司为各类飞行器提供航空电子、飞行控制、航空机电系统及设备，产品直接承担军机的航电感知、飞控执行、机电能源与保障功能，并有非航空防务产品收入，属于已经规模化的主机配套业务，而非潜在供应关系。2025年航空产品收入188.7525亿元，占77.9584%；非航空防务产品另有11.8903亿元，约占4.91%，现代产业及其他41.4768亿元、汽车制造业31.8832亿元。航空与防务合计构成绝对主业，军民航空未在输入中进一步拆分不影响核心判断。旧“航空装备-机载系统”方向正确但命名不在本次允许范围，旧“空军”又将军种混作产品概念，统一细化为航空机载系统与航电。</t>
        </is>
      </c>
      <c r="J52" s="7" t="inlineStr">
        <is>
          <t>中航机载2025年年度报告</t>
        </is>
      </c>
      <c r="K52" s="7" t="inlineStr">
        <is>
          <t>2026-03-28</t>
        </is>
      </c>
      <c r="L52" s="8" t="inlineStr">
        <is>
          <t>iFinD ifind_get_stock_info + ifind_get_stock_business_segmentation (as of 2026-10-27)；中航机载2025年年度报告</t>
        </is>
      </c>
      <c r="M52" s="9" t="inlineStr">
        <is>
          <t>https://www.sse.com.cn/disclosure/listedinfo/announcement/c/new/2026-03-28/600372_20260328_V5YL.pdf</t>
        </is>
      </c>
    </row>
    <row r="53" ht="96" customHeight="1">
      <c r="B53" s="4" t="inlineStr">
        <is>
          <t>600391</t>
        </is>
      </c>
      <c r="C53" s="4" t="inlineStr">
        <is>
          <t>航发科技</t>
        </is>
      </c>
      <c r="D53" s="5" t="inlineStr">
        <is>
          <t>军工：空军</t>
        </is>
      </c>
      <c r="E53" s="4" t="inlineStr">
        <is>
          <t>纠错</t>
        </is>
      </c>
      <c r="F53" s="4" t="inlineStr">
        <is>
          <t>军工</t>
        </is>
      </c>
      <c r="G53" s="5" t="inlineStr">
        <is>
          <t>航空发动机与燃气轮机、航空结构件与锻铸件</t>
        </is>
      </c>
      <c r="H53" s="4" t="inlineStr">
        <is>
          <t>核心</t>
        </is>
      </c>
      <c r="I53" s="5" t="inlineStr">
        <is>
          <t>公司从事航空发动机及燃气轮机机匣、叶片、环形件、钣金件和航空轴承等关键零部件研制生产，内贸航空及衍生产品面向国内航空发动机主机配套，外贸则服务通用电气、普惠、罗罗等厂商；军民用场景须区分，但产品确属发动机核心结构而非通用机械件。2025年内贸航空收入28.6963亿元、外贸航空13.7884亿元，分别约占收入合计43.2312亿元的66.38%和31.89%，制造业收入42.6823亿元、占98.7304%，航空主业规模清晰，故列核心。旧“空军”只表达下游军种，无法体现发动机部件属性，也错误掩盖外贸民品占比，须改为发动机与燃气轮机及航空结构件标签。</t>
        </is>
      </c>
      <c r="J53" s="4" t="inlineStr">
        <is>
          <t>中国航发航空科技股份有限公司2025年年度报告</t>
        </is>
      </c>
      <c r="K53" s="4" t="inlineStr">
        <is>
          <t>2026-03-30</t>
        </is>
      </c>
      <c r="L53" s="5" t="inlineStr">
        <is>
          <t>iFinD ifind_get_stock_info + ifind_get_stock_business_segmentation (as of 2026-10-27)；中国航发航空科技股份有限公司2025年年度报告</t>
        </is>
      </c>
      <c r="M53" s="6" t="inlineStr">
        <is>
          <t>https://www.sse.com.cn/disclosure/listedinfo/announcement/c/new/2026-03-30/600391_20260330_1YT8.pdf</t>
        </is>
      </c>
    </row>
    <row r="54" ht="96" customHeight="1">
      <c r="B54" s="7" t="inlineStr">
        <is>
          <t>600399</t>
        </is>
      </c>
      <c r="C54" s="7" t="inlineStr">
        <is>
          <t>抚顺特钢</t>
        </is>
      </c>
      <c r="D54" s="8" t="inlineStr">
        <is>
          <t>军工：军工材料</t>
        </is>
      </c>
      <c r="E54" s="7" t="inlineStr">
        <is>
          <t>纠错</t>
        </is>
      </c>
      <c r="F54" s="7" t="inlineStr">
        <is>
          <t>军工</t>
        </is>
      </c>
      <c r="G54" s="8" t="inlineStr">
        <is>
          <t>军工材料-钛合金与高温合金、军工材料-其他关键材料</t>
        </is>
      </c>
      <c r="H54" s="7" t="inlineStr">
        <is>
          <t>核心</t>
        </is>
      </c>
      <c r="I54" s="8" t="inlineStr">
        <is>
          <t>公司高温合金、超高强度钢、钛合金和特种不锈钢是航空发动机热端部件、航空高强结构及航天装备的关键基础材料，长期承担国防重点工程配套，存在明确军用材料场景，不是普通建筑钢或汽车钢的泛化军用想象。2025年高温合金收入14.0140亿元，约占总收入77.8343亿元的18.00%；合金结构钢22.0113亿元、不锈钢20.3792亿元、合金工具钢14.5511亿元，钢铁业收入76.9264亿元、占98.8336%。输入未单列军品收入，因此不能把全部特钢视作军工，但高温合金等已是规模化核心产品，符合核心口径。旧“军工材料”过于笼统，应细化到高温合金、钛合金及超高强度钢等关键材料。</t>
        </is>
      </c>
      <c r="J54" s="7" t="inlineStr">
        <is>
          <t>抚顺特钢：2025年年度报告</t>
        </is>
      </c>
      <c r="K54" s="7" t="inlineStr">
        <is>
          <t>2026-03-31</t>
        </is>
      </c>
      <c r="L54" s="8" t="inlineStr">
        <is>
          <t>iFinD ifind_get_stock_info + ifind_get_stock_business_segmentation (as of 2026-10-27)；抚顺特钢：2025年年度报告</t>
        </is>
      </c>
      <c r="M54" s="9" t="inlineStr">
        <is>
          <t>https://www.sse.com.cn/disclosure/listedinfo/announcement/c/new/2026-03-31/600399_20260331_ZREC.pdf</t>
        </is>
      </c>
    </row>
    <row r="55" ht="96" customHeight="1">
      <c r="B55" s="4" t="inlineStr">
        <is>
          <t>600416</t>
        </is>
      </c>
      <c r="C55" s="4" t="inlineStr">
        <is>
          <t>湘电股份</t>
        </is>
      </c>
      <c r="D55" s="5" t="inlineStr">
        <is>
          <t>军工：海军-舰船电力推进</t>
        </is>
      </c>
      <c r="E55" s="4" t="inlineStr">
        <is>
          <t>纠错</t>
        </is>
      </c>
      <c r="F55" s="4" t="inlineStr">
        <is>
          <t>军工</t>
        </is>
      </c>
      <c r="G55" s="5" t="inlineStr">
        <is>
          <t>舰船动力与推进、军工电源与电机电气</t>
        </is>
      </c>
      <c r="H55" s="4" t="inlineStr">
        <is>
          <t>核心</t>
        </is>
      </c>
      <c r="I55" s="5" t="inlineStr">
        <is>
          <t>公司特种产品包含舰船电力推进、特种电机与电控系统，直接用于海军舰船推进和装备电力系统；船用推进系统、电气控制设备与特种备件构成真实产品链条，并非将风电、地铁或普通工业电机潜在军用化。2025年特种产品及备件收入17.3961亿元，约占总收入48.8795亿元的35.59%，毛利率20.8535%；电机29.1298亿元、电控1.7919亿元，特种业务已是重要收入和利润板块，因此列核心。输入未将军舰与民船收入进一步拆分，不能把全部电机收入视作军工。旧“海军-舰船电力推进”“海军-电磁发射”和“海军”混用军种与单项技术，需收敛为舰船动力推进及军工电源电机电气。</t>
        </is>
      </c>
      <c r="J55" s="4" t="inlineStr">
        <is>
          <t>湘潭电机股份有限公司2025年年度报告</t>
        </is>
      </c>
      <c r="K55" s="4" t="inlineStr">
        <is>
          <t>2026-04-10</t>
        </is>
      </c>
      <c r="L55" s="5" t="inlineStr">
        <is>
          <t>iFinD ifind_get_stock_info + ifind_get_stock_business_segmentation (as of 2026-10-27)；湘潭电机股份有限公司2025年年度报告</t>
        </is>
      </c>
      <c r="M55" s="6" t="inlineStr">
        <is>
          <t>https://www.sse.com.cn/disclosure/listedinfo/announcement/c/new/2026-04-10/600416_20260410_6NBL.pdf</t>
        </is>
      </c>
    </row>
    <row r="56" ht="96" customHeight="1">
      <c r="B56" s="7" t="inlineStr">
        <is>
          <t>600435</t>
        </is>
      </c>
      <c r="C56" s="7" t="inlineStr">
        <is>
          <t>北方导航</t>
        </is>
      </c>
      <c r="D56" s="8" t="inlineStr">
        <is>
          <t>军工：陆军</t>
        </is>
      </c>
      <c r="E56" s="7" t="inlineStr">
        <is>
          <t>纠错</t>
        </is>
      </c>
      <c r="F56" s="7" t="inlineStr">
        <is>
          <t>军工</t>
        </is>
      </c>
      <c r="G56" s="8" t="inlineStr">
        <is>
          <t>导弹与精确制导、军用导航与惯导、军用通信与指挥控制</t>
        </is>
      </c>
      <c r="H56" s="7" t="inlineStr">
        <is>
          <t>核心</t>
        </is>
      </c>
      <c r="I56" s="8" t="inlineStr">
        <is>
          <t>公司主营导航与控制、军事通信和智能集成连接，导航控制产品直接用于制导武器的航迹控制、姿态测量与精确打击，军事通信产品服务部队指挥和装备信息传输，具备明确军方应用，而非民用导航产品的泛化。2025年军民两用产品收入41.3337亿元、制造业占98.6043%，其他业务仅0.5851亿元；输入没有将军品与民品分别拆出，但军品及军民两用技术研发生产已是公司主业，规模足以认定核心。旧“陆军”限制在单一军种且不能表达产品实质，旧“军贸”只是销售市场，旧“导弹-制导控制”较接近但仍需规范化，故拆为精确制导、军用导航惯导和军事通信指挥控制。</t>
        </is>
      </c>
      <c r="J56" s="7" t="inlineStr">
        <is>
          <t>北方导航2025年年度报告</t>
        </is>
      </c>
      <c r="K56" s="7" t="inlineStr">
        <is>
          <t>2026-03-28</t>
        </is>
      </c>
      <c r="L56" s="8" t="inlineStr">
        <is>
          <t>iFinD ifind_get_stock_info + ifind_get_stock_business_segmentation (as of 2026-10-27)；北方导航2025年年度报告</t>
        </is>
      </c>
      <c r="M56" s="9" t="inlineStr">
        <is>
          <t>https://www.sse.com.cn/disclosure/listedinfo/announcement/c/new/2026-03-28/600435_20260328_3UEL.pdf</t>
        </is>
      </c>
    </row>
    <row r="57" ht="96" customHeight="1">
      <c r="B57" s="4" t="inlineStr">
        <is>
          <t>600456</t>
        </is>
      </c>
      <c r="C57" s="4" t="inlineStr">
        <is>
          <t>宝钛股份</t>
        </is>
      </c>
      <c r="D57" s="5" t="inlineStr">
        <is>
          <t>军工：军工材料</t>
        </is>
      </c>
      <c r="E57" s="4" t="inlineStr">
        <is>
          <t>纠错</t>
        </is>
      </c>
      <c r="F57" s="4" t="inlineStr">
        <is>
          <t>军工</t>
        </is>
      </c>
      <c r="G57" s="5" t="inlineStr">
        <is>
          <t>军工材料-钛合金与高温合金</t>
        </is>
      </c>
      <c r="H57" s="4" t="inlineStr">
        <is>
          <t>核心</t>
        </is>
      </c>
      <c r="I57" s="5" t="inlineStr">
        <is>
          <t>公司钛及钛合金板、管、棒、丝、环材、饼材和精密铸件可用于航空发动机、飞机结构、舰船及航天器的轻量化高强耐蚀部件，具有长期航空航天和国防装备配套事实，产品实质是钛材而非SpaceX潜在供应概念。2025年钛产品收入52.6593亿元，约占收入合计61.2409亿元的85.99%，其他产品4.8060亿元、其他业务3.7756亿元；输入没有单列军工钛材收入，故不能把全部钛产品都算作军工，但钛材本身是规模化核心产品，航空航天防务又是其重要高端应用，列核心。旧“军工材料”“军工材料-钛材”需统一到允许概念，旧“spacex-潜在供应商”缺乏可核验依据且与本次军工分类无关。</t>
        </is>
      </c>
      <c r="J57" s="4" t="inlineStr">
        <is>
          <t>宝鸡钛业股份有限公司2025年年度报告</t>
        </is>
      </c>
      <c r="K57" s="4" t="inlineStr">
        <is>
          <t>2026-04-28</t>
        </is>
      </c>
      <c r="L57" s="5" t="inlineStr">
        <is>
          <t>iFinD ifind_get_stock_info + ifind_get_stock_business_segmentation (as of 2026-10-27)；宝鸡钛业股份有限公司2025年年度报告</t>
        </is>
      </c>
      <c r="M57" s="6" t="inlineStr">
        <is>
          <t>https://www.sse.com.cn/disclosure/listedinfo/announcement/c/new/2026-04-28/600456_20260428_2AGU.pdf</t>
        </is>
      </c>
    </row>
    <row r="58" ht="96" customHeight="1">
      <c r="B58" s="7" t="inlineStr">
        <is>
          <t>600482</t>
        </is>
      </c>
      <c r="C58" s="7" t="inlineStr">
        <is>
          <t>中国动力</t>
        </is>
      </c>
      <c r="D58" s="8" t="inlineStr">
        <is>
          <t>军工：海军</t>
        </is>
      </c>
      <c r="E58" s="7" t="inlineStr">
        <is>
          <t>纠错</t>
        </is>
      </c>
      <c r="F58" s="7" t="inlineStr">
        <is>
          <t>军工</t>
        </is>
      </c>
      <c r="G58" s="8" t="inlineStr">
        <is>
          <t>舰船动力与推进、军工电源与电机电气</t>
        </is>
      </c>
      <c r="H58" s="7" t="inlineStr">
        <is>
          <t>核心</t>
        </is>
      </c>
      <c r="I58" s="8" t="inlineStr">
        <is>
          <t>公司业务覆盖柴油机、燃气轮机、蒸汽动力、综合电力、化学动力、热气机及核动力设备，为军用舰船提供主动力、推进与综合电力系统，同时服务民船和海工市场；其军用价值来自实际舰船动力装备体系，不是中船集团背景推导。2025年柴油动力收入287.1876亿元、化学动力78.9168亿元、海工平台及船用机械61.1713亿元、传动设备29.0036亿元，制造业收入572.5806亿元、占99.0625%。输入未将军舰与民船动力分别拆分，不能将全部收入认定为军品，但多类舰船动力均为规模化核心产品，故列核心。旧“海军”仅指军种，无法区分动力与电池电气产品，应细化。</t>
        </is>
      </c>
      <c r="J58" s="7" t="inlineStr">
        <is>
          <t>中国动力2025年年度报告</t>
        </is>
      </c>
      <c r="K58" s="7" t="inlineStr">
        <is>
          <t>2026-04-30</t>
        </is>
      </c>
      <c r="L58" s="8" t="inlineStr">
        <is>
          <t>iFinD ifind_get_stock_info + ifind_get_stock_business_segmentation (as of 2026-10-27)；中国动力2025年年度报告</t>
        </is>
      </c>
      <c r="M58" s="9" t="inlineStr">
        <is>
          <t>https://www.sse.com.cn/disclosure/listedinfo/announcement/c/new/2026-04-30/600482_20260430_AK7F.pdf</t>
        </is>
      </c>
    </row>
    <row r="59" ht="96" customHeight="1">
      <c r="B59" s="4" t="inlineStr">
        <is>
          <t>600501</t>
        </is>
      </c>
      <c r="C59" s="4" t="inlineStr">
        <is>
          <t>航天晨光</t>
        </is>
      </c>
      <c r="D59" s="5" t="inlineStr">
        <is>
          <t>军工：航天-航天科工装备</t>
        </is>
      </c>
      <c r="E59" s="4" t="inlineStr">
        <is>
          <t>纠错</t>
        </is>
      </c>
      <c r="F59" s="4" t="inlineStr">
        <is>
          <t>军工</t>
        </is>
      </c>
      <c r="G59" s="5" t="inlineStr">
        <is>
          <t>弹药与特种装备、航空地面保障装备</t>
        </is>
      </c>
      <c r="H59" s="4" t="inlineStr">
        <is>
          <t>相关</t>
        </is>
      </c>
      <c r="I59" s="5" t="inlineStr">
        <is>
          <t>公司存在真实的后勤保障与防务配套业务，包括军用特种车、运输及飞机加油车等装备，可服务部队油料保障和机场地面保障；同时压力容器、柔性管件也进入航天发射场配套。上述事实应与核电、聚变杜瓦、石化容器和环卫车辆等民用业务区分。2025年特种装备板块收入1.7159亿元，约占总收入21.5051亿元的7.98%，且该板块还包含核电与聚变产品，未独立拆分军品收入；管类8.0157亿元、容器6.1406亿元、改装车4.9821亿元构成更大民用主体，因此由核心下调为相关。旧“航天-航天科工装备”“国家队”“火箭”过宽或偏集团身份，需改成特种装备及航空地面保障产品。</t>
        </is>
      </c>
      <c r="J59" s="4" t="inlineStr">
        <is>
          <t>航天晨光股份有限公司2025年年度报告</t>
        </is>
      </c>
      <c r="K59" s="4" t="inlineStr">
        <is>
          <t>2026-04-25</t>
        </is>
      </c>
      <c r="L59" s="5" t="inlineStr">
        <is>
          <t>iFinD ifind_get_stock_info + ifind_get_stock_business_segmentation (as of 2026-10-27)；航天晨光股份有限公司2025年年度报告</t>
        </is>
      </c>
      <c r="M59" s="6" t="inlineStr">
        <is>
          <t>https://www.sse.com.cn/disclosure/listedinfo/announcement/c/new/2026-04-25/600501_20260425_N1P8.pdf</t>
        </is>
      </c>
    </row>
    <row r="60" ht="96" customHeight="1">
      <c r="B60" s="7" t="inlineStr">
        <is>
          <t>600562</t>
        </is>
      </c>
      <c r="C60" s="7" t="inlineStr">
        <is>
          <t>国睿科技</t>
        </is>
      </c>
      <c r="D60" s="8" t="inlineStr">
        <is>
          <t>军工：雷达</t>
        </is>
      </c>
      <c r="E60" s="7" t="inlineStr">
        <is>
          <t>纠错</t>
        </is>
      </c>
      <c r="F60" s="7" t="inlineStr">
        <is>
          <t>军工</t>
        </is>
      </c>
      <c r="G60" s="8" t="inlineStr">
        <is>
          <t>雷达与预警探测、军工被动元件与连接器</t>
        </is>
      </c>
      <c r="H60" s="7" t="inlineStr">
        <is>
          <t>核心</t>
        </is>
      </c>
      <c r="I60" s="8" t="inlineStr">
        <is>
          <t>公司雷达装备业务覆盖空管雷达、警戒探测雷达及相关系统，可用于对空监视、目标探测和防空预警，同时微波器件、射频组件为雷达及电子装备提供核心部件，军用场景明确；工业软件和轨道交通控制则是另一类民用业务。2025年雷达整机和子系统收入27.9908亿元，约占总收入33.5804亿元的83.35%，工业软件及智能制造3.0508亿元、轨道交通控制2.1249亿元，雷达显然为规模化主营，故列核心。输入未将军用与民航空管雷达收入拆开，不应把全部雷达都视作军品。旧“雷达”可保留但需规范命名，旧“军贸”是销售渠道，旧“空管”偏民用，应改为预警探测并补充微波射频器件属性。</t>
        </is>
      </c>
      <c r="J60" s="7" t="inlineStr">
        <is>
          <t>国睿科技股份有限公司2025年年度报告</t>
        </is>
      </c>
      <c r="K60" s="7" t="inlineStr">
        <is>
          <t>2026-04-23</t>
        </is>
      </c>
      <c r="L60" s="8" t="inlineStr">
        <is>
          <t>iFinD ifind_get_stock_info + ifind_get_stock_business_segmentation (as of 2026-10-27)；国睿科技股份有限公司2025年年度报告</t>
        </is>
      </c>
      <c r="M60" s="9" t="inlineStr">
        <is>
          <t>https://www.sse.com.cn/disclosure/listedinfo/announcement/c/new/2026-04-23/600562_20260423_ULRY.pdf</t>
        </is>
      </c>
    </row>
    <row r="61" ht="96" customHeight="1">
      <c r="B61" s="4" t="inlineStr">
        <is>
          <t>600590</t>
        </is>
      </c>
      <c r="C61" s="4" t="inlineStr">
        <is>
          <t>泰豪科技</t>
        </is>
      </c>
      <c r="D61" s="5" t="inlineStr">
        <is>
          <t>军工：陆军</t>
        </is>
      </c>
      <c r="E61" s="4" t="inlineStr">
        <is>
          <t>纠错</t>
        </is>
      </c>
      <c r="F61" s="4" t="inlineStr">
        <is>
          <t>军工</t>
        </is>
      </c>
      <c r="G61" s="5" t="inlineStr">
        <is>
          <t>军用通信与指挥控制、军工电源与电机电气、军用导航与惯导</t>
        </is>
      </c>
      <c r="H61" s="4" t="inlineStr">
        <is>
          <t>核心</t>
        </is>
      </c>
      <c r="I61" s="5" t="inlineStr">
        <is>
          <t>公司军工装备包括车载通信指挥系统、军用导航装备、军用电源和军用电站，直接服务野战指挥、装备导航定位与部队机动供电，具有明确军事应用场景，与数据中心应急电源、智能电网等民用业务可以区分。2025年军工装备业务收入15.3579亿元、占33.9673%，其中军用通信装备12.1430亿元、军用电站3.2149亿元；应急装备业务29.0710亿元、占64.2967%，虽为最大板块，但军工收入已达到重要规模，故列核心。旧“陆军”无法覆盖跨军种通信、导航和电源产品，旧“军工电源/应急装备”又将军民应急混在一起，必须按真实军用产品拆分。</t>
        </is>
      </c>
      <c r="J61" s="4" t="inlineStr">
        <is>
          <t>2025年年度报告</t>
        </is>
      </c>
      <c r="K61" s="4" t="inlineStr">
        <is>
          <t>2026-04-15</t>
        </is>
      </c>
      <c r="L61" s="5" t="inlineStr">
        <is>
          <t>iFinD ifind_get_stock_info + ifind_get_stock_business_segmentation (as of 2026-10-27)；2025年年度报告</t>
        </is>
      </c>
      <c r="M61" s="6" t="inlineStr">
        <is>
          <t>https://www.sse.com.cn/disclosure/listedinfo/announcement/c/new/2026-04-15/600590_20260415_C9KL.pdf</t>
        </is>
      </c>
    </row>
    <row r="62" ht="96" customHeight="1">
      <c r="B62" s="7" t="inlineStr">
        <is>
          <t>600685</t>
        </is>
      </c>
      <c r="C62" s="7" t="inlineStr">
        <is>
          <t>中船防务</t>
        </is>
      </c>
      <c r="D62" s="8" t="inlineStr">
        <is>
          <t>军工：海军</t>
        </is>
      </c>
      <c r="E62" s="7" t="inlineStr">
        <is>
          <t>纠错</t>
        </is>
      </c>
      <c r="F62" s="7" t="inlineStr">
        <is>
          <t>军工</t>
        </is>
      </c>
      <c r="G62" s="8" t="inlineStr">
        <is>
          <t>船舶总装与海洋防务</t>
        </is>
      </c>
      <c r="H62" s="7" t="inlineStr">
        <is>
          <t>核心</t>
        </is>
      </c>
      <c r="I62" s="8" t="inlineStr">
        <is>
          <t>公司直接建造军用舰船、海警装备和公务船，并同时建造集装箱船、散货船、气体船及海洋工程平台，军用舰船总装属于明确的海洋防务装备交付，不是船舶配套或集团背景概念。2025年特种船及其他收入123.5630亿元，约占总收入205.4705亿元的60.14%；集装箱船55.8582亿元、钢结构工程10.3757亿元、船舶修理改造5.5428亿元、散货船5.3014亿元，船舶行业整体占98.7341%。特种船中并未逐项拆出军舰金额，但防务总装已是公司核心产业与大规模产品，故列核心。旧“海军”不能准确表达海警、公务船和民船并存，也未体现总装能力，应改为船舶总装与海洋防务。</t>
        </is>
      </c>
      <c r="J62" s="7" t="inlineStr">
        <is>
          <t>中船防务2025年年度报告</t>
        </is>
      </c>
      <c r="K62" s="7" t="inlineStr">
        <is>
          <t>2026-03-28</t>
        </is>
      </c>
      <c r="L62" s="8" t="inlineStr">
        <is>
          <t>iFinD ifind_get_stock_info + ifind_get_stock_business_segmentation (as of 2026-10-27)；中船防务2025年年度报告</t>
        </is>
      </c>
      <c r="M62" s="9" t="inlineStr">
        <is>
          <t>https://www.sse.com.cn/disclosure/listedinfo/announcement/c/new/2026-03-28/600685_20260328_293R.pdf</t>
        </is>
      </c>
    </row>
    <row r="63" ht="96" customHeight="1">
      <c r="B63" s="4" t="inlineStr">
        <is>
          <t>600760</t>
        </is>
      </c>
      <c r="C63" s="4" t="inlineStr">
        <is>
          <t>中航沈飞</t>
        </is>
      </c>
      <c r="D63" s="5" t="inlineStr">
        <is>
          <t>军工：空军</t>
        </is>
      </c>
      <c r="E63" s="4" t="inlineStr">
        <is>
          <t>纠错</t>
        </is>
      </c>
      <c r="F63" s="4" t="inlineStr">
        <is>
          <t>军工</t>
        </is>
      </c>
      <c r="G63" s="5" t="inlineStr">
        <is>
          <t>航空整机-固定翼</t>
        </is>
      </c>
      <c r="H63" s="4" t="inlineStr">
        <is>
          <t>核心</t>
        </is>
      </c>
      <c r="I63" s="5" t="inlineStr">
        <is>
          <t>公司核心产品为航空防务装备，承担固定翼军用飞机整机及航空产品制造，直接面向空海军航空装备建设，兼具民用航空产品但不存在仅靠航空零部件泛化贴标的问题。2025年航空制造业和航空产品收入均为443.7850亿元，占99.3791%；其他业务2.3588亿元、其他0.4140亿元，航空制造占绝对主导，军用航空防务装备又属于其核心主业，因此明确列核心。输入没有把军机与民机收入进一步独立拆分，不应将全部443.7850亿元等同军品，但不影响主营性质判断。旧“空军”只指向一个军种，既过粗又可能遗漏其他用户，需按产品实质统一为航空整机-固定翼。</t>
        </is>
      </c>
      <c r="J63" s="4" t="inlineStr">
        <is>
          <t>中航沈飞股份有限公司2025年年度报告</t>
        </is>
      </c>
      <c r="K63" s="4" t="inlineStr">
        <is>
          <t>2026-03-31</t>
        </is>
      </c>
      <c r="L63" s="5" t="inlineStr">
        <is>
          <t>iFinD ifind_get_stock_info + ifind_get_stock_business_segmentation (as of 2026-10-27)；中航沈飞股份有限公司2025年年度报告</t>
        </is>
      </c>
      <c r="M63" s="6" t="inlineStr">
        <is>
          <t>https://www.sse.com.cn/disclosure/listedinfo/announcement/c/new/2026-03-31/600760_20260331_WSC5.pdf</t>
        </is>
      </c>
    </row>
    <row r="64" ht="96" customHeight="1">
      <c r="B64" s="7" t="inlineStr">
        <is>
          <t>600764</t>
        </is>
      </c>
      <c r="C64" s="7" t="inlineStr">
        <is>
          <t>中国海防</t>
        </is>
      </c>
      <c r="D64" s="8" t="inlineStr">
        <is>
          <t>军工：军工电子-海军电子</t>
        </is>
      </c>
      <c r="E64" s="7" t="inlineStr">
        <is>
          <t>纠错</t>
        </is>
      </c>
      <c r="F64" s="7" t="inlineStr">
        <is>
          <t>军工</t>
        </is>
      </c>
      <c r="G64" s="8" t="inlineStr">
        <is>
          <t>水声与海洋电子、军用通信与指挥控制、军工电源与电机电气</t>
        </is>
      </c>
      <c r="H64" s="7" t="inlineStr">
        <is>
          <t>核心</t>
        </is>
      </c>
      <c r="I64" s="8" t="inlineStr">
        <is>
          <t>公司水声电子防务产品直接用于水下探测、识别、对抗和舰船水下防务，特装电子产品覆盖军用电子信息与专用电气设备，均为真实防务产品，不是普通海洋电子或压载水设备的潜在军用。2025年水声电子防务产品收入13.2784亿元，约占总收入35.3623亿元的37.55%；特装电子产品6.6952亿元、约占18.94%，电子信息产品14.6340亿元，专业技术服务及其他0.2374亿元。水声与特装合计已形成重要主营收入，故列核心。旧“军工电子-海军电子”和“海军-水下防务”均以军种为主且过宽，应细化到水声海洋电子，并保留可核验的特装电子与电气配套属性。</t>
        </is>
      </c>
      <c r="J64" s="7" t="inlineStr">
        <is>
          <t>中国海防2025年年度报告</t>
        </is>
      </c>
      <c r="K64" s="7" t="inlineStr">
        <is>
          <t>2026-04-30</t>
        </is>
      </c>
      <c r="L64" s="8" t="inlineStr">
        <is>
          <t>iFinD ifind_get_stock_info + ifind_get_stock_business_segmentation (as of 2026-10-27)；中国海防2025年年度报告</t>
        </is>
      </c>
      <c r="M64" s="9" t="inlineStr">
        <is>
          <t>https://www.sse.com.cn/disclosure/listedinfo/announcement/c/new/2026-04-30/600764_20260430_EYQD.pdf</t>
        </is>
      </c>
    </row>
    <row r="65" ht="96" customHeight="1">
      <c r="B65" s="4" t="inlineStr">
        <is>
          <t>600765</t>
        </is>
      </c>
      <c r="C65" s="4" t="inlineStr">
        <is>
          <t>中航重机</t>
        </is>
      </c>
      <c r="D65" s="5" t="inlineStr">
        <is>
          <t>军工：空军</t>
        </is>
      </c>
      <c r="E65" s="4" t="inlineStr">
        <is>
          <t>纠错</t>
        </is>
      </c>
      <c r="F65" s="4" t="inlineStr">
        <is>
          <t>军工</t>
        </is>
      </c>
      <c r="G65" s="5" t="inlineStr">
        <is>
          <t>航空结构件与锻铸件</t>
        </is>
      </c>
      <c r="H65" s="4" t="inlineStr">
        <is>
          <t>核心</t>
        </is>
      </c>
      <c r="I65" s="5" t="inlineStr">
        <is>
          <t>公司锻铸产品面向航空飞机和航空发动机关键承力、转动及结构部件，服务重点型号研制批产，属于航空主机和发动机供应链的核心锻铸环节；散热器、液压产品另有军民应用，不能一概视作军工。2025年锻铸产品收入78.3062亿元，约占总收入101.1461亿元的77.42%，锻造行业收入80.6393亿元、占79.7264%；散热器14.3903亿元、液压产品4.2786亿元。输入未单列军品锻件金额，但航空重点型号锻铸业务已规模化并构成主业，符合核心标准。旧“空军”仅描述下游军种，遗漏航空发动机及机体结构配套实质，需细化为航空结构件与锻铸件。</t>
        </is>
      </c>
      <c r="J65" s="4" t="inlineStr">
        <is>
          <t>中航重机2025年年度报告</t>
        </is>
      </c>
      <c r="K65" s="4" t="inlineStr">
        <is>
          <t>2026-03-13</t>
        </is>
      </c>
      <c r="L65" s="5" t="inlineStr">
        <is>
          <t>iFinD ifind_get_stock_info + ifind_get_stock_business_segmentation (as of 2026-10-27)；中航重机2025年年度报告</t>
        </is>
      </c>
      <c r="M65" s="6" t="inlineStr">
        <is>
          <t>https://www.sse.com.cn/disclosure/listedinfo/announcement/c/new/2026-03-13/600765_20260313_TT4M.pdf</t>
        </is>
      </c>
    </row>
    <row r="66" ht="96" customHeight="1">
      <c r="B66" s="7" t="inlineStr">
        <is>
          <t>600862</t>
        </is>
      </c>
      <c r="C66" s="7" t="inlineStr">
        <is>
          <t>中航高科</t>
        </is>
      </c>
      <c r="D66" s="8" t="inlineStr">
        <is>
          <t>军工：军工材料</t>
        </is>
      </c>
      <c r="E66" s="7" t="inlineStr">
        <is>
          <t>纠错</t>
        </is>
      </c>
      <c r="F66" s="7" t="inlineStr">
        <is>
          <t>军工</t>
        </is>
      </c>
      <c r="G66" s="8" t="inlineStr">
        <is>
          <t>军工材料-碳纤维与复合材料</t>
        </is>
      </c>
      <c r="H66" s="7" t="inlineStr">
        <is>
          <t>核心</t>
        </is>
      </c>
      <c r="I66" s="8" t="inlineStr">
        <is>
          <t>公司树脂及预浸料、芳纶纸蜂窝和高温复合材料是军用飞机机体、机翼及航天结构的重要复合材料，航空新材料业务直接进入重点航空装备供应链；民航结构件、刹车产品和轨道车辆制动则属于其他应用，不能混算。2025年新材料产品收入48.6056亿元、占97.0589%，其他业务0.8025亿元、其他产品0.5971亿元、机床0.0732亿元。输入未单列军品复材收入，但航空复合材料已是规模化核心产品且国防航空为重要应用，军工显然不是低收入培育业务，因此由旧相关上调为核心。旧“军工材料”过宽，旧低空经济“碳纤维”不能替代军机复材属性，应统一为碳纤维与复合材料。</t>
        </is>
      </c>
      <c r="J66" s="7" t="inlineStr">
        <is>
          <t>中航高科2025年年度报告</t>
        </is>
      </c>
      <c r="K66" s="7" t="inlineStr">
        <is>
          <t>2026-03-14</t>
        </is>
      </c>
      <c r="L66" s="8" t="inlineStr">
        <is>
          <t>iFinD ifind_get_stock_info + ifind_get_stock_business_segmentation (as of 2026-10-27)；中航高科2025年年度报告</t>
        </is>
      </c>
      <c r="M66" s="9" t="inlineStr">
        <is>
          <t>https://www.sse.com.cn/disclosure/listedinfo/announcement/c/new/2026-03-14/600862_20260314_QMJG.pdf</t>
        </is>
      </c>
    </row>
    <row r="67" ht="96" customHeight="1">
      <c r="B67" s="4" t="inlineStr">
        <is>
          <t>600879</t>
        </is>
      </c>
      <c r="C67" s="4" t="inlineStr">
        <is>
          <t>航天电子</t>
        </is>
      </c>
      <c r="D67" s="5" t="inlineStr">
        <is>
          <t>军工：导弹</t>
        </is>
      </c>
      <c r="E67" s="4" t="inlineStr">
        <is>
          <t>纠错</t>
        </is>
      </c>
      <c r="F67" s="4" t="inlineStr">
        <is>
          <t>军工</t>
        </is>
      </c>
      <c r="G67" s="5" t="inlineStr">
        <is>
          <t>航天装备与分系统、导弹与精确制导、军用无人装备与机器人</t>
        </is>
      </c>
      <c r="H67" s="4" t="inlineStr">
        <is>
          <t>核心</t>
        </is>
      </c>
      <c r="I67" s="5" t="inlineStr">
        <is>
          <t>公司产品包括惯性与导航、测控通信与网络信息、微电子、机电组件与传感系统，以及精导对抗、有效载荷、精确制导和无人机系统，直接服务运载火箭、航天器、导弹及无人作战装备，产品链条和军用场景均明确。2025年航天配套产品收入92.7561亿元、占66.6832%，系统装备产品23.0245亿元、占16.5525%，航天机电组件12.9296亿元、占9.2952%，民用产品9.4286亿元、占6.7783%。航天与系统装备构成规模化绝对主业，故列核心。旧“卫星”“太阳翼结构”“导弹”“航天配套”等标签散乱且部分把配套能力误写成具体产品，应归并为航天分系统、精确制导与军用无人装备。</t>
        </is>
      </c>
      <c r="J67" s="4" t="inlineStr">
        <is>
          <t>航天时代电子技术股份有限公司2025年年度报告</t>
        </is>
      </c>
      <c r="K67" s="4" t="inlineStr">
        <is>
          <t>2026-03-28</t>
        </is>
      </c>
      <c r="L67" s="5" t="inlineStr">
        <is>
          <t>iFinD ifind_get_stock_info + ifind_get_stock_business_segmentation (as of 2026-10-27)；航天时代电子技术股份有限公司2025年年度报告</t>
        </is>
      </c>
      <c r="M67" s="6" t="inlineStr">
        <is>
          <t>https://www.sse.com.cn/disclosure/listedinfo/announcement/c/new/2026-03-28/600879_20260328_AXZ7.pdf</t>
        </is>
      </c>
    </row>
    <row r="68" ht="96" customHeight="1">
      <c r="B68" s="7" t="inlineStr">
        <is>
          <t>600893</t>
        </is>
      </c>
      <c r="C68" s="7" t="inlineStr">
        <is>
          <t>航发动力</t>
        </is>
      </c>
      <c r="D68" s="8" t="inlineStr">
        <is>
          <t>军工：空军</t>
        </is>
      </c>
      <c r="E68" s="7" t="inlineStr">
        <is>
          <t>纠错</t>
        </is>
      </c>
      <c r="F68" s="7" t="inlineStr">
        <is>
          <t>军工</t>
        </is>
      </c>
      <c r="G68" s="8" t="inlineStr">
        <is>
          <t>航空发动机与燃气轮机</t>
        </is>
      </c>
      <c r="H68" s="7" t="inlineStr">
        <is>
          <t>核心</t>
        </is>
      </c>
      <c r="I68" s="8" t="inlineStr">
        <is>
          <t>公司研制生产航空发动机及燃气轮机整机、部件和零组件，并提供维修保障，航空发动机直接用于军用飞机动力系统，外贸转包和非航空贸易则是独立业务，不是仅凭航发集团身份贴标。2025年航空发动机含衍生产品收入434.7625亿元，约占总收入463.3149亿元的93.84%；外贸转包19.5052亿元、非航空产品及贸易2.3201亿元，制造业收入455.0557亿元、占98.2174%。输入未将军用与民用发动机进一步拆分，但航空发动机整机及衍生产品已是绝对规模主业，核心判断充分。旧“空军”无法覆盖发动机维修、燃气轮机及其他军种用户，应细化为航空发动机与燃气轮机。</t>
        </is>
      </c>
      <c r="J68" s="7" t="inlineStr">
        <is>
          <t>中国航发动力股份有限公司2025年年度报告</t>
        </is>
      </c>
      <c r="K68" s="7" t="inlineStr">
        <is>
          <t>2026-04-02</t>
        </is>
      </c>
      <c r="L68" s="8" t="inlineStr">
        <is>
          <t>iFinD ifind_get_stock_info + ifind_get_stock_business_segmentation (as of 2026-10-27)；中国航发动力股份有限公司2025年年度报告</t>
        </is>
      </c>
      <c r="M68" s="9" t="inlineStr">
        <is>
          <t>https://www.sse.com.cn/disclosure/listedinfo/announcement/c/new/2026-04-02/600893_20260402_2PJX.pdf</t>
        </is>
      </c>
    </row>
    <row r="69" ht="96" customHeight="1">
      <c r="B69" s="4" t="inlineStr">
        <is>
          <t>600967</t>
        </is>
      </c>
      <c r="C69" s="4" t="inlineStr">
        <is>
          <t>内蒙一机</t>
        </is>
      </c>
      <c r="D69" s="5" t="inlineStr">
        <is>
          <t>军工：陆军</t>
        </is>
      </c>
      <c r="E69" s="4" t="inlineStr">
        <is>
          <t>纠错</t>
        </is>
      </c>
      <c r="F69" s="4" t="inlineStr">
        <is>
          <t>军工</t>
        </is>
      </c>
      <c r="G69" s="5" t="inlineStr">
        <is>
          <t>地面武器与装甲车辆</t>
        </is>
      </c>
      <c r="H69" s="4" t="inlineStr">
        <is>
          <t>核心</t>
        </is>
      </c>
      <c r="I69" s="5" t="inlineStr">
        <is>
          <t>公司是高新的地面武器装备研发制造企业，特种装备业务以装甲车辆等陆军主战装备为实质产品，直接承担部队机动作战、防护和火力平台任务，同时保留铁路车辆等民用制造基础，二者不能混同。2025年装备制造业及特种产品披露收入均为100.2472亿元、占100.0000%，收入规模清晰；输入未将军品特种装备与铁路车辆等民品进一步拆分，因此不能将全部收入机械认定为军工，但特种装备是公司的核心定位与规模化产品，符合核心标准。旧“陆军”只描述使用军种，未体现装甲车辆和地面武器总装属性，应规范为地面武器与装甲车辆。</t>
        </is>
      </c>
      <c r="J69" s="4" t="inlineStr">
        <is>
          <t>内蒙古第一机械集团股份有限公司2025年年度报告</t>
        </is>
      </c>
      <c r="K69" s="4" t="inlineStr">
        <is>
          <t>2026-04-28</t>
        </is>
      </c>
      <c r="L69" s="5" t="inlineStr">
        <is>
          <t>iFinD ifind_get_stock_info + ifind_get_stock_business_segmentation (as of 2026-10-27)；内蒙古第一机械集团股份有限公司2025年年度报告</t>
        </is>
      </c>
      <c r="M69" s="6" t="inlineStr">
        <is>
          <t>https://www.sse.com.cn/disclosure/listedinfo/announcement/c/new/2026-04-28/600967_20260428_P3KU.pdf</t>
        </is>
      </c>
    </row>
    <row r="70" ht="96" customHeight="1">
      <c r="B70" s="7" t="inlineStr">
        <is>
          <t>600990</t>
        </is>
      </c>
      <c r="C70" s="7" t="inlineStr">
        <is>
          <t>四创电子</t>
        </is>
      </c>
      <c r="D70" s="8" t="inlineStr">
        <is>
          <t>军工：雷达</t>
        </is>
      </c>
      <c r="E70" s="7" t="inlineStr">
        <is>
          <t>纠错</t>
        </is>
      </c>
      <c r="F70" s="7" t="inlineStr">
        <is>
          <t>军工</t>
        </is>
      </c>
      <c r="G70" s="8" t="inlineStr">
        <is>
          <t>雷达与预警探测、航空地面保障装备</t>
        </is>
      </c>
      <c r="H70" s="7" t="inlineStr">
        <is>
          <t>相关</t>
        </is>
      </c>
      <c r="I70" s="8" t="inlineStr">
        <is>
          <t>公司雷达整机及配套覆盖警戒、空管和气象等感知用途，其中警戒雷达可用于对空预警探测，机动保障装备可服务部队机动部署与野外保障，存在真实军工产品；但公共安全、气象、空管和电源业务同样占有较大比重，不能把全部感知产品视作军工。2025年雷达及雷达配套收入8.1491亿元，约占总收入17.4537亿元的46.69%，机动保障装备1.2867亿元；公共安全产品4.9612亿元、电源产品等2.9280亿元。输入未独立拆分军用雷达和军品收入，民用为主特征仍明显，故保留相关而非上调核心。旧“雷达”需规范为预警探测，旧低空“运维”不是军工产品标签，应改按机动保障装备实质补充。</t>
        </is>
      </c>
      <c r="J70" s="7" t="inlineStr">
        <is>
          <t>四创电子2025年年度报告</t>
        </is>
      </c>
      <c r="K70" s="7" t="inlineStr">
        <is>
          <t>2026-04-23</t>
        </is>
      </c>
      <c r="L70" s="8" t="inlineStr">
        <is>
          <t>iFinD ifind_get_stock_info + ifind_get_stock_business_segmentation (as of 2026-10-27)；四创电子2025年年度报告</t>
        </is>
      </c>
      <c r="M70" s="9" t="inlineStr">
        <is>
          <t>https://www.sse.com.cn/disclosure/listedinfo/announcement/c/new/2026-04-23/600990_20260423_HK9K.pdf</t>
        </is>
      </c>
    </row>
    <row r="71" ht="96" customHeight="1">
      <c r="B71" s="4" t="inlineStr">
        <is>
          <t>600992</t>
        </is>
      </c>
      <c r="C71" s="4" t="inlineStr">
        <is>
          <t>贵绳股份</t>
        </is>
      </c>
      <c r="D71" s="5" t="inlineStr">
        <is>
          <t>军工：军工材料</t>
        </is>
      </c>
      <c r="E71" s="4" t="inlineStr">
        <is>
          <t>纠错</t>
        </is>
      </c>
      <c r="F71" s="4" t="inlineStr">
        <is>
          <t>军工</t>
        </is>
      </c>
      <c r="G71" s="5" t="inlineStr">
        <is>
          <t>军工材料-其他关键材料、军工配套-通用零部件</t>
        </is>
      </c>
      <c r="H71" s="4" t="inlineStr">
        <is>
          <t>相关</t>
        </is>
      </c>
      <c r="I71" s="5" t="inlineStr">
        <is>
          <t>公司钢丝、钢绳、钢绞线和索具以桥梁、矿山、海工等民用市场为主，但特种钢丝绳已有舰船及国家重大航天工程实际配套历史，例如航母用绳和飞船回收牵引等明确应用，区别于仅凭“钢丝绳可军用”的潜在供应推断。2025年钢绳收入10.1865亿元，约占总收入20.8759亿元的48.80%，钢丝4.6556亿元、钢绞线5.6301亿元，金属制品收入20.5627亿元、占98.4997%；年报未独立拆分军工收入，民用显然占主导，故只列相关。旧“军工材料”过于笼统，需纠正为特种钢丝绳这一关键材料与索具通用配套，并避免将军工资质当作核心依据。</t>
        </is>
      </c>
      <c r="J71" s="4" t="inlineStr">
        <is>
          <t>贵州钢绳股份有限公司2025年年度报告</t>
        </is>
      </c>
      <c r="K71" s="4" t="inlineStr">
        <is>
          <t>2026-04-25</t>
        </is>
      </c>
      <c r="L71" s="5" t="inlineStr">
        <is>
          <t>iFinD ifind_get_stock_info + ifind_get_stock_business_segmentation (as of 2026-10-27)；贵州钢绳股份有限公司2025年年度报告</t>
        </is>
      </c>
      <c r="M71" s="6" t="inlineStr">
        <is>
          <t>https://www.sse.com.cn/disclosure/listedinfo/announcement/c/new/2026-04-25/600992_20260425_GO4H.pdf</t>
        </is>
      </c>
    </row>
    <row r="72" ht="96" customHeight="1">
      <c r="B72" s="7" t="inlineStr">
        <is>
          <t>601606</t>
        </is>
      </c>
      <c r="C72" s="7" t="inlineStr">
        <is>
          <t>长城军工</t>
        </is>
      </c>
      <c r="D72" s="8" t="inlineStr">
        <is>
          <t>军工：陆军</t>
        </is>
      </c>
      <c r="E72" s="7" t="inlineStr">
        <is>
          <t>纠错</t>
        </is>
      </c>
      <c r="F72" s="7" t="inlineStr">
        <is>
          <t>军工</t>
        </is>
      </c>
      <c r="G72" s="8" t="inlineStr">
        <is>
          <t>弹药与特种装备、电子对抗与蓝军仿真</t>
        </is>
      </c>
      <c r="H72" s="7" t="inlineStr">
        <is>
          <t>核心</t>
        </is>
      </c>
      <c r="I72" s="8" t="inlineStr">
        <is>
          <t>公司真实军品不是泛泛的金属制品，而是迫击炮弹、单兵火箭、子弹药、引信和火工品等弹药装备，直接面向陆军火力打击与弹药配套场景；光电对抗系列则用于目标干扰、防护和对抗训练，具有明确装备用途。2025年制造业收入15.2135亿元、占97.2568%，其中装备制造收入11.2606亿元、约占总收入71.99%，预应力锚具及其他3.9529亿元，军品所属装备制造已是主体收入和规模化核心产品，因此判为核心。旧“陆军”既遗漏光电对抗，又把弹药、引信、火工品等具体产品压缩成军种粗标签，不能反映产品实质，故细化为弹药与特种装备，并补充电子对抗与蓝军仿真，而不是凭央企背景保留。</t>
        </is>
      </c>
      <c r="J72" s="7" t="inlineStr">
        <is>
          <t>安徽长城军工股份有限公司2025年年度报告</t>
        </is>
      </c>
      <c r="K72" s="7" t="inlineStr">
        <is>
          <t>2026-04-25</t>
        </is>
      </c>
      <c r="L72" s="8" t="inlineStr">
        <is>
          <t>iFinD ifind_get_stock_info + ifind_get_stock_business_segmentation (as of 2026-10-27)；安徽长城军工股份有限公司2025年年度报告</t>
        </is>
      </c>
      <c r="M72" s="9" t="inlineStr">
        <is>
          <t>https://money.finance.sina.com.cn/corp/view/vCB_AllBulletinDetail.php?stockid=601606&amp;id=12186260</t>
        </is>
      </c>
    </row>
    <row r="73" ht="96" customHeight="1">
      <c r="B73" s="4" t="inlineStr">
        <is>
          <t>603267</t>
        </is>
      </c>
      <c r="C73" s="4" t="inlineStr">
        <is>
          <t>鸿远电子</t>
        </is>
      </c>
      <c r="D73" s="5" t="inlineStr">
        <is>
          <t>军工：军工电子</t>
        </is>
      </c>
      <c r="E73" s="4" t="inlineStr">
        <is>
          <t>纠错</t>
        </is>
      </c>
      <c r="F73" s="4" t="inlineStr">
        <is>
          <t>军工</t>
        </is>
      </c>
      <c r="G73" s="5" t="inlineStr">
        <is>
          <t>军工被动元件与连接器、军工芯片与特种集成电路</t>
        </is>
      </c>
      <c r="H73" s="4" t="inlineStr">
        <is>
          <t>核心</t>
        </is>
      </c>
      <c r="I73" s="5" t="inlineStr">
        <is>
          <t>公司自产高可靠多层瓷介电容器、滤波器、微波模块和集成电路，年报明确产品广泛应用于航天、航空、电子信息、兵器、船舶等高可靠领域，实际装入导弹、雷达、卫星及舰船电子系统完成滤波、储能和信号处理，并非把普通消费电容简单视为可军用。2025年电子元器件行业收入17.7829亿元、占99.1094%；自产电子元器件10.8820亿元、约占60.65%，代理业务6.9010亿元，高可靠自产业务规模和毛利贡献均居核心位置，故判核心。旧“军工电子”过于宽泛，且与千帆星座、MLCC等标签混写，现按产品实质以军工被动元件为主标签，集成电路和微波模块对应军工芯片与特种集成电路，避免将代理民用产品一并军工化。</t>
        </is>
      </c>
      <c r="J73" s="4" t="inlineStr">
        <is>
          <t>北京元六鸿远电子科技股份有限公司2025年年度报告</t>
        </is>
      </c>
      <c r="K73" s="4" t="inlineStr">
        <is>
          <t>2026-03-28</t>
        </is>
      </c>
      <c r="L73" s="5" t="inlineStr">
        <is>
          <t>iFinD ifind_get_stock_info + ifind_get_stock_business_segmentation (as of 2026-10-27)；北京元六鸿远电子科技股份有限公司2025年年度报告</t>
        </is>
      </c>
      <c r="M73" s="6" t="inlineStr">
        <is>
          <t>https://static.cninfo.com.cn/finalpage/2026-03-28/1225046338.PDF</t>
        </is>
      </c>
    </row>
    <row r="74" ht="96" customHeight="1">
      <c r="B74" s="7" t="inlineStr">
        <is>
          <t>603678</t>
        </is>
      </c>
      <c r="C74" s="7" t="inlineStr">
        <is>
          <t>火炬电子</t>
        </is>
      </c>
      <c r="D74" s="8" t="inlineStr">
        <is>
          <t>军工：军工电子</t>
        </is>
      </c>
      <c r="E74" s="7" t="inlineStr">
        <is>
          <t>纠错</t>
        </is>
      </c>
      <c r="F74" s="7" t="inlineStr">
        <is>
          <t>军工</t>
        </is>
      </c>
      <c r="G74" s="8" t="inlineStr">
        <is>
          <t>军工被动元件与连接器、军工材料-其他关键材料</t>
        </is>
      </c>
      <c r="H74" s="7" t="inlineStr">
        <is>
          <t>核心</t>
        </is>
      </c>
      <c r="I74" s="8" t="inlineStr">
        <is>
          <t>公司的军工落地产品包括高可靠陶瓷电容器、钽电容器、薄膜电路及微波器件，年报披露其服务航空、航天等高端领域，可用于雷达、导弹、卫星和机载电子设备的电源滤波及射频电路；自产特种陶瓷材料则面向耐高温、抗氧化航空航天部件，均有明确产品与场景。2025年自产元器件收入13.6309亿元、占33.0792%，自产新材料2.0430亿元、占4.9580%，贸易收入25.3144亿元、占61.4325%；虽然贸易占比高，高可靠自产元器件仍是重要收入和核心业务，故保留核心但不把贸易额算作军工。旧“军工电子”无法区分电容器与材料，现改为军工被动元件与连接器，并将陶瓷基关键材料单列，纠正泛化标签。</t>
        </is>
      </c>
      <c r="J74" s="7" t="inlineStr">
        <is>
          <t>福建火炬电子科技股份有限公司2025年年度报告</t>
        </is>
      </c>
      <c r="K74" s="7" t="inlineStr">
        <is>
          <t>2026-03-31</t>
        </is>
      </c>
      <c r="L74" s="8" t="inlineStr">
        <is>
          <t>iFinD ifind_get_stock_info + ifind_get_stock_business_segmentation (as of 2026-10-27)；福建火炬电子科技股份有限公司2025年年度报告</t>
        </is>
      </c>
      <c r="M74" s="9" t="inlineStr">
        <is>
          <t>http://static.cninfo.com.cn/finalpage/2026-03-31/1225055912.PDF</t>
        </is>
      </c>
    </row>
    <row r="75" ht="96" customHeight="1">
      <c r="B75" s="4" t="inlineStr">
        <is>
          <t>603712</t>
        </is>
      </c>
      <c r="C75" s="4" t="inlineStr">
        <is>
          <t>七一二</t>
        </is>
      </c>
      <c r="D75" s="5" t="inlineStr">
        <is>
          <t>军工：军工电子</t>
        </is>
      </c>
      <c r="E75" s="4" t="inlineStr">
        <is>
          <t>纠错</t>
        </is>
      </c>
      <c r="F75" s="4" t="inlineStr">
        <is>
          <t>军工</t>
        </is>
      </c>
      <c r="G75" s="5" t="inlineStr">
        <is>
          <t>军用通信与指挥控制</t>
        </is>
      </c>
      <c r="H75" s="4" t="inlineStr">
        <is>
          <t>核心</t>
        </is>
      </c>
      <c r="I75" s="5" t="inlineStr">
        <is>
          <t>公司实际产品为军民用专用无线通信终端和系统，军用机载、舰载、车载及单兵电台承担话音、数据链传输和组网通信，系统集成为指挥所与作战平台提供通信及指挥控制能力，属于已经规模交付的军工电子装备，而非通用通信产品的潜在军用想象。2025年专用无线通信行业收入20.0030亿元、占93.1249%；其中无线通信终端12.5427亿元、约占总收入58.39%，系统产品7.4604亿元、约占34.73%，主业集中度和收入规模均支持核心判定，虽含民用铁路等市场但不改变军品重要地位。旧“军工电子”只给出行业门类，未指出无线通信这一核心实质，现收敛为军用通信与指挥控制，避免误贴雷达、导航或芯片标签。</t>
        </is>
      </c>
      <c r="J75" s="4" t="inlineStr">
        <is>
          <t>天津七一二通信广播股份有限公司2025年年度报告</t>
        </is>
      </c>
      <c r="K75" s="4" t="inlineStr">
        <is>
          <t>2026-04-23</t>
        </is>
      </c>
      <c r="L75" s="5" t="inlineStr">
        <is>
          <t>iFinD ifind_get_stock_info + ifind_get_stock_business_segmentation (as of 2026-10-27)；天津七一二通信广播股份有限公司2025年年度报告</t>
        </is>
      </c>
      <c r="M75" s="6" t="inlineStr">
        <is>
          <t>http://static.sse.com.cn/disclosure/listedinfo/announcement/c/new/2026-04-23/603712_20260423_70EW.pdf</t>
        </is>
      </c>
    </row>
    <row r="76" ht="96" customHeight="1">
      <c r="B76" s="7" t="inlineStr">
        <is>
          <t>605123</t>
        </is>
      </c>
      <c r="C76" s="7" t="inlineStr">
        <is>
          <t>派克新材</t>
        </is>
      </c>
      <c r="D76" s="8" t="inlineStr">
        <is>
          <t>军工：航空装备-航空锻件</t>
        </is>
      </c>
      <c r="E76" s="7" t="inlineStr">
        <is>
          <t>纠错</t>
        </is>
      </c>
      <c r="F76" s="7" t="inlineStr">
        <is>
          <t>军工</t>
        </is>
      </c>
      <c r="G76" s="8" t="inlineStr">
        <is>
          <t>航空结构件与锻铸件</t>
        </is>
      </c>
      <c r="H76" s="7" t="inlineStr">
        <is>
          <t>核心</t>
        </is>
      </c>
      <c r="I76" s="8" t="inlineStr">
        <is>
          <t>公司生产航空发动机机匣、环形件及飞机结构用难变形金属锻件，并向国内航空航天主机和发动机配套体系供货，零件用于承受高温、高转速和复杂载荷，具有真实型号配套属性；航天锻件亦有实际产品基础，但本组不以SpaceX潜在供应商作为保留依据。2025年航空航天锻件收入9.0409亿元、约占总收入25.52%，锻造行业收入31.4109亿元、占88.6597%；电力锻件13.8945亿元、石化锻件5.4995亿元，说明公司并非纯军品企业，但航空航天已是重要收入和规模化核心产品，故判核心，且不将全部锻件等同于军品。旧“航空装备-航空锻件”方向基本正确，需统一为航空结构件与锻铸件；旧“航空发动机”只能表达应用场景，不能替代锻件产品分类。</t>
        </is>
      </c>
      <c r="J76" s="7" t="inlineStr">
        <is>
          <t>无锡派克新材料科技股份有限公司2025年年度报告</t>
        </is>
      </c>
      <c r="K76" s="7" t="inlineStr">
        <is>
          <t>2026-03-18</t>
        </is>
      </c>
      <c r="L76" s="8" t="inlineStr">
        <is>
          <t>iFinD ifind_get_stock_info + ifind_get_stock_business_segmentation (as of 2026-10-27)；无锡派克新材料科技股份有限公司2025年年度报告</t>
        </is>
      </c>
      <c r="M76" s="9" t="inlineStr">
        <is>
          <t>http://static.cninfo.com.cn/finalpage/2026-03-18/1225014158.PDF</t>
        </is>
      </c>
    </row>
    <row r="77" ht="96" customHeight="1">
      <c r="B77" s="4" t="inlineStr">
        <is>
          <t>688002</t>
        </is>
      </c>
      <c r="C77" s="4" t="inlineStr">
        <is>
          <t>睿创微纳</t>
        </is>
      </c>
      <c r="D77" s="5" t="inlineStr">
        <is>
          <t>军工：红外探测</t>
        </is>
      </c>
      <c r="E77" s="4" t="inlineStr">
        <is>
          <t>纠错</t>
        </is>
      </c>
      <c r="F77" s="4" t="inlineStr">
        <is>
          <t>军工</t>
        </is>
      </c>
      <c r="G77" s="5" t="inlineStr">
        <is>
          <t>红外光电与激光、军工芯片与特种集成电路</t>
        </is>
      </c>
      <c r="H77" s="4" t="inlineStr">
        <is>
          <t>核心</t>
        </is>
      </c>
      <c r="I77" s="5" t="inlineStr">
        <is>
          <t>公司形成红外探测器芯片、机芯模组、热像仪整机及光电系统链条，特种产品用于昼夜观察、目标探测、瞄准和平台态势感知，防务场景在年报中有明确披露；自研探测器芯片不是外购通用器件的简单组装，因此可同时对应红外光电和特种集成电路。2025年红外热成像业务收入59.3182亿元、约占总收入94.09%，微波射频业务2.0195亿元，红外热成像行业收入61.7644亿元、占97.9742%；分部未将军品与户外、汽车、工业等民用收入独立拆分，不能宣称全部红外收入均为军工，但特种装备是规模化核心产品且业务体量重要，故判核心。旧“红外探测”只覆盖探测器层级，现细化为红外光电与激光并补充军工芯片，纠正其把主营误写成单纯芯片设计的表述。</t>
        </is>
      </c>
      <c r="J77" s="4" t="inlineStr">
        <is>
          <t>烟台睿创微纳技术股份有限公司2025年年度报告</t>
        </is>
      </c>
      <c r="K77" s="4" t="inlineStr">
        <is>
          <t>2026-04-10</t>
        </is>
      </c>
      <c r="L77" s="5" t="inlineStr">
        <is>
          <t>iFinD ifind_get_stock_info + ifind_get_stock_business_segmentation (as of 2026-10-27)；烟台睿创微纳技术股份有限公司2025年年度报告</t>
        </is>
      </c>
      <c r="M77" s="6" t="inlineStr">
        <is>
          <t>http://file.finance.sina.com.cn/211.154.219.97:9494/MRGG/CNSESH_STOCK/2026/2026-4/2026-04-10/12074932.PDF</t>
        </is>
      </c>
    </row>
    <row r="78" ht="96" customHeight="1">
      <c r="B78" s="7" t="inlineStr">
        <is>
          <t>688011</t>
        </is>
      </c>
      <c r="C78" s="7" t="inlineStr">
        <is>
          <t>新光光电</t>
        </is>
      </c>
      <c r="D78" s="8" t="inlineStr">
        <is>
          <t>军工：导弹-光学制导</t>
        </is>
      </c>
      <c r="E78" s="7" t="inlineStr">
        <is>
          <t>纠错</t>
        </is>
      </c>
      <c r="F78" s="7" t="inlineStr">
        <is>
          <t>军工</t>
        </is>
      </c>
      <c r="G78" s="8" t="inlineStr">
        <is>
          <t>导弹与精确制导、电子对抗与蓝军仿真、军事仿真与军工软件</t>
        </is>
      </c>
      <c r="H78" s="7" t="inlineStr">
        <is>
          <t>核心</t>
        </is>
      </c>
      <c r="I78" s="8" t="inlineStr">
        <is>
          <t>公司军工产品包括光学制导系统、光学目标与场景仿真系统、光电专用测试设备及激光对抗系统，分别用于导弹导引头制导与测试、武器系统半实物仿真、光电装备标校和激光干扰对抗，客户与使用环节均指向武器装备研制和训练，并非普通光学产品可军用。2025年光学目标与场景仿真收入0.8465亿元、约占总收入73.00%，光学制导0.1074亿元、约占9.26%，光电专用测试0.0693亿元，民用产品仅0.0923亿元；其他电子设备制造收入1.1241亿元、占96.9437%，军品相关系统构成主体，故判核心。旧“导弹-光学制导”只保留了一条产品线，遗漏收入更大的仿真和测试业务，现按实质拆为精确制导、电子对抗与军事仿真三类。</t>
        </is>
      </c>
      <c r="J78" s="7" t="inlineStr">
        <is>
          <t>哈尔滨新光光电科技股份有限公司2025年年度报告</t>
        </is>
      </c>
      <c r="K78" s="7" t="inlineStr">
        <is>
          <t>2026-04-24</t>
        </is>
      </c>
      <c r="L78" s="8" t="inlineStr">
        <is>
          <t>iFinD ifind_get_stock_info + ifind_get_stock_business_segmentation (as of 2026-10-27)；哈尔滨新光光电科技股份有限公司2025年年度报告</t>
        </is>
      </c>
      <c r="M78" s="9" t="inlineStr">
        <is>
          <t>http://static.sse.com.cn/disclosure/listedinfo/announcement/c/new/2026-04-24/688011_20260424_71Q0.pdf</t>
        </is>
      </c>
    </row>
    <row r="79" ht="96" customHeight="1">
      <c r="B79" s="4" t="inlineStr">
        <is>
          <t>688070</t>
        </is>
      </c>
      <c r="C79" s="4" t="inlineStr">
        <is>
          <t>纵横股份</t>
        </is>
      </c>
      <c r="D79" s="5" t="inlineStr">
        <is>
          <t>军工：工业无人机</t>
        </is>
      </c>
      <c r="E79" s="4" t="inlineStr">
        <is>
          <t>纠错</t>
        </is>
      </c>
      <c r="F79" s="4" t="inlineStr">
        <is>
          <t>军工</t>
        </is>
      </c>
      <c r="G79" s="5" t="inlineStr">
        <is>
          <t>军用无人装备与机器人</t>
        </is>
      </c>
      <c r="H79" s="4" t="inlineStr">
        <is>
          <t>相关</t>
        </is>
      </c>
      <c r="I79" s="5" t="inlineStr">
        <is>
          <t>公司虽以测绘、巡检、应急等工业无人机为主，2025年报却明确披露防务等重点行业中标多个重点项目、某军贸存量项目顺利交付，第一大客户中航技进出口有限责任公司销售额5756.27万元、占9.27%，研发项目亦明确军事情报侦察用途，因此存在真实军工交付而非单纯无人机军用联想。2025年工业无人机行业收入6.2092亿元，其中无人机系统4.3288亿元、服务0.6399亿元、配件0.6250亿元，民品和低空业务仍为主且军贸未完整独立拆分，故由摘除修正为相关，概念由工业无人机规范为军用无人装备与机器人，但不判核心。</t>
        </is>
      </c>
      <c r="J79" s="4" t="inlineStr">
        <is>
          <t>成都纵横自动化技术股份有限公司2025年年度报告</t>
        </is>
      </c>
      <c r="K79" s="4" t="inlineStr">
        <is>
          <t>2026-04-01</t>
        </is>
      </c>
      <c r="L79" s="5" t="inlineStr">
        <is>
          <t>iFinD ifind_get_stock_info + ifind_get_stock_business_segmentation (as of 2026-10-27)；成都纵横自动化技术股份有限公司2025年年度报告</t>
        </is>
      </c>
      <c r="M79" s="6" t="inlineStr">
        <is>
          <t>http://money.finance.sina.com.cn/corp/view/vCB_AllBulletinDetail.php?stockid=688070&amp;id=12051261</t>
        </is>
      </c>
    </row>
    <row r="80" ht="96" customHeight="1">
      <c r="B80" s="7" t="inlineStr">
        <is>
          <t>688084</t>
        </is>
      </c>
      <c r="C80" s="7" t="inlineStr">
        <is>
          <t>晶品特装</t>
        </is>
      </c>
      <c r="D80" s="8" t="inlineStr">
        <is>
          <t>军工：军用机器人</t>
        </is>
      </c>
      <c r="E80" s="7" t="inlineStr">
        <is>
          <t>纠错</t>
        </is>
      </c>
      <c r="F80" s="7" t="inlineStr">
        <is>
          <t>军工</t>
        </is>
      </c>
      <c r="G80" s="8" t="inlineStr">
        <is>
          <t>军用无人装备与机器人、红外光电与激光、核化生防御与应急救援</t>
        </is>
      </c>
      <c r="H80" s="7" t="inlineStr">
        <is>
          <t>核心</t>
        </is>
      </c>
      <c r="I80" s="8" t="inlineStr">
        <is>
          <t>公司直接研发生产排爆、侦察、打击、伴随助力及核化检测机器人，用于危险爆炸物处置、战场侦察、火力任务和核化环境侦测；融合望远镜、手持综合观测仪、夜视眼镜与智能吊舱构成光电侦察产品，均不是民用机器人或通用相机的泛化延伸。2025年国防军工收入1.7211亿元、占58.8766%，民用收入1.1882亿元、占40.6446%；特种机器人收入1.4022亿元、约占总收入47.96%，智能感知设备0.2861亿元、模拟仿真0.3985亿元，军工已是最大行业板块和规模化核心产品，故判核心。旧“军用机器人”虽正确但不完整，现保留机器人主标签，补充红外光电与激光及核化生防御，避免将公司智能制造民品一并纳入军工。</t>
        </is>
      </c>
      <c r="J80" s="7" t="inlineStr">
        <is>
          <t>北京晶品特装科技股份有限公司2025年年度报告</t>
        </is>
      </c>
      <c r="K80" s="7" t="inlineStr">
        <is>
          <t>2026-04-28</t>
        </is>
      </c>
      <c r="L80" s="8" t="inlineStr">
        <is>
          <t>iFinD ifind_get_stock_info + ifind_get_stock_business_segmentation (as of 2026-10-27)；北京晶品特装科技股份有限公司2025年年度报告</t>
        </is>
      </c>
      <c r="M80" s="9" t="inlineStr">
        <is>
          <t>http://static.sse.com.cn/disclosure/listedinfo/announcement/c/new/2026-04-28/688084_20260428_NAQQ.pdf</t>
        </is>
      </c>
    </row>
    <row r="81" ht="96" customHeight="1">
      <c r="B81" s="4" t="inlineStr">
        <is>
          <t>688122</t>
        </is>
      </c>
      <c r="C81" s="4" t="inlineStr">
        <is>
          <t>西部超导</t>
        </is>
      </c>
      <c r="D81" s="5" t="inlineStr">
        <is>
          <t>军工：军工材料</t>
        </is>
      </c>
      <c r="E81" s="4" t="inlineStr">
        <is>
          <t>纠错</t>
        </is>
      </c>
      <c r="F81" s="4" t="inlineStr">
        <is>
          <t>军工</t>
        </is>
      </c>
      <c r="G81" s="5" t="inlineStr">
        <is>
          <t>军工材料-钛合金与高温合金</t>
        </is>
      </c>
      <c r="H81" s="4" t="inlineStr">
        <is>
          <t>核心</t>
        </is>
      </c>
      <c r="I81" s="5" t="inlineStr">
        <is>
          <t>公司高端钛合金棒丝材已批量用于军用飞机结构件和航空发动机关键部件，高性能高温合金面向航空发动机热端及高承载部位，属于有机型应用和主机配套基础的关键材料；超导产品还服务医疗、科研和聚变等领域，本次不将超导收入自动计作军工。2025年高端钛合金材料收入27.9279亿元、约占总收入53.44%，高性能高温合金5.7146亿元、约占10.94%，超导线材15.9949亿元；有色金属冶炼及压延加工收入49.6375亿元、占94.9876%。钛合金和高温合金合计体量大且为规模化核心产品，军工航空应用重要，故判核心。旧“军工材料”没有指出材料体系，又与超导磁体概念混列，现收敛为钛合金与高温合金，防止把全部超导体业务军工化。</t>
        </is>
      </c>
      <c r="J81" s="4" t="inlineStr">
        <is>
          <t>西部超导材料科技股份有限公司2025年年度报告</t>
        </is>
      </c>
      <c r="K81" s="4" t="inlineStr">
        <is>
          <t>2026-04-24</t>
        </is>
      </c>
      <c r="L81" s="5" t="inlineStr">
        <is>
          <t>iFinD ifind_get_stock_info + ifind_get_stock_business_segmentation (as of 2026-10-27)；西部超导材料科技股份有限公司2025年年度报告</t>
        </is>
      </c>
      <c r="M81" s="6" t="inlineStr">
        <is>
          <t>https://static.cninfo.com.cn/finalpage/2026-04-24/1225162778.PDF</t>
        </is>
      </c>
    </row>
    <row r="82" ht="96" customHeight="1">
      <c r="B82" s="7" t="inlineStr">
        <is>
          <t>688239</t>
        </is>
      </c>
      <c r="C82" s="7" t="inlineStr">
        <is>
          <t>航宇科技</t>
        </is>
      </c>
      <c r="D82" s="8" t="inlineStr">
        <is>
          <t>军工：航空发动机</t>
        </is>
      </c>
      <c r="E82" s="7" t="inlineStr">
        <is>
          <t>纠错</t>
        </is>
      </c>
      <c r="F82" s="7" t="inlineStr">
        <is>
          <t>军工</t>
        </is>
      </c>
      <c r="G82" s="8" t="inlineStr">
        <is>
          <t>航空结构件与锻铸件、航空发动机与燃气轮机</t>
        </is>
      </c>
      <c r="H82" s="7" t="inlineStr">
        <is>
          <t>核心</t>
        </is>
      </c>
      <c r="I82" s="8" t="inlineStr">
        <is>
          <t>公司专门制造航空难变形金属材料环形锻件，产品用于军用航空发动机机匣、涡轮和连接环等关键部位，也覆盖航天与燃气轮机装备，已进入国内外航空发动机及主机配套链，属于真实批量零部件而非普通金属加工可军用。2025年航空锻件收入14.8109亿元、约占总收入72.83%，燃气轮机锻件2.7812亿元、航天锻件1.1289亿元，锻造行业收入18.9562亿元、占93.2131%；航空产品是绝对主体和重要收入，虽军民航空未独立拆分，规模化核心产品及军工配套明确，故判核心。旧“航空发动机”只描述下游场景，容易误解为公司制造整机发动机，现以航空结构件与锻铸件为产品主标签，并保留航空发动机与燃气轮机作为实际应用分类。</t>
        </is>
      </c>
      <c r="J82" s="7" t="inlineStr">
        <is>
          <t>贵州航宇科技发展股份有限公司2025年年度报告</t>
        </is>
      </c>
      <c r="K82" s="7" t="inlineStr">
        <is>
          <t>2026-04-30</t>
        </is>
      </c>
      <c r="L82" s="8" t="inlineStr">
        <is>
          <t>iFinD ifind_get_stock_info + ifind_get_stock_business_segmentation (as of 2026-10-27)；贵州航宇科技发展股份有限公司2025年年度报告</t>
        </is>
      </c>
      <c r="M82" s="9" t="inlineStr">
        <is>
          <t>http://file.finance.sina.com.cn/211.154.219.97:9494/MRGG/CNSESH_STOCK/2026/2026-4/2026-04-30/12276613.PDF</t>
        </is>
      </c>
    </row>
    <row r="83" ht="96" customHeight="1">
      <c r="B83" s="4" t="inlineStr">
        <is>
          <t>688281</t>
        </is>
      </c>
      <c r="C83" s="4" t="inlineStr">
        <is>
          <t>华秦科技</t>
        </is>
      </c>
      <c r="D83" s="5" t="inlineStr">
        <is>
          <t>军工：军工材料</t>
        </is>
      </c>
      <c r="E83" s="4" t="inlineStr">
        <is>
          <t>纠错</t>
        </is>
      </c>
      <c r="F83" s="4" t="inlineStr">
        <is>
          <t>军工</t>
        </is>
      </c>
      <c r="G83" s="5" t="inlineStr">
        <is>
          <t>军工材料-超材料与隐身材料</t>
        </is>
      </c>
      <c r="H83" s="4" t="inlineStr">
        <is>
          <t>核心</t>
        </is>
      </c>
      <c r="I83" s="5" t="inlineStr">
        <is>
          <t>公司核心产品为隐身、伪装和防护等特种功能材料及涂层，应用于军用航空装备和航空发动机，通过降低电磁、红外等可探测特征并耐受复杂服役环境提升平台生存力，已有真实武器装备配套，不是普通涂料或潜在军工供应。2025年特种功能材料产品及技术服务收入10.1828亿元、约占总收入81.87%，航空航天行业收入11.5977亿元、占93.2470%；航空航天零部件加工1.2510亿元、声学超材料及服务0.4974亿元、陶瓷基复合材料0.1639亿元，特种材料的主体地位明确，故判核心。旧“军工材料”范围过粗，无法体现公司最重要的隐身功能属性，现改为军工材料-超材料与隐身材料，且不额外把陶瓷基复材归入碳纤维或把加工服务夸大为航空整机业务。</t>
        </is>
      </c>
      <c r="J83" s="4" t="inlineStr">
        <is>
          <t>陕西华秦科技实业股份有限公司2025年年度报告</t>
        </is>
      </c>
      <c r="K83" s="4" t="inlineStr">
        <is>
          <t>2026-04-28</t>
        </is>
      </c>
      <c r="L83" s="5" t="inlineStr">
        <is>
          <t>iFinD ifind_get_stock_info + ifind_get_stock_business_segmentation (as of 2026-10-27)；陕西华秦科技实业股份有限公司2025年年度报告</t>
        </is>
      </c>
      <c r="M83" s="6" t="inlineStr">
        <is>
          <t>https://vip.stock.finance.sina.com.cn/corp/view/vCB_AllBulletinDetail.php?stockid=688281&amp;id=12214280</t>
        </is>
      </c>
    </row>
    <row r="84" ht="96" customHeight="1">
      <c r="B84" s="7" t="inlineStr">
        <is>
          <t>688297</t>
        </is>
      </c>
      <c r="C84" s="7" t="inlineStr">
        <is>
          <t>中无人机</t>
        </is>
      </c>
      <c r="D84" s="8" t="inlineStr">
        <is>
          <t>军工：无人机</t>
        </is>
      </c>
      <c r="E84" s="7" t="inlineStr">
        <is>
          <t>纠错</t>
        </is>
      </c>
      <c r="F84" s="7" t="inlineStr">
        <is>
          <t>军工</t>
        </is>
      </c>
      <c r="G84" s="8" t="inlineStr">
        <is>
          <t>军用无人装备与机器人</t>
        </is>
      </c>
      <c r="H84" s="7" t="inlineStr">
        <is>
          <t>核心</t>
        </is>
      </c>
      <c r="I84" s="8" t="inlineStr">
        <is>
          <t>公司翼龙-1、翼龙-2、翼龙-X等大型固定翼无人机系统面向侦察监视、情报搜集及察打一体等军事任务，具备真实军贸和防务应用，同时翼龙-2H也用于应急救灾；本次保留依据是明确的军用无人机整机与任务系统，而非低空经济热度或航空工业央企背景。2025年无人机系统产品及服务收入30.1585亿元，航空航天产品制造及相关服务占比100%，公司收入几乎全部来自无人机整机和服务，虽分部未将军贸、国内军用与应急民用分别列示，但大型军用无人机是规模化核心产品，故判核心。旧“无人机”与“军贸”一个过宽、一个只描述销售渠道，均不能表达装备实质，现统一细化为军用无人装备与机器人，避免误列民用工业无人机或航空整机通用标签。</t>
        </is>
      </c>
      <c r="J84" s="7" t="inlineStr">
        <is>
          <t>中航（成都）无人机系统股份有限公司2025年年度报告</t>
        </is>
      </c>
      <c r="K84" s="7" t="inlineStr">
        <is>
          <t>2026-03-17</t>
        </is>
      </c>
      <c r="L84" s="8" t="inlineStr">
        <is>
          <t>iFinD ifind_get_stock_info + ifind_get_stock_business_segmentation (as of 2026-10-27)；中航（成都）无人机系统股份有限公司2025年年度报告</t>
        </is>
      </c>
      <c r="M84" s="9" t="inlineStr">
        <is>
          <t>http://static.cninfo.com.cn/finalpage/2026-03-17/1225012993.PDF</t>
        </is>
      </c>
    </row>
    <row r="85" ht="96" customHeight="1">
      <c r="B85" s="4" t="inlineStr">
        <is>
          <t>688333</t>
        </is>
      </c>
      <c r="C85" s="4" t="inlineStr">
        <is>
          <t>铂力特</t>
        </is>
      </c>
      <c r="D85" s="5" t="inlineStr">
        <is>
          <t>军工：军工材料</t>
        </is>
      </c>
      <c r="E85" s="4" t="inlineStr">
        <is>
          <t>纠错</t>
        </is>
      </c>
      <c r="F85" s="4" t="inlineStr">
        <is>
          <t>军工</t>
        </is>
      </c>
      <c r="G85" s="5" t="inlineStr">
        <is>
          <t>航空结构件与锻铸件、航天装备与分系统</t>
        </is>
      </c>
      <c r="H85" s="4" t="inlineStr">
        <is>
          <t>核心</t>
        </is>
      </c>
      <c r="I85" s="5" t="inlineStr">
        <is>
          <t>公司利用金属增材制造直接生产航空航天复杂结构件、发动机零件及火箭相关部件，并提供打印设备和工艺服务，已服务多类国家重点型号和航空主机配套，属于可核验的装备制造落地；保留依据不是SpaceX潜在供应商，也不是将金属粉末或通用3D打印能力想象成军工。2025年航空航天收入8.8326亿元、占47.7009%，工业机械收入8.9354亿元、占48.2561%；3D打印定制化产品及技术服务10.5231亿元，自研设备及服务6.8610亿元，航空航天已是接近半数的重要收入，军工型号配套具有规模，故判核心，但不把工业和医疗收入算作军品。旧“军工材料”定位错误，公司实质是增材制造装备与零部件服务，现改为航空结构件，并对火箭等实际产品补列航天装备与分系统。</t>
        </is>
      </c>
      <c r="J85" s="4" t="inlineStr">
        <is>
          <t>西安铂力特增材技术股份有限公司2025年年度报告</t>
        </is>
      </c>
      <c r="K85" s="4" t="inlineStr">
        <is>
          <t>2026-04-30</t>
        </is>
      </c>
      <c r="L85" s="5" t="inlineStr">
        <is>
          <t>iFinD ifind_get_stock_info + ifind_get_stock_business_segmentation (as of 2026-10-27)；西安铂力特增材技术股份有限公司2025年年度报告</t>
        </is>
      </c>
      <c r="M85" s="6" t="inlineStr">
        <is>
          <t>http://static.cninfo.com.cn/finalpage/2026-04-30/1225265594.PDF</t>
        </is>
      </c>
    </row>
    <row r="86" ht="96" customHeight="1">
      <c r="B86" s="7" t="inlineStr">
        <is>
          <t>688375</t>
        </is>
      </c>
      <c r="C86" s="7" t="inlineStr">
        <is>
          <t>国博电子</t>
        </is>
      </c>
      <c r="D86" s="8" t="inlineStr">
        <is>
          <t>军工：雷达</t>
        </is>
      </c>
      <c r="E86" s="7" t="inlineStr">
        <is>
          <t>纠错</t>
        </is>
      </c>
      <c r="F86" s="7" t="inlineStr">
        <is>
          <t>军工</t>
        </is>
      </c>
      <c r="G86" s="8" t="inlineStr">
        <is>
          <t>雷达与预警探测、军工芯片与特种集成电路</t>
        </is>
      </c>
      <c r="H86" s="7" t="inlineStr">
        <is>
          <t>核心</t>
        </is>
      </c>
      <c r="I86" s="8" t="inlineStr">
        <is>
          <t>公司有源相控阵T/R组件和射频模块是雷达天线收发的核心部件，用于防空预警、火控及其他军用相控阵雷达，实现波束扫描、信号放大与控制；射频放大和控制芯片则用于特种射频链路，另有移动通信基站等民用场景，不能全部混同。2025年T/R组件和射频模块收入21.0821亿元、约占总收入88.36%，射频芯片1.8717亿元、其他芯片0.6315亿元，模拟集成电路行业收入23.5853亿元、占98.8488%，核心组件已形成大规模收入，故判核心。旧“雷达”只指出下游整机，旧“军工电子-T/R组件”又未覆盖芯片层级，现按产品与应用拆为雷达与预警探测、军工芯片与特种集成电路，不再额外泛贴导弹或卫星有效载荷。</t>
        </is>
      </c>
      <c r="J86" s="7" t="inlineStr">
        <is>
          <t>南京国博电子股份有限公司2025年年度报告</t>
        </is>
      </c>
      <c r="K86" s="7" t="inlineStr">
        <is>
          <t>2026-04-10</t>
        </is>
      </c>
      <c r="L86" s="8" t="inlineStr">
        <is>
          <t>iFinD ifind_get_stock_info + ifind_get_stock_business_segmentation (as of 2026-10-27)；南京国博电子股份有限公司2025年年度报告</t>
        </is>
      </c>
      <c r="M86" s="9" t="inlineStr">
        <is>
          <t>https://static.cninfo.com.cn/finalpage/2026-04-10/1225090270.PDF</t>
        </is>
      </c>
    </row>
    <row r="87" ht="96" customHeight="1">
      <c r="B87" s="4" t="inlineStr">
        <is>
          <t>688385</t>
        </is>
      </c>
      <c r="C87" s="4" t="inlineStr">
        <is>
          <t>复旦微电</t>
        </is>
      </c>
      <c r="D87" s="5" t="inlineStr">
        <is>
          <t>军工：军工电子-军工芯片</t>
        </is>
      </c>
      <c r="E87" s="4" t="inlineStr">
        <is>
          <t>纠错</t>
        </is>
      </c>
      <c r="F87" s="4" t="inlineStr">
        <is>
          <t>军工</t>
        </is>
      </c>
      <c r="G87" s="5" t="inlineStr">
        <is>
          <t>军工芯片与特种集成电路</t>
        </is>
      </c>
      <c r="H87" s="4" t="inlineStr">
        <is>
          <t>核心</t>
        </is>
      </c>
      <c r="I87" s="5" t="inlineStr">
        <is>
          <t>公司高可靠FPGA、PSoC及部分非挥发存储器用于卫星通信、特种图像处理、控制与数据计算等场景，年报明确高可靠产品持续放量并形成客户需求，属于已销售的真实特种芯片；安全识别、智能电表和消费类存储产品则具有大量民用市场，本次不将其整体军工化。2025年FPGA及其他芯片收入14.1362亿元、约占总收入35.50%，非挥发存储器10.4153亿元，设计及销售集成电路行业收入38.2846亿元、占96.1378%；分部没有单独披露军品收入，但FPGA为最大产品板块，高可靠产品规模和技术地位突出，故判核心。旧“军工电子-军工芯片”和“FPGA”意思重复且行业标签偏粗，现统一为军工芯片与特种集成电路，同时纠正把公司简单概括为“FPGA为主、存储为辅”而忽略民用业务的做法。</t>
        </is>
      </c>
      <c r="J87" s="4" t="inlineStr">
        <is>
          <t>上海复旦微电子集团股份有限公司2025年年度报告</t>
        </is>
      </c>
      <c r="K87" s="4" t="inlineStr">
        <is>
          <t>2026-03-28</t>
        </is>
      </c>
      <c r="L87" s="5" t="inlineStr">
        <is>
          <t>iFinD ifind_get_stock_info + ifind_get_stock_business_segmentation (as of 2026-10-27)；上海复旦微电子集团股份有限公司2025年年度报告</t>
        </is>
      </c>
      <c r="M87" s="6" t="inlineStr">
        <is>
          <t>https://www.fmsh.com/UpLoadFile/20260330/%E5%A4%8D%E6%97%A6%E5%BE%AE%E7%94%B5_2025%E5%B9%B4%E5%B9%B4%E5%BA%A6%E6%8A%A5%E5%91%8A-2026-03-28.pdf</t>
        </is>
      </c>
    </row>
    <row r="88" ht="96" customHeight="1">
      <c r="B88" s="7" t="inlineStr">
        <is>
          <t>688543</t>
        </is>
      </c>
      <c r="C88" s="7" t="inlineStr">
        <is>
          <t>国科军工</t>
        </is>
      </c>
      <c r="D88" s="8" t="inlineStr">
        <is>
          <t>军工：导弹</t>
        </is>
      </c>
      <c r="E88" s="7" t="inlineStr">
        <is>
          <t>纠错</t>
        </is>
      </c>
      <c r="F88" s="7" t="inlineStr">
        <is>
          <t>军工</t>
        </is>
      </c>
      <c r="G88" s="8" t="inlineStr">
        <is>
          <t>导弹与精确制导、弹药与特种装备</t>
        </is>
      </c>
      <c r="H88" s="7" t="inlineStr">
        <is>
          <t>核心</t>
        </is>
      </c>
      <c r="I88" s="8" t="inlineStr">
        <is>
          <t>公司专注导弹、火箭固体发动机动力与控制产品以及弹药装备，固体发动机为导弹和火箭提供飞行动力，控制产品参与发动机工作状态调节，弹药产品直接用于火力打击和作战保障，具有明确军方型号及装备用途，不是凭公司名称含“军工”而认定。2025年军品收入13.5178亿元、约占总收入95.84%，民品仅0.4172亿元，受托研制0.1308亿元，其他制造业收入14.0659亿元、占99.7376%；军品占绝对主体并已形成规模收入，核心判定充分。旧“导弹”与“导弹-弹药”把动力分系统和弹药混在一个粗标签下，也没有区分两类核心产品，现细化为导弹与精确制导、弹药与特种装备，保留真实主业并提升映射精度。</t>
        </is>
      </c>
      <c r="J88" s="7" t="inlineStr">
        <is>
          <t>江西国科军工集团股份有限公司2025年年度报告</t>
        </is>
      </c>
      <c r="K88" s="7" t="inlineStr">
        <is>
          <t>2026-03-31</t>
        </is>
      </c>
      <c r="L88" s="8" t="inlineStr">
        <is>
          <t>iFinD ifind_get_stock_info + ifind_get_stock_business_segmentation (as of 2026-10-27)；江西国科军工集团股份有限公司2025年年度报告</t>
        </is>
      </c>
      <c r="M88" s="9" t="inlineStr">
        <is>
          <t>http://file.finance.sina.com.cn/211.154.219.97:9494/MRGG/CNSESH_STOCK/2026/2026-3/2026-03-31/12039301.PDF</t>
        </is>
      </c>
    </row>
    <row r="89" ht="96" customHeight="1">
      <c r="B89" s="4" t="inlineStr">
        <is>
          <t>688552</t>
        </is>
      </c>
      <c r="C89" s="4" t="inlineStr">
        <is>
          <t>航天南湖</t>
        </is>
      </c>
      <c r="D89" s="5" t="inlineStr">
        <is>
          <t>军工：雷达</t>
        </is>
      </c>
      <c r="E89" s="4" t="inlineStr">
        <is>
          <t>纠错</t>
        </is>
      </c>
      <c r="F89" s="4" t="inlineStr">
        <is>
          <t>军工</t>
        </is>
      </c>
      <c r="G89" s="5" t="inlineStr">
        <is>
          <t>雷达与预警探测</t>
        </is>
      </c>
      <c r="H89" s="4" t="inlineStr">
        <is>
          <t>核心</t>
        </is>
      </c>
      <c r="I89" s="5" t="inlineStr">
        <is>
          <t>公司主营防空预警雷达整机、配套装备和零部件，产品用于对空中目标进行搜索、探测、跟踪与预警，为防空作战和指挥系统提供目标信息，另有反无人机等延伸应用，均有明确防务场景，并非一般电子测量设备或民用雷达。2025年雷达及配套装备收入6.8244亿元、约占总收入84.23%，雷达零部件1.0537亿元、约占13.01%，雷达产品制造及相关服务行业收入8.0900亿元、占99.8521%；雷达全链条收入接近全部营业收入，属于主营和规模化核心产品，故判核心。旧“雷达”和“军贸”分别停留在宽泛设备名和销售渠道，无法体现防空预警用途，现统一为雷达与预警探测，不额外将军贸、低空或央企属性作为独立军工概念。</t>
        </is>
      </c>
      <c r="J89" s="4" t="inlineStr">
        <is>
          <t>航天南湖电子信息技术股份有限公司2025年年度报告</t>
        </is>
      </c>
      <c r="K89" s="4" t="inlineStr">
        <is>
          <t>2026-04-22</t>
        </is>
      </c>
      <c r="L89" s="5" t="inlineStr">
        <is>
          <t>iFinD ifind_get_stock_info + ifind_get_stock_business_segmentation (as of 2026-10-27)；航天南湖电子信息技术股份有限公司2025年年度报告</t>
        </is>
      </c>
      <c r="M89" s="6" t="inlineStr">
        <is>
          <t>http://static.sse.com.cn/disclosure/listedinfo/announcement/c/new/2026-04-22/688552_20260422_DCWA.pdf</t>
        </is>
      </c>
    </row>
    <row r="90" ht="96" customHeight="1">
      <c r="B90" s="7" t="inlineStr">
        <is>
          <t>688563</t>
        </is>
      </c>
      <c r="C90" s="7" t="inlineStr">
        <is>
          <t>航材股份</t>
        </is>
      </c>
      <c r="D90" s="8" t="inlineStr">
        <is>
          <t>军工：军工材料</t>
        </is>
      </c>
      <c r="E90" s="7" t="inlineStr">
        <is>
          <t>纠错</t>
        </is>
      </c>
      <c r="F90" s="7" t="inlineStr">
        <is>
          <t>军工</t>
        </is>
      </c>
      <c r="G90" s="8" t="inlineStr">
        <is>
          <t>航空结构件与锻铸件、军工材料-钛合金与高温合金、军工材料-特种玻璃与石英</t>
        </is>
      </c>
      <c r="H90" s="7" t="inlineStr">
        <is>
          <t>核心</t>
        </is>
      </c>
      <c r="I90" s="8" t="inlineStr">
        <is>
          <t>公司面向航空发动机和飞机提供高温合金母合金、钛合金精密铸件、座舱透明件及橡胶密封件，分别用于发动机热端与结构件、飞机承力部件和座舱透明观察密封系统，具有中国航发及航空主机配套的真实产品基础，而非凭央企背景保留。2025年航空成品件收入14.4320亿元、约占总收入50.50%，基础材料11.2537亿元、约占39.37%，制造业收入26.9179亿元、占94.1813%，非航空成品件仅1.2322亿元；航空产品为主体且军工配套重要，虽军民航空未独立拆分，仍符合核心标准。旧“军工材料”遗漏大量航空成品件，现同时标注结构件与钛合金高温合金，并以特种玻璃与石英覆盖座舱透明件，避免所有产品被笼统视为原材料。</t>
        </is>
      </c>
      <c r="J90" s="7" t="inlineStr">
        <is>
          <t>北京航空材料研究院股份有限公司2025年年度报告</t>
        </is>
      </c>
      <c r="K90" s="7" t="inlineStr">
        <is>
          <t>2026-04-01</t>
        </is>
      </c>
      <c r="L90" s="8" t="inlineStr">
        <is>
          <t>iFinD ifind_get_stock_info + ifind_get_stock_business_segmentation (as of 2026-10-27)；北京航空材料研究院股份有限公司2025年年度报告</t>
        </is>
      </c>
      <c r="M90" s="9" t="inlineStr">
        <is>
          <t>http://money.finance.sina.com.cn/corp/view/vCB_AllBulletinDetail.php?stockid=688563&amp;id=12053006</t>
        </is>
      </c>
    </row>
    <row r="91" ht="96" customHeight="1">
      <c r="B91" s="4" t="inlineStr">
        <is>
          <t>688568</t>
        </is>
      </c>
      <c r="C91" s="4" t="inlineStr">
        <is>
          <t>中科星图</t>
        </is>
      </c>
      <c r="D91" s="5" t="inlineStr">
        <is>
          <t>军工：军工AI</t>
        </is>
      </c>
      <c r="E91" s="4" t="inlineStr">
        <is>
          <t>纠错</t>
        </is>
      </c>
      <c r="F91" s="4" t="inlineStr">
        <is>
          <t>军工</t>
        </is>
      </c>
      <c r="G91" s="5" t="inlineStr">
        <is>
          <t>军事仿真与军工软件、军用通信与指挥控制</t>
        </is>
      </c>
      <c r="H91" s="4" t="inlineStr">
        <is>
          <t>核心</t>
        </is>
      </c>
      <c r="I91" s="5" t="inlineStr">
        <is>
          <t>公司以GEOVIS数字地球和空天数据平台服务特种领域，年报披露星图洛书防务与公共安全大数据智能分析平台、星图战擎等产品，可用于防务数据处理、态势展示、仿真推演和指挥辅助，属于已经取得收入的军工软件与信息系统，不是把卫星遥感通用能力直接等同军用。2025年地理信息特种领域收入6.3743亿元、占23.8137%，民用领域14.5078亿元、占54.1993%，商业航天3.8329亿元、低空经济2.0491亿元；特种领域已独立拆分且构成重要收入，虽民用占比更高，仍符合核心中“重要收入”标准，故判核心而非摘除。旧“军工AI”过于营销化，未说明软件和指挥信息实质，现细化为军事仿真与军工软件，并补充军用通信与指挥控制。</t>
        </is>
      </c>
      <c r="J91" s="4" t="inlineStr">
        <is>
          <t>中科星图股份有限公司2025年年度报告</t>
        </is>
      </c>
      <c r="K91" s="4" t="inlineStr">
        <is>
          <t>2026-04-15</t>
        </is>
      </c>
      <c r="L91" s="5" t="inlineStr">
        <is>
          <t>iFinD ifind_get_stock_info + ifind_get_stock_business_segmentation (as of 2026-10-27)；中科星图股份有限公司2025年年度报告</t>
        </is>
      </c>
      <c r="M91" s="6" t="inlineStr">
        <is>
          <t>http://money.finance.sina.com.cn/corp/view/vCB_AllBulletinDetail.php?stockid=688568&amp;id=12090946</t>
        </is>
      </c>
    </row>
    <row r="92" ht="96" customHeight="1">
      <c r="B92" s="7" t="inlineStr">
        <is>
          <t>688708</t>
        </is>
      </c>
      <c r="C92" s="7" t="inlineStr">
        <is>
          <t>佳驰科技</t>
        </is>
      </c>
      <c r="D92" s="8" t="inlineStr">
        <is>
          <t>军工：军工材料</t>
        </is>
      </c>
      <c r="E92" s="7" t="inlineStr">
        <is>
          <t>纠错</t>
        </is>
      </c>
      <c r="F92" s="7" t="inlineStr">
        <is>
          <t>军工</t>
        </is>
      </c>
      <c r="G92" s="8" t="inlineStr">
        <is>
          <t>军工材料-超材料与隐身材料</t>
        </is>
      </c>
      <c r="H92" s="7" t="inlineStr">
        <is>
          <t>核心</t>
        </is>
      </c>
      <c r="I92" s="8" t="inlineStr">
        <is>
          <t>公司提供电磁功能涂层材料、隐身功能结构件和电磁维护材料，涂覆或集成于军用航空装备表面与结构，通过吸收、调控电磁波降低雷达散射特征，并为装备全寿命隐身性能维护服务，属于明确的武器装备材料与结构配套，不是普通电磁兼容材料的泛军用。2025年隐身功能涂层材料收入5.6013亿元、占50.5861%，隐身功能结构件5.1970亿元、占46.9349%，两项合计约97.52%；电磁兼容材料及其他仅0.2722亿元，隐身相关产品几乎构成全部收入，规模化核心地位清楚，故判核心。旧“军工材料”及“隐身材料”方向正确但粒度不统一，现收敛为军工材料-超材料与隐身材料，同时不把少量电磁兼容或民品业务扩展为电子对抗装备。</t>
        </is>
      </c>
      <c r="J92" s="7" t="inlineStr">
        <is>
          <t>成都佳驰电子科技股份有限公司2025年年度报告</t>
        </is>
      </c>
      <c r="K92" s="7" t="inlineStr">
        <is>
          <t>2026-04-28</t>
        </is>
      </c>
      <c r="L92" s="8" t="inlineStr">
        <is>
          <t>iFinD ifind_get_stock_info + ifind_get_stock_business_segmentation (as of 2026-10-27)；成都佳驰电子科技股份有限公司2025年年度报告</t>
        </is>
      </c>
      <c r="M92" s="9" t="inlineStr">
        <is>
          <t>http://static.cninfo.com.cn/finalpage/2026-04-28/1225198823.PDF</t>
        </is>
      </c>
    </row>
    <row r="93" ht="96" customHeight="1">
      <c r="B93" s="4" t="inlineStr">
        <is>
          <t>688709</t>
        </is>
      </c>
      <c r="C93" s="4" t="inlineStr">
        <is>
          <t>成都华微</t>
        </is>
      </c>
      <c r="D93" s="5" t="inlineStr">
        <is>
          <t>军工：军工电子-特种集成电路</t>
        </is>
      </c>
      <c r="E93" s="4" t="inlineStr">
        <is>
          <t>纠错</t>
        </is>
      </c>
      <c r="F93" s="4" t="inlineStr">
        <is>
          <t>军工</t>
        </is>
      </c>
      <c r="G93" s="5" t="inlineStr">
        <is>
          <t>军工芯片与特种集成电路</t>
        </is>
      </c>
      <c r="H93" s="4" t="inlineStr">
        <is>
          <t>核心</t>
        </is>
      </c>
      <c r="I93" s="5" t="inlineStr">
        <is>
          <t>公司主营特种集成电路，产品覆盖FPGA、CPLD、SoPC、MCU、存储器、AD/DA转换器、接口驱动及电源管理芯片，用于特种装备的可编程逻辑、信号采集转换、控制和供电管理，服务高可靠电子系统，已有真实产品谱系和销售，而非一般消费芯片可军用。2025年集成电路行业收入7.5846亿元、占99.7994%；数字集成电路4.0428亿元、约占总收入53.20%，模拟集成电路2.7555亿元、约占36.26%，技术服务0.5031亿元，特种芯片构成绝对主营和规模化核心产品，故判核心。旧“军工电子-特种集成电路”虽方向正确，但仍叠加宽泛的军工电子层级，现统一为军工芯片与特种集成电路，保留全部数字和模拟产品实质，不额外虚增雷达、导航或通信整机概念。</t>
        </is>
      </c>
      <c r="J93" s="4" t="inlineStr">
        <is>
          <t>成都华微电子科技股份有限公司2025年年度报告</t>
        </is>
      </c>
      <c r="K93" s="4" t="inlineStr">
        <is>
          <t>2026-04-30</t>
        </is>
      </c>
      <c r="L93" s="5" t="inlineStr">
        <is>
          <t>iFinD ifind_get_stock_info + ifind_get_stock_business_segmentation (as of 2026-10-27)；成都华微电子科技股份有限公司2025年年度报告</t>
        </is>
      </c>
      <c r="M93" s="6" t="inlineStr">
        <is>
          <t>http://file.finance.sina.com.cn/211.154.219.97:9494/MRGG/CNSESH_STOCK/2026/2026-4/2026-04-30/12277763.PDF</t>
        </is>
      </c>
    </row>
  </sheetData>
  <autoFilter ref="B4:M93"/>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36" customWidth="1" min="4" max="4"/>
    <col width="10" customWidth="1" min="5" max="5"/>
    <col width="16" customWidth="1" min="6" max="6"/>
    <col width="55" customWidth="1" min="7" max="7"/>
    <col width="10" customWidth="1" min="8" max="8"/>
    <col width="115" customWidth="1" min="9" max="9"/>
    <col width="44" customWidth="1" min="10" max="10"/>
    <col width="14" customWidth="1" min="11" max="11"/>
    <col width="62" customWidth="1" min="12" max="12"/>
    <col width="74" customWidth="1" min="13" max="13"/>
  </cols>
  <sheetData>
    <row r="2" ht="32" customHeight="1">
      <c r="B2" s="1" t="inlineStr">
        <is>
          <t>摘除清单 · 8只证据不足或业务错标</t>
        </is>
      </c>
    </row>
    <row r="3">
      <c r="B3" s="2" t="inlineStr">
        <is>
          <t>通用光电、索具、民用导航、工业机器人及集团背景不直接计入军工。</t>
        </is>
      </c>
    </row>
    <row r="4">
      <c r="B4" s="3" t="inlineStr">
        <is>
          <t>代码</t>
        </is>
      </c>
      <c r="C4" s="3" t="inlineStr">
        <is>
          <t>名称</t>
        </is>
      </c>
      <c r="D4" s="3" t="inlineStr">
        <is>
          <t>旧军工概念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96" customHeight="1">
      <c r="B5" s="4" t="inlineStr">
        <is>
          <t>002222</t>
        </is>
      </c>
      <c r="C5" s="4" t="inlineStr">
        <is>
          <t>福晶科技</t>
        </is>
      </c>
      <c r="D5" s="5" t="inlineStr">
        <is>
          <t>军工：军工电子-激光晶体</t>
        </is>
      </c>
      <c r="E5" s="4" t="inlineStr">
        <is>
          <t>摘除</t>
        </is>
      </c>
      <c r="F5" s="4" t="inlineStr">
        <is>
          <t>—</t>
        </is>
      </c>
      <c r="G5" s="5" t="inlineStr">
        <is>
          <t>—</t>
        </is>
      </c>
      <c r="H5" s="4" t="inlineStr">
        <is>
          <t>摘除</t>
        </is>
      </c>
      <c r="I5" s="5" t="inlineStr">
        <is>
          <t>公司主营晶体元器件、精密光学元件和激光器件，年报列示用途为固体及光纤激光器、光通信、AR、激光雷达、半导体设备、工业测量、生命科学和精密仪器等，未披露军用激光器、武器装备型号、军工客户或军品合同，不能因激光晶体具有潜在军事用途就归入红外光电与激光军工概念。2025年光电子行业收入11.5778亿元，占100%；激光光学元器件4.5501亿元，非线性光学晶体2.6669亿元，激光器件2.0405亿元，激光晶体2.0194亿元，其他0.3008亿元，所有分部均未独立披露军工收入。基于现有可核验资料应摘除。旧“军工电子-激光晶体”把通用光电元器件直接等同军工核心，证据不足且定位过度。</t>
        </is>
      </c>
      <c r="J5" s="4" t="inlineStr">
        <is>
          <t>福晶科技：2025年年度报告</t>
        </is>
      </c>
      <c r="K5" s="4" t="inlineStr">
        <is>
          <t>2026-04-29</t>
        </is>
      </c>
      <c r="L5" s="5" t="inlineStr">
        <is>
          <t>iFinD ifind_get_stock_info + ifind_get_stock_business_segmentation (as of 2026-10-27)；福晶科技：2025年年度报告</t>
        </is>
      </c>
      <c r="M5" s="6" t="inlineStr">
        <is>
          <t>https://static.cninfo.com.cn/finalpage/2026-04-29/1225227139.pdf</t>
        </is>
      </c>
    </row>
    <row r="6" ht="96" customHeight="1">
      <c r="B6" s="7" t="inlineStr">
        <is>
          <t>002342</t>
        </is>
      </c>
      <c r="C6" s="7" t="inlineStr">
        <is>
          <t>巨力索具</t>
        </is>
      </c>
      <c r="D6" s="8" t="inlineStr">
        <is>
          <t>军工：军工材料</t>
        </is>
      </c>
      <c r="E6" s="7" t="inlineStr">
        <is>
          <t>摘除</t>
        </is>
      </c>
      <c r="F6" s="7" t="inlineStr">
        <is>
          <t>—</t>
        </is>
      </c>
      <c r="G6" s="8" t="inlineStr">
        <is>
          <t>—</t>
        </is>
      </c>
      <c r="H6" s="7" t="inlineStr">
        <is>
          <t>摘除</t>
        </is>
      </c>
      <c r="I6" s="8" t="inlineStr">
        <is>
          <t>公司实际产品为工程及金属索具、钢丝绳及索具、合成纤维吊装带、链条和夹具吊梁等，应用于工程吊装和通用装备连接，2025年报未披露军用索具型号、军工客户、军品合同或武器装备批量配套，不能仅因索具可能用于舰船、航空或重型装备吊装就认定为军工材料。2025年金属制品业收入10.2495亿元，占39.8764%，通用设备制造业9.9819亿元，占38.8350%，纺织业3.9918亿元，占15.5301%；分产品工程及金属索具12.4897亿元、钢丝绳及索具7.3060亿元、合成纤维吊装带3.9918亿元，均无军工独立拆分。故摘除。旧“军工材料”在产品和材料属性上均不准确，且旧“边缘”也不足以表达缺乏军工落地证据。</t>
        </is>
      </c>
      <c r="J6" s="7" t="inlineStr">
        <is>
          <t>巨力索具：2025年年度报告</t>
        </is>
      </c>
      <c r="K6" s="7" t="inlineStr">
        <is>
          <t>2026-04-10</t>
        </is>
      </c>
      <c r="L6" s="8" t="inlineStr">
        <is>
          <t>iFinD ifind_get_stock_info + ifind_get_stock_business_segmentation (as of 2026-10-27)；巨力索具：2025年年度报告</t>
        </is>
      </c>
      <c r="M6" s="9" t="inlineStr">
        <is>
          <t>https://static.cninfo.com.cn/finalpage/2026-04-10/1225088185.PDF</t>
        </is>
      </c>
    </row>
    <row r="7" ht="96" customHeight="1">
      <c r="B7" s="4" t="inlineStr">
        <is>
          <t>002383</t>
        </is>
      </c>
      <c r="C7" s="4" t="inlineStr">
        <is>
          <t>合众思壮</t>
        </is>
      </c>
      <c r="D7" s="5" t="inlineStr">
        <is>
          <t>军工：军工电子</t>
        </is>
      </c>
      <c r="E7" s="4" t="inlineStr">
        <is>
          <t>摘除</t>
        </is>
      </c>
      <c r="F7" s="4" t="inlineStr">
        <is>
          <t>—</t>
        </is>
      </c>
      <c r="G7" s="5" t="inlineStr">
        <is>
          <t>—</t>
        </is>
      </c>
      <c r="H7" s="4" t="inlineStr">
        <is>
          <t>摘除</t>
        </is>
      </c>
      <c r="I7" s="5" t="inlineStr">
        <is>
          <t>公司主营卫星导航定位软硬件，当前产品集中于测量测绘、建筑施工、资源与公共事业、农机和工程机械智能控制。年报虽提到施工系统可用于国防、机场等工程建设，但这只是高精度定位设备的应用范围描述，未给出军用导航终端、抗干扰军品、军队客户、型号配套或军品合同，不能据此确认军工业务。2025年测量测绘与建筑工程收入5.7122亿元，占41.7133%，资源与公共事业4.3390亿元，占31.6855%，智能制造2.0019亿元，占14.6188%，其他1.6409亿元；卫星导航系统技术及设备收入13.6941亿元，未独立披露军工收入。民用为主且缺乏可核验军用落地，故摘除。旧“军工电子”和“军民两用”表述把潜在用途误作实际业务。</t>
        </is>
      </c>
      <c r="J7" s="4" t="inlineStr">
        <is>
          <t>合众思壮：2025年年度报告</t>
        </is>
      </c>
      <c r="K7" s="4" t="inlineStr">
        <is>
          <t>2026-04-23</t>
        </is>
      </c>
      <c r="L7" s="5" t="inlineStr">
        <is>
          <t>iFinD ifind_get_stock_info + ifind_get_stock_business_segmentation (as of 2026-10-27)；合众思壮：2025年年度报告</t>
        </is>
      </c>
      <c r="M7" s="6" t="inlineStr">
        <is>
          <t>https://static.cninfo.com.cn/finalpage/2026-04-23/1225151761.PDF</t>
        </is>
      </c>
    </row>
    <row r="8" ht="96" customHeight="1">
      <c r="B8" s="7" t="inlineStr">
        <is>
          <t>002724</t>
        </is>
      </c>
      <c r="C8" s="7" t="inlineStr">
        <is>
          <t>海洋王</t>
        </is>
      </c>
      <c r="D8" s="8" t="inlineStr">
        <is>
          <t>军工：军工配套</t>
        </is>
      </c>
      <c r="E8" s="7" t="inlineStr">
        <is>
          <t>摘除</t>
        </is>
      </c>
      <c r="F8" s="7" t="inlineStr">
        <is>
          <t>—</t>
        </is>
      </c>
      <c r="G8" s="8" t="inlineStr">
        <is>
          <t>—</t>
        </is>
      </c>
      <c r="H8" s="7" t="inlineStr">
        <is>
          <t>摘除</t>
        </is>
      </c>
      <c r="I8" s="8" t="inlineStr">
        <is>
          <t>公司实际业务是特殊环境专业照明设备及照明工程，年报虽把军工与石化、电力、煤矿等并列为下游行业，并提到产品应用于部队，但没有披露专门军用照明型号、军队采购项目或军用产品收入，不能由通用防爆、防腐、防水照明可用于部队就推定军工落地。2025年电气机械和器材制造业收入16.0232亿元、占93.0604%，其中照明设备16.0126亿元；建筑工程1.1949亿元、占6.9396%，军工未独立拆分。旧“军工配套”仅概括应用场景，缺乏产品级和订单级证据，且会把多行业工业照明供应商误标为军工企业，故摘除。</t>
        </is>
      </c>
      <c r="J8" s="7" t="inlineStr">
        <is>
          <t>海洋王照明科技股份有限公司2025年年度报告</t>
        </is>
      </c>
      <c r="K8" s="7" t="inlineStr">
        <is>
          <t>2026-04-29</t>
        </is>
      </c>
      <c r="L8" s="8" t="inlineStr">
        <is>
          <t>iFinD ifind_get_stock_info + ifind_get_stock_business_segmentation (as of 2026-10-27)；海洋王照明科技股份有限公司2025年年度报告</t>
        </is>
      </c>
      <c r="M8" s="9" t="inlineStr">
        <is>
          <t>https://static.cninfo.com.cn/finalpage/2026-04-29/1225242473.PDF</t>
        </is>
      </c>
    </row>
    <row r="9" ht="96" customHeight="1">
      <c r="B9" s="4" t="inlineStr">
        <is>
          <t>002747</t>
        </is>
      </c>
      <c r="C9" s="4" t="inlineStr">
        <is>
          <t>埃斯顿</t>
        </is>
      </c>
      <c r="D9" s="5" t="inlineStr">
        <is>
          <t>军工：军用机器人</t>
        </is>
      </c>
      <c r="E9" s="4" t="inlineStr">
        <is>
          <t>摘除</t>
        </is>
      </c>
      <c r="F9" s="4" t="inlineStr">
        <is>
          <t>—</t>
        </is>
      </c>
      <c r="G9" s="5" t="inlineStr">
        <is>
          <t>—</t>
        </is>
      </c>
      <c r="H9" s="4" t="inlineStr">
        <is>
          <t>摘除</t>
        </is>
      </c>
      <c r="I9" s="5" t="inlineStr">
        <is>
          <t>公司主营自动化核心部件、运动控制、工业机器人及智能制造系统，2025年报未检索到军工、国防、防务或军用特种机器人业务披露，现有机器人面向光伏、汽车、锂电、3C等工业制造场景，不能把工业机器人本体和运动控制能力直接等同于军用机器人。2025年仪器仪表制造业收入48.8801亿元、占100%，其中工业机器人及成套设备39.9683亿元、约81.77%，智能装备核心控制功能部件8.9118亿元、约18.23%，没有军工分部。旧“军用机器人”且判核心没有真实军工产品、客户和收入支撑，属于由通用机器人技术作军用想象，故摘除而非改为相关。</t>
        </is>
      </c>
      <c r="J9" s="4" t="inlineStr">
        <is>
          <t>南京埃斯顿自动化股份有限公司2025年年度报告</t>
        </is>
      </c>
      <c r="K9" s="4" t="inlineStr">
        <is>
          <t>2026-03-31</t>
        </is>
      </c>
      <c r="L9" s="5" t="inlineStr">
        <is>
          <t>iFinD ifind_get_stock_info + ifind_get_stock_business_segmentation (as of 2026-10-27)；南京埃斯顿自动化股份有限公司2025年年度报告</t>
        </is>
      </c>
      <c r="M9" s="6" t="inlineStr">
        <is>
          <t>https://static.cninfo.com.cn/finalpage/2026-03-31/1225059898.PDF</t>
        </is>
      </c>
    </row>
    <row r="10" ht="96" customHeight="1">
      <c r="B10" s="7" t="inlineStr">
        <is>
          <t>300627</t>
        </is>
      </c>
      <c r="C10" s="7" t="inlineStr">
        <is>
          <t>华测导航</t>
        </is>
      </c>
      <c r="D10" s="8" t="inlineStr">
        <is>
          <t>军工：卫星-卫星导航</t>
        </is>
      </c>
      <c r="E10" s="7" t="inlineStr">
        <is>
          <t>摘除</t>
        </is>
      </c>
      <c r="F10" s="7" t="inlineStr">
        <is>
          <t>—</t>
        </is>
      </c>
      <c r="G10" s="8" t="inlineStr">
        <is>
          <t>—</t>
        </is>
      </c>
      <c r="H10" s="7" t="inlineStr">
        <is>
          <t>摘除</t>
        </is>
      </c>
      <c r="I10" s="8" t="inlineStr">
        <is>
          <t>公司是高精度GNSS软硬件和时空信息解决方案供应商，2025年报业务板块全部面向智能建造、地理信息、农机导航、机器人和定位服务，未披露军用导航型号、军方客户、军工订单或抗干扰军用终端，不能因北斗/GNSS技术具有潜在军事用途就保留。2025年智能建造与数字施工收入12.6567亿元、占34.2152%，地信与时空智能11.5120亿元、占31.1206%，农机导航与机器人7.5184亿元、占20.3248%，时空感知与定位服务5.3044亿元、占14.3394%，无军工分部。旧“卫星-卫星导航”属于民用技术标签而非军工证据，判相关也缺乏落地支撑，故摘除。</t>
        </is>
      </c>
      <c r="J10" s="7" t="inlineStr">
        <is>
          <t>上海华测导航技术股份有限公司2025年年度报告</t>
        </is>
      </c>
      <c r="K10" s="7" t="inlineStr">
        <is>
          <t>2026-04-17</t>
        </is>
      </c>
      <c r="L10" s="8" t="inlineStr">
        <is>
          <t>iFinD ifind_get_stock_info + ifind_get_stock_business_segmentation (as of 2026-10-27)；上海华测导航技术股份有限公司2025年年度报告</t>
        </is>
      </c>
      <c r="M10" s="9" t="inlineStr">
        <is>
          <t>https://static.cninfo.com.cn/finalpage/2026-04-17/1225114088.PDF</t>
        </is>
      </c>
    </row>
    <row r="11" ht="96" customHeight="1">
      <c r="B11" s="4" t="inlineStr">
        <is>
          <t>600343</t>
        </is>
      </c>
      <c r="C11" s="4" t="inlineStr">
        <is>
          <t>航天动力</t>
        </is>
      </c>
      <c r="D11" s="5" t="inlineStr">
        <is>
          <t>军工：航天-航天发动机</t>
        </is>
      </c>
      <c r="E11" s="4" t="inlineStr">
        <is>
          <t>摘除</t>
        </is>
      </c>
      <c r="F11" s="4" t="inlineStr">
        <is>
          <t>—</t>
        </is>
      </c>
      <c r="G11" s="5" t="inlineStr">
        <is>
          <t>—</t>
        </is>
      </c>
      <c r="H11" s="4" t="inlineStr">
        <is>
          <t>摘除</t>
        </is>
      </c>
      <c r="I11" s="5" t="inlineStr">
        <is>
          <t>年报所列产品为工业往复泵、化工流程泵、大型水利泵、消防泵、工程及乘用车液力变矩器和高压电机，应用与客户主要是油田、水利、工程机械、乘用车等民用领域；输入资料也没有给出导弹、火箭或军用装备的已交付产品、军用场景及主机厂客户。2025年泵及泵系统收入3.9311亿元、液力变矩器2.1554亿元、电机1.3357亿元、流体装备0.5683亿元，制造业收入7.9904亿元、占97.0131%，未独立拆分任何军工或航天发动机收入。航天液体动力技术转化、航天六院背景和GJB体系不能替代军工落地证据，因此摘除。旧“航天-航天发动机”“导弹-动力”把技术来源误当成产品事实，必须纠正。</t>
        </is>
      </c>
      <c r="J11" s="4" t="inlineStr">
        <is>
          <t>航天动力2025年年度报告</t>
        </is>
      </c>
      <c r="K11" s="4" t="inlineStr">
        <is>
          <t>2026-03-31</t>
        </is>
      </c>
      <c r="L11" s="5" t="inlineStr">
        <is>
          <t>iFinD ifind_get_stock_info + ifind_get_stock_business_segmentation (as of 2026-10-27)；航天动力2025年年度报告</t>
        </is>
      </c>
      <c r="M11" s="6" t="inlineStr">
        <is>
          <t>https://www.sse.com.cn/disclosure/listedinfo/announcement/c/new/2026-03-31/600343_20260331_GHRW.pdf</t>
        </is>
      </c>
    </row>
    <row r="12" ht="96" customHeight="1">
      <c r="B12" s="7" t="inlineStr">
        <is>
          <t>600698</t>
        </is>
      </c>
      <c r="C12" s="7" t="inlineStr">
        <is>
          <t>湖南天雁</t>
        </is>
      </c>
      <c r="D12" s="8" t="inlineStr">
        <is>
          <t>军工：军工配套</t>
        </is>
      </c>
      <c r="E12" s="7" t="inlineStr">
        <is>
          <t>摘除</t>
        </is>
      </c>
      <c r="F12" s="7" t="inlineStr">
        <is>
          <t>—</t>
        </is>
      </c>
      <c r="G12" s="8" t="inlineStr">
        <is>
          <t>—</t>
        </is>
      </c>
      <c r="H12" s="7" t="inlineStr">
        <is>
          <t>摘除</t>
        </is>
      </c>
      <c r="I12" s="8" t="inlineStr">
        <is>
          <t>公司当前可核验产品为发动机涡轮增压器、气门以及汽车热管理、底盘和电驱系统的泵阀、执行元件，2025年报经营与客户描述集中于汽车整车配套和售后市场，没有披露具体军用型号、军工主机厂客户或军品交付金额。“国家特种涡轮增压器定点研制生产基地”等历史表述不能单独证明当期形成军工业务，也不能把普通增压器可装特种车辆作为落地证据。2025年汽车零部件收入5.1271亿元、占99.3689%，增压器4.3934亿元、气门0.5364亿元，未独立拆分军品收入。基于民用主业与证据不足应摘除；旧“军工配套”主要依赖兵装背景和泛化配套想象，必须纠正而非保留。</t>
        </is>
      </c>
      <c r="J12" s="7" t="inlineStr">
        <is>
          <t>湖南天雁机械股份有限公司2025年年度报告</t>
        </is>
      </c>
      <c r="K12" s="7" t="inlineStr">
        <is>
          <t>2026-04-25</t>
        </is>
      </c>
      <c r="L12" s="8" t="inlineStr">
        <is>
          <t>iFinD ifind_get_stock_info + ifind_get_stock_business_segmentation (as of 2026-10-27)；湖南天雁机械股份有限公司2025年年度报告</t>
        </is>
      </c>
      <c r="M12" s="9" t="inlineStr">
        <is>
          <t>https://www.sse.com.cn/disclosure/listedinfo/announcement/c/new/2026-04-25/600698_20260425_54WK.pdf</t>
        </is>
      </c>
    </row>
  </sheetData>
  <autoFilter ref="B4:M12"/>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军工</t>
        </is>
      </c>
      <c r="B2" t="inlineStr">
        <is>
          <t>弹药与特种装备</t>
        </is>
      </c>
      <c r="C2" t="inlineStr">
        <is>
          <t>核心</t>
        </is>
      </c>
      <c r="D2" t="inlineStr">
        <is>
          <t>000519</t>
        </is>
      </c>
      <c r="E2" t="inlineStr">
        <is>
          <t>中兵红箭</t>
        </is>
      </c>
    </row>
    <row r="3">
      <c r="A3" t="inlineStr">
        <is>
          <t>军工</t>
        </is>
      </c>
      <c r="B3" t="inlineStr">
        <is>
          <t>电子对抗与蓝军仿真</t>
        </is>
      </c>
      <c r="C3" t="inlineStr">
        <is>
          <t>核心</t>
        </is>
      </c>
      <c r="D3" t="inlineStr">
        <is>
          <t>000547</t>
        </is>
      </c>
      <c r="E3" t="inlineStr">
        <is>
          <t>航天发展</t>
        </is>
      </c>
    </row>
    <row r="4">
      <c r="A4" t="inlineStr">
        <is>
          <t>军工</t>
        </is>
      </c>
      <c r="B4" t="inlineStr">
        <is>
          <t>军用通信与指挥控制</t>
        </is>
      </c>
      <c r="C4" t="inlineStr">
        <is>
          <t>核心</t>
        </is>
      </c>
      <c r="D4" t="inlineStr">
        <is>
          <t>000547</t>
        </is>
      </c>
      <c r="E4" t="inlineStr">
        <is>
          <t>航天发展</t>
        </is>
      </c>
    </row>
    <row r="5">
      <c r="A5" t="inlineStr">
        <is>
          <t>军工</t>
        </is>
      </c>
      <c r="B5" t="inlineStr">
        <is>
          <t>军用通信与指挥控制</t>
        </is>
      </c>
      <c r="C5" t="inlineStr">
        <is>
          <t>核心</t>
        </is>
      </c>
      <c r="D5" t="inlineStr">
        <is>
          <t>000561</t>
        </is>
      </c>
      <c r="E5" t="inlineStr">
        <is>
          <t>烽火电子</t>
        </is>
      </c>
    </row>
    <row r="6">
      <c r="A6" t="inlineStr">
        <is>
          <t>军工</t>
        </is>
      </c>
      <c r="B6" t="inlineStr">
        <is>
          <t>雷达与预警探测</t>
        </is>
      </c>
      <c r="C6" t="inlineStr">
        <is>
          <t>核心</t>
        </is>
      </c>
      <c r="D6" t="inlineStr">
        <is>
          <t>000561</t>
        </is>
      </c>
      <c r="E6" t="inlineStr">
        <is>
          <t>烽火电子</t>
        </is>
      </c>
    </row>
    <row r="7">
      <c r="A7" t="inlineStr">
        <is>
          <t>军工</t>
        </is>
      </c>
      <c r="B7" t="inlineStr">
        <is>
          <t>航空机载系统与航电</t>
        </is>
      </c>
      <c r="C7" t="inlineStr">
        <is>
          <t>核心</t>
        </is>
      </c>
      <c r="D7" t="inlineStr">
        <is>
          <t>000561</t>
        </is>
      </c>
      <c r="E7" t="inlineStr">
        <is>
          <t>烽火电子</t>
        </is>
      </c>
    </row>
    <row r="8">
      <c r="A8" t="inlineStr">
        <is>
          <t>军工</t>
        </is>
      </c>
      <c r="B8" t="inlineStr">
        <is>
          <t>军工电源与电机电气</t>
        </is>
      </c>
      <c r="C8" t="inlineStr">
        <is>
          <t>核心</t>
        </is>
      </c>
      <c r="D8" t="inlineStr">
        <is>
          <t>000576</t>
        </is>
      </c>
      <c r="E8" t="inlineStr">
        <is>
          <t>甘化科工</t>
        </is>
      </c>
    </row>
    <row r="9">
      <c r="A9" t="inlineStr">
        <is>
          <t>军工</t>
        </is>
      </c>
      <c r="B9" t="inlineStr">
        <is>
          <t>弹药与特种装备</t>
        </is>
      </c>
      <c r="C9" t="inlineStr">
        <is>
          <t>核心</t>
        </is>
      </c>
      <c r="D9" t="inlineStr">
        <is>
          <t>000576</t>
        </is>
      </c>
      <c r="E9" t="inlineStr">
        <is>
          <t>甘化科工</t>
        </is>
      </c>
    </row>
    <row r="10">
      <c r="A10" t="inlineStr">
        <is>
          <t>军工</t>
        </is>
      </c>
      <c r="B10" t="inlineStr">
        <is>
          <t>红外光电与激光</t>
        </is>
      </c>
      <c r="C10" t="inlineStr">
        <is>
          <t>核心</t>
        </is>
      </c>
      <c r="D10" t="inlineStr">
        <is>
          <t>000576</t>
        </is>
      </c>
      <c r="E10" t="inlineStr">
        <is>
          <t>甘化科工</t>
        </is>
      </c>
    </row>
    <row r="11">
      <c r="A11" t="inlineStr">
        <is>
          <t>军工</t>
        </is>
      </c>
      <c r="B11" t="inlineStr">
        <is>
          <t>军工被动元件与连接器</t>
        </is>
      </c>
      <c r="C11" t="inlineStr">
        <is>
          <t>核心</t>
        </is>
      </c>
      <c r="D11" t="inlineStr">
        <is>
          <t>000733</t>
        </is>
      </c>
      <c r="E11" t="inlineStr">
        <is>
          <t>振华科技</t>
        </is>
      </c>
    </row>
    <row r="12">
      <c r="A12" t="inlineStr">
        <is>
          <t>军工</t>
        </is>
      </c>
      <c r="B12" t="inlineStr">
        <is>
          <t>军工芯片与特种集成电路</t>
        </is>
      </c>
      <c r="C12" t="inlineStr">
        <is>
          <t>核心</t>
        </is>
      </c>
      <c r="D12" t="inlineStr">
        <is>
          <t>000733</t>
        </is>
      </c>
      <c r="E12" t="inlineStr">
        <is>
          <t>振华科技</t>
        </is>
      </c>
    </row>
    <row r="13">
      <c r="A13" t="inlineStr">
        <is>
          <t>军工</t>
        </is>
      </c>
      <c r="B13" t="inlineStr">
        <is>
          <t>军工电源与电机电气</t>
        </is>
      </c>
      <c r="C13" t="inlineStr">
        <is>
          <t>核心</t>
        </is>
      </c>
      <c r="D13" t="inlineStr">
        <is>
          <t>000733</t>
        </is>
      </c>
      <c r="E13" t="inlineStr">
        <is>
          <t>振华科技</t>
        </is>
      </c>
    </row>
    <row r="14">
      <c r="A14" t="inlineStr">
        <is>
          <t>军工</t>
        </is>
      </c>
      <c r="B14" t="inlineStr">
        <is>
          <t>航空发动机与燃气轮机</t>
        </is>
      </c>
      <c r="C14" t="inlineStr">
        <is>
          <t>核心</t>
        </is>
      </c>
      <c r="D14" t="inlineStr">
        <is>
          <t>000738</t>
        </is>
      </c>
      <c r="E14" t="inlineStr">
        <is>
          <t>航发控制</t>
        </is>
      </c>
    </row>
    <row r="15">
      <c r="A15" t="inlineStr">
        <is>
          <t>军工</t>
        </is>
      </c>
      <c r="B15" t="inlineStr">
        <is>
          <t>航空整机-固定翼</t>
        </is>
      </c>
      <c r="C15" t="inlineStr">
        <is>
          <t>核心</t>
        </is>
      </c>
      <c r="D15" t="inlineStr">
        <is>
          <t>000768</t>
        </is>
      </c>
      <c r="E15" t="inlineStr">
        <is>
          <t>中航西飞</t>
        </is>
      </c>
    </row>
    <row r="16">
      <c r="A16" t="inlineStr">
        <is>
          <t>军工</t>
        </is>
      </c>
      <c r="B16" t="inlineStr">
        <is>
          <t>航空结构件与锻铸件</t>
        </is>
      </c>
      <c r="C16" t="inlineStr">
        <is>
          <t>核心</t>
        </is>
      </c>
      <c r="D16" t="inlineStr">
        <is>
          <t>000768</t>
        </is>
      </c>
      <c r="E16" t="inlineStr">
        <is>
          <t>中航西飞</t>
        </is>
      </c>
    </row>
    <row r="17">
      <c r="A17" t="inlineStr">
        <is>
          <t>军工</t>
        </is>
      </c>
      <c r="B17" t="inlineStr">
        <is>
          <t>军用导航与惯导</t>
        </is>
      </c>
      <c r="C17" t="inlineStr">
        <is>
          <t>相关</t>
        </is>
      </c>
      <c r="D17" t="inlineStr">
        <is>
          <t>000901</t>
        </is>
      </c>
      <c r="E17" t="inlineStr">
        <is>
          <t>航天科技</t>
        </is>
      </c>
    </row>
    <row r="18">
      <c r="A18" t="inlineStr">
        <is>
          <t>军工</t>
        </is>
      </c>
      <c r="B18" t="inlineStr">
        <is>
          <t>航天装备与分系统</t>
        </is>
      </c>
      <c r="C18" t="inlineStr">
        <is>
          <t>相关</t>
        </is>
      </c>
      <c r="D18" t="inlineStr">
        <is>
          <t>000901</t>
        </is>
      </c>
      <c r="E18" t="inlineStr">
        <is>
          <t>航天科技</t>
        </is>
      </c>
    </row>
    <row r="19">
      <c r="A19" t="inlineStr">
        <is>
          <t>军工</t>
        </is>
      </c>
      <c r="B19" t="inlineStr">
        <is>
          <t>军工被动元件与连接器</t>
        </is>
      </c>
      <c r="C19" t="inlineStr">
        <is>
          <t>核心</t>
        </is>
      </c>
      <c r="D19" t="inlineStr">
        <is>
          <t>002025</t>
        </is>
      </c>
      <c r="E19" t="inlineStr">
        <is>
          <t>航天电器</t>
        </is>
      </c>
    </row>
    <row r="20">
      <c r="A20" t="inlineStr">
        <is>
          <t>军工</t>
        </is>
      </c>
      <c r="B20" t="inlineStr">
        <is>
          <t>军工电源与电机电气</t>
        </is>
      </c>
      <c r="C20" t="inlineStr">
        <is>
          <t>核心</t>
        </is>
      </c>
      <c r="D20" t="inlineStr">
        <is>
          <t>002025</t>
        </is>
      </c>
      <c r="E20" t="inlineStr">
        <is>
          <t>航天电器</t>
        </is>
      </c>
    </row>
    <row r="21">
      <c r="A21" t="inlineStr">
        <is>
          <t>军工</t>
        </is>
      </c>
      <c r="B21" t="inlineStr">
        <is>
          <t>军工芯片与特种集成电路</t>
        </is>
      </c>
      <c r="C21" t="inlineStr">
        <is>
          <t>核心</t>
        </is>
      </c>
      <c r="D21" t="inlineStr">
        <is>
          <t>002049</t>
        </is>
      </c>
      <c r="E21" t="inlineStr">
        <is>
          <t>紫光国微</t>
        </is>
      </c>
    </row>
    <row r="22">
      <c r="A22" t="inlineStr">
        <is>
          <t>军工</t>
        </is>
      </c>
      <c r="B22" t="inlineStr">
        <is>
          <t>航空地面保障装备</t>
        </is>
      </c>
      <c r="C22" t="inlineStr">
        <is>
          <t>相关</t>
        </is>
      </c>
      <c r="D22" t="inlineStr">
        <is>
          <t>002111</t>
        </is>
      </c>
      <c r="E22" t="inlineStr">
        <is>
          <t>威海广泰</t>
        </is>
      </c>
    </row>
    <row r="23">
      <c r="A23" t="inlineStr">
        <is>
          <t>军工</t>
        </is>
      </c>
      <c r="B23" t="inlineStr">
        <is>
          <t>军用无人装备与机器人</t>
        </is>
      </c>
      <c r="C23" t="inlineStr">
        <is>
          <t>相关</t>
        </is>
      </c>
      <c r="D23" t="inlineStr">
        <is>
          <t>002111</t>
        </is>
      </c>
      <c r="E23" t="inlineStr">
        <is>
          <t>威海广泰</t>
        </is>
      </c>
    </row>
    <row r="24">
      <c r="A24" t="inlineStr">
        <is>
          <t>军工</t>
        </is>
      </c>
      <c r="B24" t="inlineStr">
        <is>
          <t>军工材料-钛合金与高温合金</t>
        </is>
      </c>
      <c r="C24" t="inlineStr">
        <is>
          <t>相关</t>
        </is>
      </c>
      <c r="D24" t="inlineStr">
        <is>
          <t>002149</t>
        </is>
      </c>
      <c r="E24" t="inlineStr">
        <is>
          <t>西部材料</t>
        </is>
      </c>
    </row>
    <row r="25">
      <c r="A25" t="inlineStr">
        <is>
          <t>军工</t>
        </is>
      </c>
      <c r="B25" t="inlineStr">
        <is>
          <t>军工材料-其他关键材料</t>
        </is>
      </c>
      <c r="C25" t="inlineStr">
        <is>
          <t>相关</t>
        </is>
      </c>
      <c r="D25" t="inlineStr">
        <is>
          <t>002149</t>
        </is>
      </c>
      <c r="E25" t="inlineStr">
        <is>
          <t>西部材料</t>
        </is>
      </c>
    </row>
    <row r="26">
      <c r="A26" t="inlineStr">
        <is>
          <t>军工</t>
        </is>
      </c>
      <c r="B26" t="inlineStr">
        <is>
          <t>军用导航与惯导</t>
        </is>
      </c>
      <c r="C26" t="inlineStr">
        <is>
          <t>相关</t>
        </is>
      </c>
      <c r="D26" t="inlineStr">
        <is>
          <t>002151</t>
        </is>
      </c>
      <c r="E26" t="inlineStr">
        <is>
          <t>北斗星通</t>
        </is>
      </c>
    </row>
    <row r="27">
      <c r="A27" t="inlineStr">
        <is>
          <t>军工</t>
        </is>
      </c>
      <c r="B27" t="inlineStr">
        <is>
          <t>军工芯片与特种集成电路</t>
        </is>
      </c>
      <c r="C27" t="inlineStr">
        <is>
          <t>相关</t>
        </is>
      </c>
      <c r="D27" t="inlineStr">
        <is>
          <t>002151</t>
        </is>
      </c>
      <c r="E27" t="inlineStr">
        <is>
          <t>北斗星通</t>
        </is>
      </c>
    </row>
    <row r="28">
      <c r="A28" t="inlineStr">
        <is>
          <t>军工</t>
        </is>
      </c>
      <c r="B28" t="inlineStr">
        <is>
          <t>军工被动元件与连接器</t>
        </is>
      </c>
      <c r="C28" t="inlineStr">
        <is>
          <t>核心</t>
        </is>
      </c>
      <c r="D28" t="inlineStr">
        <is>
          <t>002179</t>
        </is>
      </c>
      <c r="E28" t="inlineStr">
        <is>
          <t>中航光电</t>
        </is>
      </c>
    </row>
    <row r="29">
      <c r="A29" t="inlineStr">
        <is>
          <t>军工</t>
        </is>
      </c>
      <c r="B29" t="inlineStr">
        <is>
          <t>航空结构件与锻铸件</t>
        </is>
      </c>
      <c r="C29" t="inlineStr">
        <is>
          <t>相关</t>
        </is>
      </c>
      <c r="D29" t="inlineStr">
        <is>
          <t>002190</t>
        </is>
      </c>
      <c r="E29" t="inlineStr">
        <is>
          <t>成飞集成</t>
        </is>
      </c>
    </row>
    <row r="30">
      <c r="A30" t="inlineStr">
        <is>
          <t>军工</t>
        </is>
      </c>
      <c r="B30" t="inlineStr">
        <is>
          <t>枪械与单兵装备</t>
        </is>
      </c>
      <c r="C30" t="inlineStr">
        <is>
          <t>核心</t>
        </is>
      </c>
      <c r="D30" t="inlineStr">
        <is>
          <t>002265</t>
        </is>
      </c>
      <c r="E30" t="inlineStr">
        <is>
          <t>建设工业</t>
        </is>
      </c>
    </row>
    <row r="31">
      <c r="A31" t="inlineStr">
        <is>
          <t>军工</t>
        </is>
      </c>
      <c r="B31" t="inlineStr">
        <is>
          <t>军用无人装备与机器人</t>
        </is>
      </c>
      <c r="C31" t="inlineStr">
        <is>
          <t>核心</t>
        </is>
      </c>
      <c r="D31" t="inlineStr">
        <is>
          <t>002389</t>
        </is>
      </c>
      <c r="E31" t="inlineStr">
        <is>
          <t>航天彩虹</t>
        </is>
      </c>
    </row>
    <row r="32">
      <c r="A32" t="inlineStr">
        <is>
          <t>军工</t>
        </is>
      </c>
      <c r="B32" t="inlineStr">
        <is>
          <t>导弹与精确制导</t>
        </is>
      </c>
      <c r="C32" t="inlineStr">
        <is>
          <t>核心</t>
        </is>
      </c>
      <c r="D32" t="inlineStr">
        <is>
          <t>002389</t>
        </is>
      </c>
      <c r="E32" t="inlineStr">
        <is>
          <t>航天彩虹</t>
        </is>
      </c>
    </row>
    <row r="33">
      <c r="A33" t="inlineStr">
        <is>
          <t>军工</t>
        </is>
      </c>
      <c r="B33" t="inlineStr">
        <is>
          <t>红外光电与激光</t>
        </is>
      </c>
      <c r="C33" t="inlineStr">
        <is>
          <t>核心</t>
        </is>
      </c>
      <c r="D33" t="inlineStr">
        <is>
          <t>002414</t>
        </is>
      </c>
      <c r="E33" t="inlineStr">
        <is>
          <t>高德红外</t>
        </is>
      </c>
    </row>
    <row r="34">
      <c r="A34" t="inlineStr">
        <is>
          <t>军工</t>
        </is>
      </c>
      <c r="B34" t="inlineStr">
        <is>
          <t>弹药与特种装备</t>
        </is>
      </c>
      <c r="C34" t="inlineStr">
        <is>
          <t>核心</t>
        </is>
      </c>
      <c r="D34" t="inlineStr">
        <is>
          <t>002414</t>
        </is>
      </c>
      <c r="E34" t="inlineStr">
        <is>
          <t>高德红外</t>
        </is>
      </c>
    </row>
    <row r="35">
      <c r="A35" t="inlineStr">
        <is>
          <t>军工</t>
        </is>
      </c>
      <c r="B35" t="inlineStr">
        <is>
          <t>军用通信与指挥控制</t>
        </is>
      </c>
      <c r="C35" t="inlineStr">
        <is>
          <t>核心</t>
        </is>
      </c>
      <c r="D35" t="inlineStr">
        <is>
          <t>002465</t>
        </is>
      </c>
      <c r="E35" t="inlineStr">
        <is>
          <t>海格通信</t>
        </is>
      </c>
    </row>
    <row r="36">
      <c r="A36" t="inlineStr">
        <is>
          <t>军工</t>
        </is>
      </c>
      <c r="B36" t="inlineStr">
        <is>
          <t>军用导航与惯导</t>
        </is>
      </c>
      <c r="C36" t="inlineStr">
        <is>
          <t>核心</t>
        </is>
      </c>
      <c r="D36" t="inlineStr">
        <is>
          <t>002465</t>
        </is>
      </c>
      <c r="E36" t="inlineStr">
        <is>
          <t>海格通信</t>
        </is>
      </c>
    </row>
    <row r="37">
      <c r="A37" t="inlineStr">
        <is>
          <t>军工</t>
        </is>
      </c>
      <c r="B37" t="inlineStr">
        <is>
          <t>军事仿真与军工软件</t>
        </is>
      </c>
      <c r="C37" t="inlineStr">
        <is>
          <t>核心</t>
        </is>
      </c>
      <c r="D37" t="inlineStr">
        <is>
          <t>002465</t>
        </is>
      </c>
      <c r="E37" t="inlineStr">
        <is>
          <t>海格通信</t>
        </is>
      </c>
    </row>
    <row r="38">
      <c r="A38" t="inlineStr">
        <is>
          <t>军工</t>
        </is>
      </c>
      <c r="B38" t="inlineStr">
        <is>
          <t>军工电源与电机电气</t>
        </is>
      </c>
      <c r="C38" t="inlineStr">
        <is>
          <t>核心</t>
        </is>
      </c>
      <c r="D38" t="inlineStr">
        <is>
          <t>002519</t>
        </is>
      </c>
      <c r="E38" t="inlineStr">
        <is>
          <t>银河电子</t>
        </is>
      </c>
    </row>
    <row r="39">
      <c r="A39" t="inlineStr">
        <is>
          <t>军工</t>
        </is>
      </c>
      <c r="B39" t="inlineStr">
        <is>
          <t>地面武器与装甲车辆</t>
        </is>
      </c>
      <c r="C39" t="inlineStr">
        <is>
          <t>核心</t>
        </is>
      </c>
      <c r="D39" t="inlineStr">
        <is>
          <t>002519</t>
        </is>
      </c>
      <c r="E39" t="inlineStr">
        <is>
          <t>银河电子</t>
        </is>
      </c>
    </row>
    <row r="40">
      <c r="A40" t="inlineStr">
        <is>
          <t>军工</t>
        </is>
      </c>
      <c r="B40" t="inlineStr">
        <is>
          <t>军工配套-通用零部件</t>
        </is>
      </c>
      <c r="C40" t="inlineStr">
        <is>
          <t>相关</t>
        </is>
      </c>
      <c r="D40" t="inlineStr">
        <is>
          <t>002535</t>
        </is>
      </c>
      <c r="E40" t="inlineStr">
        <is>
          <t>林州重机</t>
        </is>
      </c>
    </row>
    <row r="41">
      <c r="A41" t="inlineStr">
        <is>
          <t>军工</t>
        </is>
      </c>
      <c r="B41" t="inlineStr">
        <is>
          <t>军工材料-超材料与隐身材料</t>
        </is>
      </c>
      <c r="C41" t="inlineStr">
        <is>
          <t>核心</t>
        </is>
      </c>
      <c r="D41" t="inlineStr">
        <is>
          <t>002625</t>
        </is>
      </c>
      <c r="E41" t="inlineStr">
        <is>
          <t>光启技术</t>
        </is>
      </c>
    </row>
    <row r="42">
      <c r="A42" t="inlineStr">
        <is>
          <t>军工</t>
        </is>
      </c>
      <c r="B42" t="inlineStr">
        <is>
          <t>船舶总装与海洋防务</t>
        </is>
      </c>
      <c r="C42" t="inlineStr">
        <is>
          <t>相关</t>
        </is>
      </c>
      <c r="D42" t="inlineStr">
        <is>
          <t>300008</t>
        </is>
      </c>
      <c r="E42" t="inlineStr">
        <is>
          <t>天海防务</t>
        </is>
      </c>
    </row>
    <row r="43">
      <c r="A43" t="inlineStr">
        <is>
          <t>军工</t>
        </is>
      </c>
      <c r="B43" t="inlineStr">
        <is>
          <t>军用无人装备与机器人</t>
        </is>
      </c>
      <c r="C43" t="inlineStr">
        <is>
          <t>相关</t>
        </is>
      </c>
      <c r="D43" t="inlineStr">
        <is>
          <t>300008</t>
        </is>
      </c>
      <c r="E43" t="inlineStr">
        <is>
          <t>天海防务</t>
        </is>
      </c>
    </row>
    <row r="44">
      <c r="A44" t="inlineStr">
        <is>
          <t>军工</t>
        </is>
      </c>
      <c r="B44" t="inlineStr">
        <is>
          <t>军用无人装备与机器人</t>
        </is>
      </c>
      <c r="C44" t="inlineStr">
        <is>
          <t>相关</t>
        </is>
      </c>
      <c r="D44" t="inlineStr">
        <is>
          <t>300024</t>
        </is>
      </c>
      <c r="E44" t="inlineStr">
        <is>
          <t>机器人</t>
        </is>
      </c>
    </row>
    <row r="45">
      <c r="A45" t="inlineStr">
        <is>
          <t>军工</t>
        </is>
      </c>
      <c r="B45" t="inlineStr">
        <is>
          <t>军工材料-钛合金与高温合金</t>
        </is>
      </c>
      <c r="C45" t="inlineStr">
        <is>
          <t>核心</t>
        </is>
      </c>
      <c r="D45" t="inlineStr">
        <is>
          <t>300034</t>
        </is>
      </c>
      <c r="E45" t="inlineStr">
        <is>
          <t>钢研高纳</t>
        </is>
      </c>
    </row>
    <row r="46">
      <c r="A46" t="inlineStr">
        <is>
          <t>军工</t>
        </is>
      </c>
      <c r="B46" t="inlineStr">
        <is>
          <t>军工芯片与特种集成电路</t>
        </is>
      </c>
      <c r="C46" t="inlineStr">
        <is>
          <t>核心</t>
        </is>
      </c>
      <c r="D46" t="inlineStr">
        <is>
          <t>300101</t>
        </is>
      </c>
      <c r="E46" t="inlineStr">
        <is>
          <t>振芯科技</t>
        </is>
      </c>
    </row>
    <row r="47">
      <c r="A47" t="inlineStr">
        <is>
          <t>军工</t>
        </is>
      </c>
      <c r="B47" t="inlineStr">
        <is>
          <t>军用导航与惯导</t>
        </is>
      </c>
      <c r="C47" t="inlineStr">
        <is>
          <t>核心</t>
        </is>
      </c>
      <c r="D47" t="inlineStr">
        <is>
          <t>300101</t>
        </is>
      </c>
      <c r="E47" t="inlineStr">
        <is>
          <t>振芯科技</t>
        </is>
      </c>
    </row>
    <row r="48">
      <c r="A48" t="inlineStr">
        <is>
          <t>军工</t>
        </is>
      </c>
      <c r="B48" t="inlineStr">
        <is>
          <t>军工材料-特种玻璃与石英</t>
        </is>
      </c>
      <c r="C48" t="inlineStr">
        <is>
          <t>相关</t>
        </is>
      </c>
      <c r="D48" t="inlineStr">
        <is>
          <t>300395</t>
        </is>
      </c>
      <c r="E48" t="inlineStr">
        <is>
          <t>菲利华</t>
        </is>
      </c>
    </row>
    <row r="49">
      <c r="A49" t="inlineStr">
        <is>
          <t>军工</t>
        </is>
      </c>
      <c r="B49" t="inlineStr">
        <is>
          <t>军用导航与惯导</t>
        </is>
      </c>
      <c r="C49" t="inlineStr">
        <is>
          <t>核心</t>
        </is>
      </c>
      <c r="D49" t="inlineStr">
        <is>
          <t>300581</t>
        </is>
      </c>
      <c r="E49" t="inlineStr">
        <is>
          <t>晨曦航空</t>
        </is>
      </c>
    </row>
    <row r="50">
      <c r="A50" t="inlineStr">
        <is>
          <t>军工</t>
        </is>
      </c>
      <c r="B50" t="inlineStr">
        <is>
          <t>航空机载系统与航电</t>
        </is>
      </c>
      <c r="C50" t="inlineStr">
        <is>
          <t>核心</t>
        </is>
      </c>
      <c r="D50" t="inlineStr">
        <is>
          <t>300581</t>
        </is>
      </c>
      <c r="E50" t="inlineStr">
        <is>
          <t>晨曦航空</t>
        </is>
      </c>
    </row>
    <row r="51">
      <c r="A51" t="inlineStr">
        <is>
          <t>军工</t>
        </is>
      </c>
      <c r="B51" t="inlineStr">
        <is>
          <t>船舶总装与海洋防务</t>
        </is>
      </c>
      <c r="C51" t="inlineStr">
        <is>
          <t>相关</t>
        </is>
      </c>
      <c r="D51" t="inlineStr">
        <is>
          <t>300589</t>
        </is>
      </c>
      <c r="E51" t="inlineStr">
        <is>
          <t>江龙船艇</t>
        </is>
      </c>
    </row>
    <row r="52">
      <c r="A52" t="inlineStr">
        <is>
          <t>军工</t>
        </is>
      </c>
      <c r="B52" t="inlineStr">
        <is>
          <t>军工电源与电机电气</t>
        </is>
      </c>
      <c r="C52" t="inlineStr">
        <is>
          <t>核心</t>
        </is>
      </c>
      <c r="D52" t="inlineStr">
        <is>
          <t>300593</t>
        </is>
      </c>
      <c r="E52" t="inlineStr">
        <is>
          <t>新雷能</t>
        </is>
      </c>
    </row>
    <row r="53">
      <c r="A53" t="inlineStr">
        <is>
          <t>军工</t>
        </is>
      </c>
      <c r="B53" t="inlineStr">
        <is>
          <t>军工芯片与特种集成电路</t>
        </is>
      </c>
      <c r="C53" t="inlineStr">
        <is>
          <t>核心</t>
        </is>
      </c>
      <c r="D53" t="inlineStr">
        <is>
          <t>300593</t>
        </is>
      </c>
      <c r="E53" t="inlineStr">
        <is>
          <t>新雷能</t>
        </is>
      </c>
    </row>
    <row r="54">
      <c r="A54" t="inlineStr">
        <is>
          <t>军工</t>
        </is>
      </c>
      <c r="B54" t="inlineStr">
        <is>
          <t>航空结构件与锻铸件</t>
        </is>
      </c>
      <c r="C54" t="inlineStr">
        <is>
          <t>核心</t>
        </is>
      </c>
      <c r="D54" t="inlineStr">
        <is>
          <t>300696</t>
        </is>
      </c>
      <c r="E54" t="inlineStr">
        <is>
          <t>爱乐达</t>
        </is>
      </c>
    </row>
    <row r="55">
      <c r="A55" t="inlineStr">
        <is>
          <t>军工</t>
        </is>
      </c>
      <c r="B55" t="inlineStr">
        <is>
          <t>军工材料-碳纤维与复合材料</t>
        </is>
      </c>
      <c r="C55" t="inlineStr">
        <is>
          <t>核心</t>
        </is>
      </c>
      <c r="D55" t="inlineStr">
        <is>
          <t>300699</t>
        </is>
      </c>
      <c r="E55" t="inlineStr">
        <is>
          <t>光威复材</t>
        </is>
      </c>
    </row>
    <row r="56">
      <c r="A56" t="inlineStr">
        <is>
          <t>军工</t>
        </is>
      </c>
      <c r="B56" t="inlineStr">
        <is>
          <t>军工被动元件与连接器</t>
        </is>
      </c>
      <c r="C56" t="inlineStr">
        <is>
          <t>核心</t>
        </is>
      </c>
      <c r="D56" t="inlineStr">
        <is>
          <t>300726</t>
        </is>
      </c>
      <c r="E56" t="inlineStr">
        <is>
          <t>宏达电子</t>
        </is>
      </c>
    </row>
    <row r="57">
      <c r="A57" t="inlineStr">
        <is>
          <t>军工</t>
        </is>
      </c>
      <c r="B57" t="inlineStr">
        <is>
          <t>军工电源与电机电气</t>
        </is>
      </c>
      <c r="C57" t="inlineStr">
        <is>
          <t>核心</t>
        </is>
      </c>
      <c r="D57" t="inlineStr">
        <is>
          <t>300726</t>
        </is>
      </c>
      <c r="E57" t="inlineStr">
        <is>
          <t>宏达电子</t>
        </is>
      </c>
    </row>
    <row r="58">
      <c r="A58" t="inlineStr">
        <is>
          <t>军工</t>
        </is>
      </c>
      <c r="B58" t="inlineStr">
        <is>
          <t>航空结构件与锻铸件</t>
        </is>
      </c>
      <c r="C58" t="inlineStr">
        <is>
          <t>核心</t>
        </is>
      </c>
      <c r="D58" t="inlineStr">
        <is>
          <t>300775</t>
        </is>
      </c>
      <c r="E58" t="inlineStr">
        <is>
          <t>三角防务</t>
        </is>
      </c>
    </row>
    <row r="59">
      <c r="A59" t="inlineStr">
        <is>
          <t>军工</t>
        </is>
      </c>
      <c r="B59" t="inlineStr">
        <is>
          <t>航空发动机与燃气轮机</t>
        </is>
      </c>
      <c r="C59" t="inlineStr">
        <is>
          <t>核心</t>
        </is>
      </c>
      <c r="D59" t="inlineStr">
        <is>
          <t>300775</t>
        </is>
      </c>
      <c r="E59" t="inlineStr">
        <is>
          <t>三角防务</t>
        </is>
      </c>
    </row>
    <row r="60">
      <c r="A60" t="inlineStr">
        <is>
          <t>军工</t>
        </is>
      </c>
      <c r="B60" t="inlineStr">
        <is>
          <t>军工材料-碳纤维与复合材料</t>
        </is>
      </c>
      <c r="C60" t="inlineStr">
        <is>
          <t>核心</t>
        </is>
      </c>
      <c r="D60" t="inlineStr">
        <is>
          <t>300777</t>
        </is>
      </c>
      <c r="E60" t="inlineStr">
        <is>
          <t>中简科技</t>
        </is>
      </c>
    </row>
    <row r="61">
      <c r="A61" t="inlineStr">
        <is>
          <t>军工</t>
        </is>
      </c>
      <c r="B61" t="inlineStr">
        <is>
          <t>水声与海洋电子</t>
        </is>
      </c>
      <c r="C61" t="inlineStr">
        <is>
          <t>核心</t>
        </is>
      </c>
      <c r="D61" t="inlineStr">
        <is>
          <t>300810</t>
        </is>
      </c>
      <c r="E61" t="inlineStr">
        <is>
          <t>中科海讯</t>
        </is>
      </c>
    </row>
    <row r="62">
      <c r="A62" t="inlineStr">
        <is>
          <t>军工</t>
        </is>
      </c>
      <c r="B62" t="inlineStr">
        <is>
          <t>军事仿真与军工软件</t>
        </is>
      </c>
      <c r="C62" t="inlineStr">
        <is>
          <t>核心</t>
        </is>
      </c>
      <c r="D62" t="inlineStr">
        <is>
          <t>300810</t>
        </is>
      </c>
      <c r="E62" t="inlineStr">
        <is>
          <t>中科海讯</t>
        </is>
      </c>
    </row>
    <row r="63">
      <c r="A63" t="inlineStr">
        <is>
          <t>军工</t>
        </is>
      </c>
      <c r="B63" t="inlineStr">
        <is>
          <t>军工材料-钛合金与高温合金</t>
        </is>
      </c>
      <c r="C63" t="inlineStr">
        <is>
          <t>核心</t>
        </is>
      </c>
      <c r="D63" t="inlineStr">
        <is>
          <t>300855</t>
        </is>
      </c>
      <c r="E63" t="inlineStr">
        <is>
          <t>图南股份</t>
        </is>
      </c>
    </row>
    <row r="64">
      <c r="A64" t="inlineStr">
        <is>
          <t>军工</t>
        </is>
      </c>
      <c r="B64" t="inlineStr">
        <is>
          <t>航空发动机与燃气轮机</t>
        </is>
      </c>
      <c r="C64" t="inlineStr">
        <is>
          <t>核心</t>
        </is>
      </c>
      <c r="D64" t="inlineStr">
        <is>
          <t>300855</t>
        </is>
      </c>
      <c r="E64" t="inlineStr">
        <is>
          <t>图南股份</t>
        </is>
      </c>
    </row>
    <row r="65">
      <c r="A65" t="inlineStr">
        <is>
          <t>军工</t>
        </is>
      </c>
      <c r="B65" t="inlineStr">
        <is>
          <t>核化生防御与应急救援</t>
        </is>
      </c>
      <c r="C65" t="inlineStr">
        <is>
          <t>核心</t>
        </is>
      </c>
      <c r="D65" t="inlineStr">
        <is>
          <t>300875</t>
        </is>
      </c>
      <c r="E65" t="inlineStr">
        <is>
          <t>捷强装备</t>
        </is>
      </c>
    </row>
    <row r="66">
      <c r="A66" t="inlineStr">
        <is>
          <t>军工</t>
        </is>
      </c>
      <c r="B66" t="inlineStr">
        <is>
          <t>雷达与预警探测</t>
        </is>
      </c>
      <c r="C66" t="inlineStr">
        <is>
          <t>核心</t>
        </is>
      </c>
      <c r="D66" t="inlineStr">
        <is>
          <t>301050</t>
        </is>
      </c>
      <c r="E66" t="inlineStr">
        <is>
          <t>雷电微力</t>
        </is>
      </c>
    </row>
    <row r="67">
      <c r="A67" t="inlineStr">
        <is>
          <t>军工</t>
        </is>
      </c>
      <c r="B67" t="inlineStr">
        <is>
          <t>军用通信与指挥控制</t>
        </is>
      </c>
      <c r="C67" t="inlineStr">
        <is>
          <t>核心</t>
        </is>
      </c>
      <c r="D67" t="inlineStr">
        <is>
          <t>301050</t>
        </is>
      </c>
      <c r="E67" t="inlineStr">
        <is>
          <t>雷电微力</t>
        </is>
      </c>
    </row>
    <row r="68">
      <c r="A68" t="inlineStr">
        <is>
          <t>军工</t>
        </is>
      </c>
      <c r="B68" t="inlineStr">
        <is>
          <t>军事仿真与军工软件</t>
        </is>
      </c>
      <c r="C68" t="inlineStr">
        <is>
          <t>核心</t>
        </is>
      </c>
      <c r="D68" t="inlineStr">
        <is>
          <t>301302</t>
        </is>
      </c>
      <c r="E68" t="inlineStr">
        <is>
          <t>华如科技</t>
        </is>
      </c>
    </row>
    <row r="69">
      <c r="A69" t="inlineStr">
        <is>
          <t>军工</t>
        </is>
      </c>
      <c r="B69" t="inlineStr">
        <is>
          <t>电子对抗与蓝军仿真</t>
        </is>
      </c>
      <c r="C69" t="inlineStr">
        <is>
          <t>核心</t>
        </is>
      </c>
      <c r="D69" t="inlineStr">
        <is>
          <t>301302</t>
        </is>
      </c>
      <c r="E69" t="inlineStr">
        <is>
          <t>华如科技</t>
        </is>
      </c>
    </row>
    <row r="70">
      <c r="A70" t="inlineStr">
        <is>
          <t>军工</t>
        </is>
      </c>
      <c r="B70" t="inlineStr">
        <is>
          <t>航空整机-固定翼</t>
        </is>
      </c>
      <c r="C70" t="inlineStr">
        <is>
          <t>核心</t>
        </is>
      </c>
      <c r="D70" t="inlineStr">
        <is>
          <t>302132</t>
        </is>
      </c>
      <c r="E70" t="inlineStr">
        <is>
          <t>中航成飞</t>
        </is>
      </c>
    </row>
    <row r="71">
      <c r="A71" t="inlineStr">
        <is>
          <t>军工</t>
        </is>
      </c>
      <c r="B71" t="inlineStr">
        <is>
          <t>航空整机-直升机</t>
        </is>
      </c>
      <c r="C71" t="inlineStr">
        <is>
          <t>核心</t>
        </is>
      </c>
      <c r="D71" t="inlineStr">
        <is>
          <t>600038</t>
        </is>
      </c>
      <c r="E71" t="inlineStr">
        <is>
          <t>中直股份</t>
        </is>
      </c>
    </row>
    <row r="72">
      <c r="A72" t="inlineStr">
        <is>
          <t>军工</t>
        </is>
      </c>
      <c r="B72" t="inlineStr">
        <is>
          <t>船舶总装与海洋防务</t>
        </is>
      </c>
      <c r="C72" t="inlineStr">
        <is>
          <t>核心</t>
        </is>
      </c>
      <c r="D72" t="inlineStr">
        <is>
          <t>600150</t>
        </is>
      </c>
      <c r="E72" t="inlineStr">
        <is>
          <t>中国船舶</t>
        </is>
      </c>
    </row>
    <row r="73">
      <c r="A73" t="inlineStr">
        <is>
          <t>军工</t>
        </is>
      </c>
      <c r="B73" t="inlineStr">
        <is>
          <t>导弹与精确制导</t>
        </is>
      </c>
      <c r="C73" t="inlineStr">
        <is>
          <t>核心</t>
        </is>
      </c>
      <c r="D73" t="inlineStr">
        <is>
          <t>600184</t>
        </is>
      </c>
      <c r="E73" t="inlineStr">
        <is>
          <t>光电股份</t>
        </is>
      </c>
    </row>
    <row r="74">
      <c r="A74" t="inlineStr">
        <is>
          <t>军工</t>
        </is>
      </c>
      <c r="B74" t="inlineStr">
        <is>
          <t>红外光电与激光</t>
        </is>
      </c>
      <c r="C74" t="inlineStr">
        <is>
          <t>核心</t>
        </is>
      </c>
      <c r="D74" t="inlineStr">
        <is>
          <t>600184</t>
        </is>
      </c>
      <c r="E74" t="inlineStr">
        <is>
          <t>光电股份</t>
        </is>
      </c>
    </row>
    <row r="75">
      <c r="A75" t="inlineStr">
        <is>
          <t>军工</t>
        </is>
      </c>
      <c r="B75" t="inlineStr">
        <is>
          <t>航空整机-固定翼</t>
        </is>
      </c>
      <c r="C75" t="inlineStr">
        <is>
          <t>核心</t>
        </is>
      </c>
      <c r="D75" t="inlineStr">
        <is>
          <t>600316</t>
        </is>
      </c>
      <c r="E75" t="inlineStr">
        <is>
          <t>洪都航空</t>
        </is>
      </c>
    </row>
    <row r="76">
      <c r="A76" t="inlineStr">
        <is>
          <t>军工</t>
        </is>
      </c>
      <c r="B76" t="inlineStr">
        <is>
          <t>航空结构件与锻铸件</t>
        </is>
      </c>
      <c r="C76" t="inlineStr">
        <is>
          <t>核心</t>
        </is>
      </c>
      <c r="D76" t="inlineStr">
        <is>
          <t>600353</t>
        </is>
      </c>
      <c r="E76" t="inlineStr">
        <is>
          <t>旭光电子</t>
        </is>
      </c>
    </row>
    <row r="77">
      <c r="A77" t="inlineStr">
        <is>
          <t>军工</t>
        </is>
      </c>
      <c r="B77" t="inlineStr">
        <is>
          <t>航空机载系统与航电</t>
        </is>
      </c>
      <c r="C77" t="inlineStr">
        <is>
          <t>核心</t>
        </is>
      </c>
      <c r="D77" t="inlineStr">
        <is>
          <t>600353</t>
        </is>
      </c>
      <c r="E77" t="inlineStr">
        <is>
          <t>旭光电子</t>
        </is>
      </c>
    </row>
    <row r="78">
      <c r="A78" t="inlineStr">
        <is>
          <t>军工</t>
        </is>
      </c>
      <c r="B78" t="inlineStr">
        <is>
          <t>红外光电与激光</t>
        </is>
      </c>
      <c r="C78" t="inlineStr">
        <is>
          <t>相关</t>
        </is>
      </c>
      <c r="D78" t="inlineStr">
        <is>
          <t>600363</t>
        </is>
      </c>
      <c r="E78" t="inlineStr">
        <is>
          <t>联创光电</t>
        </is>
      </c>
    </row>
    <row r="79">
      <c r="A79" t="inlineStr">
        <is>
          <t>军工</t>
        </is>
      </c>
      <c r="B79" t="inlineStr">
        <is>
          <t>航空机载系统与航电</t>
        </is>
      </c>
      <c r="C79" t="inlineStr">
        <is>
          <t>核心</t>
        </is>
      </c>
      <c r="D79" t="inlineStr">
        <is>
          <t>600372</t>
        </is>
      </c>
      <c r="E79" t="inlineStr">
        <is>
          <t>中航机载</t>
        </is>
      </c>
    </row>
    <row r="80">
      <c r="A80" t="inlineStr">
        <is>
          <t>军工</t>
        </is>
      </c>
      <c r="B80" t="inlineStr">
        <is>
          <t>航空发动机与燃气轮机</t>
        </is>
      </c>
      <c r="C80" t="inlineStr">
        <is>
          <t>核心</t>
        </is>
      </c>
      <c r="D80" t="inlineStr">
        <is>
          <t>600391</t>
        </is>
      </c>
      <c r="E80" t="inlineStr">
        <is>
          <t>航发科技</t>
        </is>
      </c>
    </row>
    <row r="81">
      <c r="A81" t="inlineStr">
        <is>
          <t>军工</t>
        </is>
      </c>
      <c r="B81" t="inlineStr">
        <is>
          <t>航空结构件与锻铸件</t>
        </is>
      </c>
      <c r="C81" t="inlineStr">
        <is>
          <t>核心</t>
        </is>
      </c>
      <c r="D81" t="inlineStr">
        <is>
          <t>600391</t>
        </is>
      </c>
      <c r="E81" t="inlineStr">
        <is>
          <t>航发科技</t>
        </is>
      </c>
    </row>
    <row r="82">
      <c r="A82" t="inlineStr">
        <is>
          <t>军工</t>
        </is>
      </c>
      <c r="B82" t="inlineStr">
        <is>
          <t>军工材料-钛合金与高温合金</t>
        </is>
      </c>
      <c r="C82" t="inlineStr">
        <is>
          <t>核心</t>
        </is>
      </c>
      <c r="D82" t="inlineStr">
        <is>
          <t>600399</t>
        </is>
      </c>
      <c r="E82" t="inlineStr">
        <is>
          <t>抚顺特钢</t>
        </is>
      </c>
    </row>
    <row r="83">
      <c r="A83" t="inlineStr">
        <is>
          <t>军工</t>
        </is>
      </c>
      <c r="B83" t="inlineStr">
        <is>
          <t>军工材料-其他关键材料</t>
        </is>
      </c>
      <c r="C83" t="inlineStr">
        <is>
          <t>核心</t>
        </is>
      </c>
      <c r="D83" t="inlineStr">
        <is>
          <t>600399</t>
        </is>
      </c>
      <c r="E83" t="inlineStr">
        <is>
          <t>抚顺特钢</t>
        </is>
      </c>
    </row>
    <row r="84">
      <c r="A84" t="inlineStr">
        <is>
          <t>军工</t>
        </is>
      </c>
      <c r="B84" t="inlineStr">
        <is>
          <t>舰船动力与推进</t>
        </is>
      </c>
      <c r="C84" t="inlineStr">
        <is>
          <t>核心</t>
        </is>
      </c>
      <c r="D84" t="inlineStr">
        <is>
          <t>600416</t>
        </is>
      </c>
      <c r="E84" t="inlineStr">
        <is>
          <t>湘电股份</t>
        </is>
      </c>
    </row>
    <row r="85">
      <c r="A85" t="inlineStr">
        <is>
          <t>军工</t>
        </is>
      </c>
      <c r="B85" t="inlineStr">
        <is>
          <t>军工电源与电机电气</t>
        </is>
      </c>
      <c r="C85" t="inlineStr">
        <is>
          <t>核心</t>
        </is>
      </c>
      <c r="D85" t="inlineStr">
        <is>
          <t>600416</t>
        </is>
      </c>
      <c r="E85" t="inlineStr">
        <is>
          <t>湘电股份</t>
        </is>
      </c>
    </row>
    <row r="86">
      <c r="A86" t="inlineStr">
        <is>
          <t>军工</t>
        </is>
      </c>
      <c r="B86" t="inlineStr">
        <is>
          <t>导弹与精确制导</t>
        </is>
      </c>
      <c r="C86" t="inlineStr">
        <is>
          <t>核心</t>
        </is>
      </c>
      <c r="D86" t="inlineStr">
        <is>
          <t>600435</t>
        </is>
      </c>
      <c r="E86" t="inlineStr">
        <is>
          <t>北方导航</t>
        </is>
      </c>
    </row>
    <row r="87">
      <c r="A87" t="inlineStr">
        <is>
          <t>军工</t>
        </is>
      </c>
      <c r="B87" t="inlineStr">
        <is>
          <t>军用导航与惯导</t>
        </is>
      </c>
      <c r="C87" t="inlineStr">
        <is>
          <t>核心</t>
        </is>
      </c>
      <c r="D87" t="inlineStr">
        <is>
          <t>600435</t>
        </is>
      </c>
      <c r="E87" t="inlineStr">
        <is>
          <t>北方导航</t>
        </is>
      </c>
    </row>
    <row r="88">
      <c r="A88" t="inlineStr">
        <is>
          <t>军工</t>
        </is>
      </c>
      <c r="B88" t="inlineStr">
        <is>
          <t>军用通信与指挥控制</t>
        </is>
      </c>
      <c r="C88" t="inlineStr">
        <is>
          <t>核心</t>
        </is>
      </c>
      <c r="D88" t="inlineStr">
        <is>
          <t>600435</t>
        </is>
      </c>
      <c r="E88" t="inlineStr">
        <is>
          <t>北方导航</t>
        </is>
      </c>
    </row>
    <row r="89">
      <c r="A89" t="inlineStr">
        <is>
          <t>军工</t>
        </is>
      </c>
      <c r="B89" t="inlineStr">
        <is>
          <t>军工材料-钛合金与高温合金</t>
        </is>
      </c>
      <c r="C89" t="inlineStr">
        <is>
          <t>核心</t>
        </is>
      </c>
      <c r="D89" t="inlineStr">
        <is>
          <t>600456</t>
        </is>
      </c>
      <c r="E89" t="inlineStr">
        <is>
          <t>宝钛股份</t>
        </is>
      </c>
    </row>
    <row r="90">
      <c r="A90" t="inlineStr">
        <is>
          <t>军工</t>
        </is>
      </c>
      <c r="B90" t="inlineStr">
        <is>
          <t>舰船动力与推进</t>
        </is>
      </c>
      <c r="C90" t="inlineStr">
        <is>
          <t>核心</t>
        </is>
      </c>
      <c r="D90" t="inlineStr">
        <is>
          <t>600482</t>
        </is>
      </c>
      <c r="E90" t="inlineStr">
        <is>
          <t>中国动力</t>
        </is>
      </c>
    </row>
    <row r="91">
      <c r="A91" t="inlineStr">
        <is>
          <t>军工</t>
        </is>
      </c>
      <c r="B91" t="inlineStr">
        <is>
          <t>军工电源与电机电气</t>
        </is>
      </c>
      <c r="C91" t="inlineStr">
        <is>
          <t>核心</t>
        </is>
      </c>
      <c r="D91" t="inlineStr">
        <is>
          <t>600482</t>
        </is>
      </c>
      <c r="E91" t="inlineStr">
        <is>
          <t>中国动力</t>
        </is>
      </c>
    </row>
    <row r="92">
      <c r="A92" t="inlineStr">
        <is>
          <t>军工</t>
        </is>
      </c>
      <c r="B92" t="inlineStr">
        <is>
          <t>弹药与特种装备</t>
        </is>
      </c>
      <c r="C92" t="inlineStr">
        <is>
          <t>相关</t>
        </is>
      </c>
      <c r="D92" t="inlineStr">
        <is>
          <t>600501</t>
        </is>
      </c>
      <c r="E92" t="inlineStr">
        <is>
          <t>航天晨光</t>
        </is>
      </c>
    </row>
    <row r="93">
      <c r="A93" t="inlineStr">
        <is>
          <t>军工</t>
        </is>
      </c>
      <c r="B93" t="inlineStr">
        <is>
          <t>航空地面保障装备</t>
        </is>
      </c>
      <c r="C93" t="inlineStr">
        <is>
          <t>相关</t>
        </is>
      </c>
      <c r="D93" t="inlineStr">
        <is>
          <t>600501</t>
        </is>
      </c>
      <c r="E93" t="inlineStr">
        <is>
          <t>航天晨光</t>
        </is>
      </c>
    </row>
    <row r="94">
      <c r="A94" t="inlineStr">
        <is>
          <t>军工</t>
        </is>
      </c>
      <c r="B94" t="inlineStr">
        <is>
          <t>雷达与预警探测</t>
        </is>
      </c>
      <c r="C94" t="inlineStr">
        <is>
          <t>核心</t>
        </is>
      </c>
      <c r="D94" t="inlineStr">
        <is>
          <t>600562</t>
        </is>
      </c>
      <c r="E94" t="inlineStr">
        <is>
          <t>国睿科技</t>
        </is>
      </c>
    </row>
    <row r="95">
      <c r="A95" t="inlineStr">
        <is>
          <t>军工</t>
        </is>
      </c>
      <c r="B95" t="inlineStr">
        <is>
          <t>军工被动元件与连接器</t>
        </is>
      </c>
      <c r="C95" t="inlineStr">
        <is>
          <t>核心</t>
        </is>
      </c>
      <c r="D95" t="inlineStr">
        <is>
          <t>600562</t>
        </is>
      </c>
      <c r="E95" t="inlineStr">
        <is>
          <t>国睿科技</t>
        </is>
      </c>
    </row>
    <row r="96">
      <c r="A96" t="inlineStr">
        <is>
          <t>军工</t>
        </is>
      </c>
      <c r="B96" t="inlineStr">
        <is>
          <t>军用通信与指挥控制</t>
        </is>
      </c>
      <c r="C96" t="inlineStr">
        <is>
          <t>核心</t>
        </is>
      </c>
      <c r="D96" t="inlineStr">
        <is>
          <t>600590</t>
        </is>
      </c>
      <c r="E96" t="inlineStr">
        <is>
          <t>泰豪科技</t>
        </is>
      </c>
    </row>
    <row r="97">
      <c r="A97" t="inlineStr">
        <is>
          <t>军工</t>
        </is>
      </c>
      <c r="B97" t="inlineStr">
        <is>
          <t>军工电源与电机电气</t>
        </is>
      </c>
      <c r="C97" t="inlineStr">
        <is>
          <t>核心</t>
        </is>
      </c>
      <c r="D97" t="inlineStr">
        <is>
          <t>600590</t>
        </is>
      </c>
      <c r="E97" t="inlineStr">
        <is>
          <t>泰豪科技</t>
        </is>
      </c>
    </row>
    <row r="98">
      <c r="A98" t="inlineStr">
        <is>
          <t>军工</t>
        </is>
      </c>
      <c r="B98" t="inlineStr">
        <is>
          <t>军用导航与惯导</t>
        </is>
      </c>
      <c r="C98" t="inlineStr">
        <is>
          <t>核心</t>
        </is>
      </c>
      <c r="D98" t="inlineStr">
        <is>
          <t>600590</t>
        </is>
      </c>
      <c r="E98" t="inlineStr">
        <is>
          <t>泰豪科技</t>
        </is>
      </c>
    </row>
    <row r="99">
      <c r="A99" t="inlineStr">
        <is>
          <t>军工</t>
        </is>
      </c>
      <c r="B99" t="inlineStr">
        <is>
          <t>船舶总装与海洋防务</t>
        </is>
      </c>
      <c r="C99" t="inlineStr">
        <is>
          <t>核心</t>
        </is>
      </c>
      <c r="D99" t="inlineStr">
        <is>
          <t>600685</t>
        </is>
      </c>
      <c r="E99" t="inlineStr">
        <is>
          <t>中船防务</t>
        </is>
      </c>
    </row>
    <row r="100">
      <c r="A100" t="inlineStr">
        <is>
          <t>军工</t>
        </is>
      </c>
      <c r="B100" t="inlineStr">
        <is>
          <t>航空整机-固定翼</t>
        </is>
      </c>
      <c r="C100" t="inlineStr">
        <is>
          <t>核心</t>
        </is>
      </c>
      <c r="D100" t="inlineStr">
        <is>
          <t>600760</t>
        </is>
      </c>
      <c r="E100" t="inlineStr">
        <is>
          <t>中航沈飞</t>
        </is>
      </c>
    </row>
    <row r="101">
      <c r="A101" t="inlineStr">
        <is>
          <t>军工</t>
        </is>
      </c>
      <c r="B101" t="inlineStr">
        <is>
          <t>水声与海洋电子</t>
        </is>
      </c>
      <c r="C101" t="inlineStr">
        <is>
          <t>核心</t>
        </is>
      </c>
      <c r="D101" t="inlineStr">
        <is>
          <t>600764</t>
        </is>
      </c>
      <c r="E101" t="inlineStr">
        <is>
          <t>中国海防</t>
        </is>
      </c>
    </row>
    <row r="102">
      <c r="A102" t="inlineStr">
        <is>
          <t>军工</t>
        </is>
      </c>
      <c r="B102" t="inlineStr">
        <is>
          <t>军用通信与指挥控制</t>
        </is>
      </c>
      <c r="C102" t="inlineStr">
        <is>
          <t>核心</t>
        </is>
      </c>
      <c r="D102" t="inlineStr">
        <is>
          <t>600764</t>
        </is>
      </c>
      <c r="E102" t="inlineStr">
        <is>
          <t>中国海防</t>
        </is>
      </c>
    </row>
    <row r="103">
      <c r="A103" t="inlineStr">
        <is>
          <t>军工</t>
        </is>
      </c>
      <c r="B103" t="inlineStr">
        <is>
          <t>军工电源与电机电气</t>
        </is>
      </c>
      <c r="C103" t="inlineStr">
        <is>
          <t>核心</t>
        </is>
      </c>
      <c r="D103" t="inlineStr">
        <is>
          <t>600764</t>
        </is>
      </c>
      <c r="E103" t="inlineStr">
        <is>
          <t>中国海防</t>
        </is>
      </c>
    </row>
    <row r="104">
      <c r="A104" t="inlineStr">
        <is>
          <t>军工</t>
        </is>
      </c>
      <c r="B104" t="inlineStr">
        <is>
          <t>航空结构件与锻铸件</t>
        </is>
      </c>
      <c r="C104" t="inlineStr">
        <is>
          <t>核心</t>
        </is>
      </c>
      <c r="D104" t="inlineStr">
        <is>
          <t>600765</t>
        </is>
      </c>
      <c r="E104" t="inlineStr">
        <is>
          <t>中航重机</t>
        </is>
      </c>
    </row>
    <row r="105">
      <c r="A105" t="inlineStr">
        <is>
          <t>军工</t>
        </is>
      </c>
      <c r="B105" t="inlineStr">
        <is>
          <t>军工材料-碳纤维与复合材料</t>
        </is>
      </c>
      <c r="C105" t="inlineStr">
        <is>
          <t>核心</t>
        </is>
      </c>
      <c r="D105" t="inlineStr">
        <is>
          <t>600862</t>
        </is>
      </c>
      <c r="E105" t="inlineStr">
        <is>
          <t>中航高科</t>
        </is>
      </c>
    </row>
    <row r="106">
      <c r="A106" t="inlineStr">
        <is>
          <t>军工</t>
        </is>
      </c>
      <c r="B106" t="inlineStr">
        <is>
          <t>航天装备与分系统</t>
        </is>
      </c>
      <c r="C106" t="inlineStr">
        <is>
          <t>核心</t>
        </is>
      </c>
      <c r="D106" t="inlineStr">
        <is>
          <t>600879</t>
        </is>
      </c>
      <c r="E106" t="inlineStr">
        <is>
          <t>航天电子</t>
        </is>
      </c>
    </row>
    <row r="107">
      <c r="A107" t="inlineStr">
        <is>
          <t>军工</t>
        </is>
      </c>
      <c r="B107" t="inlineStr">
        <is>
          <t>导弹与精确制导</t>
        </is>
      </c>
      <c r="C107" t="inlineStr">
        <is>
          <t>核心</t>
        </is>
      </c>
      <c r="D107" t="inlineStr">
        <is>
          <t>600879</t>
        </is>
      </c>
      <c r="E107" t="inlineStr">
        <is>
          <t>航天电子</t>
        </is>
      </c>
    </row>
    <row r="108">
      <c r="A108" t="inlineStr">
        <is>
          <t>军工</t>
        </is>
      </c>
      <c r="B108" t="inlineStr">
        <is>
          <t>军用无人装备与机器人</t>
        </is>
      </c>
      <c r="C108" t="inlineStr">
        <is>
          <t>核心</t>
        </is>
      </c>
      <c r="D108" t="inlineStr">
        <is>
          <t>600879</t>
        </is>
      </c>
      <c r="E108" t="inlineStr">
        <is>
          <t>航天电子</t>
        </is>
      </c>
    </row>
    <row r="109">
      <c r="A109" t="inlineStr">
        <is>
          <t>军工</t>
        </is>
      </c>
      <c r="B109" t="inlineStr">
        <is>
          <t>航空发动机与燃气轮机</t>
        </is>
      </c>
      <c r="C109" t="inlineStr">
        <is>
          <t>核心</t>
        </is>
      </c>
      <c r="D109" t="inlineStr">
        <is>
          <t>600893</t>
        </is>
      </c>
      <c r="E109" t="inlineStr">
        <is>
          <t>航发动力</t>
        </is>
      </c>
    </row>
    <row r="110">
      <c r="A110" t="inlineStr">
        <is>
          <t>军工</t>
        </is>
      </c>
      <c r="B110" t="inlineStr">
        <is>
          <t>地面武器与装甲车辆</t>
        </is>
      </c>
      <c r="C110" t="inlineStr">
        <is>
          <t>核心</t>
        </is>
      </c>
      <c r="D110" t="inlineStr">
        <is>
          <t>600967</t>
        </is>
      </c>
      <c r="E110" t="inlineStr">
        <is>
          <t>内蒙一机</t>
        </is>
      </c>
    </row>
    <row r="111">
      <c r="A111" t="inlineStr">
        <is>
          <t>军工</t>
        </is>
      </c>
      <c r="B111" t="inlineStr">
        <is>
          <t>雷达与预警探测</t>
        </is>
      </c>
      <c r="C111" t="inlineStr">
        <is>
          <t>相关</t>
        </is>
      </c>
      <c r="D111" t="inlineStr">
        <is>
          <t>600990</t>
        </is>
      </c>
      <c r="E111" t="inlineStr">
        <is>
          <t>四创电子</t>
        </is>
      </c>
    </row>
    <row r="112">
      <c r="A112" t="inlineStr">
        <is>
          <t>军工</t>
        </is>
      </c>
      <c r="B112" t="inlineStr">
        <is>
          <t>航空地面保障装备</t>
        </is>
      </c>
      <c r="C112" t="inlineStr">
        <is>
          <t>相关</t>
        </is>
      </c>
      <c r="D112" t="inlineStr">
        <is>
          <t>600990</t>
        </is>
      </c>
      <c r="E112" t="inlineStr">
        <is>
          <t>四创电子</t>
        </is>
      </c>
    </row>
    <row r="113">
      <c r="A113" t="inlineStr">
        <is>
          <t>军工</t>
        </is>
      </c>
      <c r="B113" t="inlineStr">
        <is>
          <t>军工材料-其他关键材料</t>
        </is>
      </c>
      <c r="C113" t="inlineStr">
        <is>
          <t>相关</t>
        </is>
      </c>
      <c r="D113" t="inlineStr">
        <is>
          <t>600992</t>
        </is>
      </c>
      <c r="E113" t="inlineStr">
        <is>
          <t>贵绳股份</t>
        </is>
      </c>
    </row>
    <row r="114">
      <c r="A114" t="inlineStr">
        <is>
          <t>军工</t>
        </is>
      </c>
      <c r="B114" t="inlineStr">
        <is>
          <t>军工配套-通用零部件</t>
        </is>
      </c>
      <c r="C114" t="inlineStr">
        <is>
          <t>相关</t>
        </is>
      </c>
      <c r="D114" t="inlineStr">
        <is>
          <t>600992</t>
        </is>
      </c>
      <c r="E114" t="inlineStr">
        <is>
          <t>贵绳股份</t>
        </is>
      </c>
    </row>
    <row r="115">
      <c r="A115" t="inlineStr">
        <is>
          <t>军工</t>
        </is>
      </c>
      <c r="B115" t="inlineStr">
        <is>
          <t>弹药与特种装备</t>
        </is>
      </c>
      <c r="C115" t="inlineStr">
        <is>
          <t>核心</t>
        </is>
      </c>
      <c r="D115" t="inlineStr">
        <is>
          <t>601606</t>
        </is>
      </c>
      <c r="E115" t="inlineStr">
        <is>
          <t>长城军工</t>
        </is>
      </c>
    </row>
    <row r="116">
      <c r="A116" t="inlineStr">
        <is>
          <t>军工</t>
        </is>
      </c>
      <c r="B116" t="inlineStr">
        <is>
          <t>电子对抗与蓝军仿真</t>
        </is>
      </c>
      <c r="C116" t="inlineStr">
        <is>
          <t>核心</t>
        </is>
      </c>
      <c r="D116" t="inlineStr">
        <is>
          <t>601606</t>
        </is>
      </c>
      <c r="E116" t="inlineStr">
        <is>
          <t>长城军工</t>
        </is>
      </c>
    </row>
    <row r="117">
      <c r="A117" t="inlineStr">
        <is>
          <t>军工</t>
        </is>
      </c>
      <c r="B117" t="inlineStr">
        <is>
          <t>军工被动元件与连接器</t>
        </is>
      </c>
      <c r="C117" t="inlineStr">
        <is>
          <t>核心</t>
        </is>
      </c>
      <c r="D117" t="inlineStr">
        <is>
          <t>603267</t>
        </is>
      </c>
      <c r="E117" t="inlineStr">
        <is>
          <t>鸿远电子</t>
        </is>
      </c>
    </row>
    <row r="118">
      <c r="A118" t="inlineStr">
        <is>
          <t>军工</t>
        </is>
      </c>
      <c r="B118" t="inlineStr">
        <is>
          <t>军工芯片与特种集成电路</t>
        </is>
      </c>
      <c r="C118" t="inlineStr">
        <is>
          <t>核心</t>
        </is>
      </c>
      <c r="D118" t="inlineStr">
        <is>
          <t>603267</t>
        </is>
      </c>
      <c r="E118" t="inlineStr">
        <is>
          <t>鸿远电子</t>
        </is>
      </c>
    </row>
    <row r="119">
      <c r="A119" t="inlineStr">
        <is>
          <t>军工</t>
        </is>
      </c>
      <c r="B119" t="inlineStr">
        <is>
          <t>军工被动元件与连接器</t>
        </is>
      </c>
      <c r="C119" t="inlineStr">
        <is>
          <t>核心</t>
        </is>
      </c>
      <c r="D119" t="inlineStr">
        <is>
          <t>603678</t>
        </is>
      </c>
      <c r="E119" t="inlineStr">
        <is>
          <t>火炬电子</t>
        </is>
      </c>
    </row>
    <row r="120">
      <c r="A120" t="inlineStr">
        <is>
          <t>军工</t>
        </is>
      </c>
      <c r="B120" t="inlineStr">
        <is>
          <t>军工材料-其他关键材料</t>
        </is>
      </c>
      <c r="C120" t="inlineStr">
        <is>
          <t>核心</t>
        </is>
      </c>
      <c r="D120" t="inlineStr">
        <is>
          <t>603678</t>
        </is>
      </c>
      <c r="E120" t="inlineStr">
        <is>
          <t>火炬电子</t>
        </is>
      </c>
    </row>
    <row r="121">
      <c r="A121" t="inlineStr">
        <is>
          <t>军工</t>
        </is>
      </c>
      <c r="B121" t="inlineStr">
        <is>
          <t>军用通信与指挥控制</t>
        </is>
      </c>
      <c r="C121" t="inlineStr">
        <is>
          <t>核心</t>
        </is>
      </c>
      <c r="D121" t="inlineStr">
        <is>
          <t>603712</t>
        </is>
      </c>
      <c r="E121" t="inlineStr">
        <is>
          <t>七一二</t>
        </is>
      </c>
    </row>
    <row r="122">
      <c r="A122" t="inlineStr">
        <is>
          <t>军工</t>
        </is>
      </c>
      <c r="B122" t="inlineStr">
        <is>
          <t>航空结构件与锻铸件</t>
        </is>
      </c>
      <c r="C122" t="inlineStr">
        <is>
          <t>核心</t>
        </is>
      </c>
      <c r="D122" t="inlineStr">
        <is>
          <t>605123</t>
        </is>
      </c>
      <c r="E122" t="inlineStr">
        <is>
          <t>派克新材</t>
        </is>
      </c>
    </row>
    <row r="123">
      <c r="A123" t="inlineStr">
        <is>
          <t>军工</t>
        </is>
      </c>
      <c r="B123" t="inlineStr">
        <is>
          <t>红外光电与激光</t>
        </is>
      </c>
      <c r="C123" t="inlineStr">
        <is>
          <t>核心</t>
        </is>
      </c>
      <c r="D123" t="inlineStr">
        <is>
          <t>688002</t>
        </is>
      </c>
      <c r="E123" t="inlineStr">
        <is>
          <t>睿创微纳</t>
        </is>
      </c>
    </row>
    <row r="124">
      <c r="A124" t="inlineStr">
        <is>
          <t>军工</t>
        </is>
      </c>
      <c r="B124" t="inlineStr">
        <is>
          <t>军工芯片与特种集成电路</t>
        </is>
      </c>
      <c r="C124" t="inlineStr">
        <is>
          <t>核心</t>
        </is>
      </c>
      <c r="D124" t="inlineStr">
        <is>
          <t>688002</t>
        </is>
      </c>
      <c r="E124" t="inlineStr">
        <is>
          <t>睿创微纳</t>
        </is>
      </c>
    </row>
    <row r="125">
      <c r="A125" t="inlineStr">
        <is>
          <t>军工</t>
        </is>
      </c>
      <c r="B125" t="inlineStr">
        <is>
          <t>导弹与精确制导</t>
        </is>
      </c>
      <c r="C125" t="inlineStr">
        <is>
          <t>核心</t>
        </is>
      </c>
      <c r="D125" t="inlineStr">
        <is>
          <t>688011</t>
        </is>
      </c>
      <c r="E125" t="inlineStr">
        <is>
          <t>新光光电</t>
        </is>
      </c>
    </row>
    <row r="126">
      <c r="A126" t="inlineStr">
        <is>
          <t>军工</t>
        </is>
      </c>
      <c r="B126" t="inlineStr">
        <is>
          <t>电子对抗与蓝军仿真</t>
        </is>
      </c>
      <c r="C126" t="inlineStr">
        <is>
          <t>核心</t>
        </is>
      </c>
      <c r="D126" t="inlineStr">
        <is>
          <t>688011</t>
        </is>
      </c>
      <c r="E126" t="inlineStr">
        <is>
          <t>新光光电</t>
        </is>
      </c>
    </row>
    <row r="127">
      <c r="A127" t="inlineStr">
        <is>
          <t>军工</t>
        </is>
      </c>
      <c r="B127" t="inlineStr">
        <is>
          <t>军事仿真与军工软件</t>
        </is>
      </c>
      <c r="C127" t="inlineStr">
        <is>
          <t>核心</t>
        </is>
      </c>
      <c r="D127" t="inlineStr">
        <is>
          <t>688011</t>
        </is>
      </c>
      <c r="E127" t="inlineStr">
        <is>
          <t>新光光电</t>
        </is>
      </c>
    </row>
    <row r="128">
      <c r="A128" t="inlineStr">
        <is>
          <t>军工</t>
        </is>
      </c>
      <c r="B128" t="inlineStr">
        <is>
          <t>军用无人装备与机器人</t>
        </is>
      </c>
      <c r="C128" t="inlineStr">
        <is>
          <t>相关</t>
        </is>
      </c>
      <c r="D128" t="inlineStr">
        <is>
          <t>688070</t>
        </is>
      </c>
      <c r="E128" t="inlineStr">
        <is>
          <t>纵横股份</t>
        </is>
      </c>
    </row>
    <row r="129">
      <c r="A129" t="inlineStr">
        <is>
          <t>军工</t>
        </is>
      </c>
      <c r="B129" t="inlineStr">
        <is>
          <t>军用无人装备与机器人</t>
        </is>
      </c>
      <c r="C129" t="inlineStr">
        <is>
          <t>核心</t>
        </is>
      </c>
      <c r="D129" t="inlineStr">
        <is>
          <t>688084</t>
        </is>
      </c>
      <c r="E129" t="inlineStr">
        <is>
          <t>晶品特装</t>
        </is>
      </c>
    </row>
    <row r="130">
      <c r="A130" t="inlineStr">
        <is>
          <t>军工</t>
        </is>
      </c>
      <c r="B130" t="inlineStr">
        <is>
          <t>红外光电与激光</t>
        </is>
      </c>
      <c r="C130" t="inlineStr">
        <is>
          <t>核心</t>
        </is>
      </c>
      <c r="D130" t="inlineStr">
        <is>
          <t>688084</t>
        </is>
      </c>
      <c r="E130" t="inlineStr">
        <is>
          <t>晶品特装</t>
        </is>
      </c>
    </row>
    <row r="131">
      <c r="A131" t="inlineStr">
        <is>
          <t>军工</t>
        </is>
      </c>
      <c r="B131" t="inlineStr">
        <is>
          <t>核化生防御与应急救援</t>
        </is>
      </c>
      <c r="C131" t="inlineStr">
        <is>
          <t>核心</t>
        </is>
      </c>
      <c r="D131" t="inlineStr">
        <is>
          <t>688084</t>
        </is>
      </c>
      <c r="E131" t="inlineStr">
        <is>
          <t>晶品特装</t>
        </is>
      </c>
    </row>
    <row r="132">
      <c r="A132" t="inlineStr">
        <is>
          <t>军工</t>
        </is>
      </c>
      <c r="B132" t="inlineStr">
        <is>
          <t>军工材料-钛合金与高温合金</t>
        </is>
      </c>
      <c r="C132" t="inlineStr">
        <is>
          <t>核心</t>
        </is>
      </c>
      <c r="D132" t="inlineStr">
        <is>
          <t>688122</t>
        </is>
      </c>
      <c r="E132" t="inlineStr">
        <is>
          <t>西部超导</t>
        </is>
      </c>
    </row>
    <row r="133">
      <c r="A133" t="inlineStr">
        <is>
          <t>军工</t>
        </is>
      </c>
      <c r="B133" t="inlineStr">
        <is>
          <t>航空结构件与锻铸件</t>
        </is>
      </c>
      <c r="C133" t="inlineStr">
        <is>
          <t>核心</t>
        </is>
      </c>
      <c r="D133" t="inlineStr">
        <is>
          <t>688239</t>
        </is>
      </c>
      <c r="E133" t="inlineStr">
        <is>
          <t>航宇科技</t>
        </is>
      </c>
    </row>
    <row r="134">
      <c r="A134" t="inlineStr">
        <is>
          <t>军工</t>
        </is>
      </c>
      <c r="B134" t="inlineStr">
        <is>
          <t>航空发动机与燃气轮机</t>
        </is>
      </c>
      <c r="C134" t="inlineStr">
        <is>
          <t>核心</t>
        </is>
      </c>
      <c r="D134" t="inlineStr">
        <is>
          <t>688239</t>
        </is>
      </c>
      <c r="E134" t="inlineStr">
        <is>
          <t>航宇科技</t>
        </is>
      </c>
    </row>
    <row r="135">
      <c r="A135" t="inlineStr">
        <is>
          <t>军工</t>
        </is>
      </c>
      <c r="B135" t="inlineStr">
        <is>
          <t>军工材料-超材料与隐身材料</t>
        </is>
      </c>
      <c r="C135" t="inlineStr">
        <is>
          <t>核心</t>
        </is>
      </c>
      <c r="D135" t="inlineStr">
        <is>
          <t>688281</t>
        </is>
      </c>
      <c r="E135" t="inlineStr">
        <is>
          <t>华秦科技</t>
        </is>
      </c>
    </row>
    <row r="136">
      <c r="A136" t="inlineStr">
        <is>
          <t>军工</t>
        </is>
      </c>
      <c r="B136" t="inlineStr">
        <is>
          <t>军用无人装备与机器人</t>
        </is>
      </c>
      <c r="C136" t="inlineStr">
        <is>
          <t>核心</t>
        </is>
      </c>
      <c r="D136" t="inlineStr">
        <is>
          <t>688297</t>
        </is>
      </c>
      <c r="E136" t="inlineStr">
        <is>
          <t>中无人机</t>
        </is>
      </c>
    </row>
    <row r="137">
      <c r="A137" t="inlineStr">
        <is>
          <t>军工</t>
        </is>
      </c>
      <c r="B137" t="inlineStr">
        <is>
          <t>航空结构件与锻铸件</t>
        </is>
      </c>
      <c r="C137" t="inlineStr">
        <is>
          <t>核心</t>
        </is>
      </c>
      <c r="D137" t="inlineStr">
        <is>
          <t>688333</t>
        </is>
      </c>
      <c r="E137" t="inlineStr">
        <is>
          <t>铂力特</t>
        </is>
      </c>
    </row>
    <row r="138">
      <c r="A138" t="inlineStr">
        <is>
          <t>军工</t>
        </is>
      </c>
      <c r="B138" t="inlineStr">
        <is>
          <t>航天装备与分系统</t>
        </is>
      </c>
      <c r="C138" t="inlineStr">
        <is>
          <t>核心</t>
        </is>
      </c>
      <c r="D138" t="inlineStr">
        <is>
          <t>688333</t>
        </is>
      </c>
      <c r="E138" t="inlineStr">
        <is>
          <t>铂力特</t>
        </is>
      </c>
    </row>
    <row r="139">
      <c r="A139" t="inlineStr">
        <is>
          <t>军工</t>
        </is>
      </c>
      <c r="B139" t="inlineStr">
        <is>
          <t>雷达与预警探测</t>
        </is>
      </c>
      <c r="C139" t="inlineStr">
        <is>
          <t>核心</t>
        </is>
      </c>
      <c r="D139" t="inlineStr">
        <is>
          <t>688375</t>
        </is>
      </c>
      <c r="E139" t="inlineStr">
        <is>
          <t>国博电子</t>
        </is>
      </c>
    </row>
    <row r="140">
      <c r="A140" t="inlineStr">
        <is>
          <t>军工</t>
        </is>
      </c>
      <c r="B140" t="inlineStr">
        <is>
          <t>军工芯片与特种集成电路</t>
        </is>
      </c>
      <c r="C140" t="inlineStr">
        <is>
          <t>核心</t>
        </is>
      </c>
      <c r="D140" t="inlineStr">
        <is>
          <t>688375</t>
        </is>
      </c>
      <c r="E140" t="inlineStr">
        <is>
          <t>国博电子</t>
        </is>
      </c>
    </row>
    <row r="141">
      <c r="A141" t="inlineStr">
        <is>
          <t>军工</t>
        </is>
      </c>
      <c r="B141" t="inlineStr">
        <is>
          <t>军工芯片与特种集成电路</t>
        </is>
      </c>
      <c r="C141" t="inlineStr">
        <is>
          <t>核心</t>
        </is>
      </c>
      <c r="D141" t="inlineStr">
        <is>
          <t>688385</t>
        </is>
      </c>
      <c r="E141" t="inlineStr">
        <is>
          <t>复旦微电</t>
        </is>
      </c>
    </row>
    <row r="142">
      <c r="A142" t="inlineStr">
        <is>
          <t>军工</t>
        </is>
      </c>
      <c r="B142" t="inlineStr">
        <is>
          <t>导弹与精确制导</t>
        </is>
      </c>
      <c r="C142" t="inlineStr">
        <is>
          <t>核心</t>
        </is>
      </c>
      <c r="D142" t="inlineStr">
        <is>
          <t>688543</t>
        </is>
      </c>
      <c r="E142" t="inlineStr">
        <is>
          <t>国科军工</t>
        </is>
      </c>
    </row>
    <row r="143">
      <c r="A143" t="inlineStr">
        <is>
          <t>军工</t>
        </is>
      </c>
      <c r="B143" t="inlineStr">
        <is>
          <t>弹药与特种装备</t>
        </is>
      </c>
      <c r="C143" t="inlineStr">
        <is>
          <t>核心</t>
        </is>
      </c>
      <c r="D143" t="inlineStr">
        <is>
          <t>688543</t>
        </is>
      </c>
      <c r="E143" t="inlineStr">
        <is>
          <t>国科军工</t>
        </is>
      </c>
    </row>
    <row r="144">
      <c r="A144" t="inlineStr">
        <is>
          <t>军工</t>
        </is>
      </c>
      <c r="B144" t="inlineStr">
        <is>
          <t>雷达与预警探测</t>
        </is>
      </c>
      <c r="C144" t="inlineStr">
        <is>
          <t>核心</t>
        </is>
      </c>
      <c r="D144" t="inlineStr">
        <is>
          <t>688552</t>
        </is>
      </c>
      <c r="E144" t="inlineStr">
        <is>
          <t>航天南湖</t>
        </is>
      </c>
    </row>
    <row r="145">
      <c r="A145" t="inlineStr">
        <is>
          <t>军工</t>
        </is>
      </c>
      <c r="B145" t="inlineStr">
        <is>
          <t>航空结构件与锻铸件</t>
        </is>
      </c>
      <c r="C145" t="inlineStr">
        <is>
          <t>核心</t>
        </is>
      </c>
      <c r="D145" t="inlineStr">
        <is>
          <t>688563</t>
        </is>
      </c>
      <c r="E145" t="inlineStr">
        <is>
          <t>航材股份</t>
        </is>
      </c>
    </row>
    <row r="146">
      <c r="A146" t="inlineStr">
        <is>
          <t>军工</t>
        </is>
      </c>
      <c r="B146" t="inlineStr">
        <is>
          <t>军工材料-钛合金与高温合金</t>
        </is>
      </c>
      <c r="C146" t="inlineStr">
        <is>
          <t>核心</t>
        </is>
      </c>
      <c r="D146" t="inlineStr">
        <is>
          <t>688563</t>
        </is>
      </c>
      <c r="E146" t="inlineStr">
        <is>
          <t>航材股份</t>
        </is>
      </c>
    </row>
    <row r="147">
      <c r="A147" t="inlineStr">
        <is>
          <t>军工</t>
        </is>
      </c>
      <c r="B147" t="inlineStr">
        <is>
          <t>军工材料-特种玻璃与石英</t>
        </is>
      </c>
      <c r="C147" t="inlineStr">
        <is>
          <t>核心</t>
        </is>
      </c>
      <c r="D147" t="inlineStr">
        <is>
          <t>688563</t>
        </is>
      </c>
      <c r="E147" t="inlineStr">
        <is>
          <t>航材股份</t>
        </is>
      </c>
    </row>
    <row r="148">
      <c r="A148" t="inlineStr">
        <is>
          <t>军工</t>
        </is>
      </c>
      <c r="B148" t="inlineStr">
        <is>
          <t>军事仿真与军工软件</t>
        </is>
      </c>
      <c r="C148" t="inlineStr">
        <is>
          <t>核心</t>
        </is>
      </c>
      <c r="D148" t="inlineStr">
        <is>
          <t>688568</t>
        </is>
      </c>
      <c r="E148" t="inlineStr">
        <is>
          <t>中科星图</t>
        </is>
      </c>
    </row>
    <row r="149">
      <c r="A149" t="inlineStr">
        <is>
          <t>军工</t>
        </is>
      </c>
      <c r="B149" t="inlineStr">
        <is>
          <t>军用通信与指挥控制</t>
        </is>
      </c>
      <c r="C149" t="inlineStr">
        <is>
          <t>核心</t>
        </is>
      </c>
      <c r="D149" t="inlineStr">
        <is>
          <t>688568</t>
        </is>
      </c>
      <c r="E149" t="inlineStr">
        <is>
          <t>中科星图</t>
        </is>
      </c>
    </row>
    <row r="150">
      <c r="A150" t="inlineStr">
        <is>
          <t>军工</t>
        </is>
      </c>
      <c r="B150" t="inlineStr">
        <is>
          <t>军工材料-超材料与隐身材料</t>
        </is>
      </c>
      <c r="C150" t="inlineStr">
        <is>
          <t>核心</t>
        </is>
      </c>
      <c r="D150" t="inlineStr">
        <is>
          <t>688708</t>
        </is>
      </c>
      <c r="E150" t="inlineStr">
        <is>
          <t>佳驰科技</t>
        </is>
      </c>
    </row>
    <row r="151">
      <c r="A151" t="inlineStr">
        <is>
          <t>军工</t>
        </is>
      </c>
      <c r="B151" t="inlineStr">
        <is>
          <t>军工芯片与特种集成电路</t>
        </is>
      </c>
      <c r="C151" t="inlineStr">
        <is>
          <t>核心</t>
        </is>
      </c>
      <c r="D151" t="inlineStr">
        <is>
          <t>688709</t>
        </is>
      </c>
      <c r="E151" t="inlineStr">
        <is>
          <t>成都华微</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42"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公式引用隐藏展开表精确计数；一只股票可对应多个概念。</t>
        </is>
      </c>
    </row>
    <row r="4">
      <c r="B4" s="10" t="inlineStr">
        <is>
          <t>一级分类</t>
        </is>
      </c>
      <c r="C4" s="10" t="inlineStr">
        <is>
          <t>二级概念</t>
        </is>
      </c>
      <c r="D4" s="10" t="inlineStr">
        <is>
          <t>核心（只）</t>
        </is>
      </c>
      <c r="E4" s="10" t="inlineStr">
        <is>
          <t>相关（只）</t>
        </is>
      </c>
      <c r="F4" s="10" t="inlineStr">
        <is>
          <t>合计（只）</t>
        </is>
      </c>
    </row>
    <row r="5">
      <c r="B5" t="inlineStr">
        <is>
          <t>军工</t>
        </is>
      </c>
      <c r="C5" s="11" t="inlineStr">
        <is>
          <t>军事仿真与军工软件</t>
        </is>
      </c>
      <c r="D5" s="12">
        <f>COUNTIFS('概念展开'!$A$2:$A$151,B5,'概念展开'!$B$2:$B$151,C5,'概念展开'!$C$2:$C$151,"核心")</f>
        <v/>
      </c>
      <c r="E5" s="12">
        <f>COUNTIFS('概念展开'!$A$2:$A$151,B5,'概念展开'!$B$2:$B$151,C5,'概念展开'!$C$2:$C$151,"相关")</f>
        <v/>
      </c>
      <c r="F5">
        <f>SUM(D5:E5)</f>
        <v/>
      </c>
    </row>
    <row r="6">
      <c r="B6" s="13" t="inlineStr">
        <is>
          <t>军工</t>
        </is>
      </c>
      <c r="C6" s="14" t="inlineStr">
        <is>
          <t>军工材料-其他关键材料</t>
        </is>
      </c>
      <c r="D6" s="15">
        <f>COUNTIFS('概念展开'!$A$2:$A$151,B6,'概念展开'!$B$2:$B$151,C6,'概念展开'!$C$2:$C$151,"核心")</f>
        <v/>
      </c>
      <c r="E6" s="15">
        <f>COUNTIFS('概念展开'!$A$2:$A$151,B6,'概念展开'!$B$2:$B$151,C6,'概念展开'!$C$2:$C$151,"相关")</f>
        <v/>
      </c>
      <c r="F6" s="13">
        <f>SUM(D6:E6)</f>
        <v/>
      </c>
    </row>
    <row r="7">
      <c r="B7" t="inlineStr">
        <is>
          <t>军工</t>
        </is>
      </c>
      <c r="C7" s="11" t="inlineStr">
        <is>
          <t>军工材料-特种玻璃与石英</t>
        </is>
      </c>
      <c r="D7" s="12">
        <f>COUNTIFS('概念展开'!$A$2:$A$151,B7,'概念展开'!$B$2:$B$151,C7,'概念展开'!$C$2:$C$151,"核心")</f>
        <v/>
      </c>
      <c r="E7" s="12">
        <f>COUNTIFS('概念展开'!$A$2:$A$151,B7,'概念展开'!$B$2:$B$151,C7,'概念展开'!$C$2:$C$151,"相关")</f>
        <v/>
      </c>
      <c r="F7">
        <f>SUM(D7:E7)</f>
        <v/>
      </c>
    </row>
    <row r="8">
      <c r="B8" s="13" t="inlineStr">
        <is>
          <t>军工</t>
        </is>
      </c>
      <c r="C8" s="14" t="inlineStr">
        <is>
          <t>军工材料-碳纤维与复合材料</t>
        </is>
      </c>
      <c r="D8" s="15">
        <f>COUNTIFS('概念展开'!$A$2:$A$151,B8,'概念展开'!$B$2:$B$151,C8,'概念展开'!$C$2:$C$151,"核心")</f>
        <v/>
      </c>
      <c r="E8" s="15">
        <f>COUNTIFS('概念展开'!$A$2:$A$151,B8,'概念展开'!$B$2:$B$151,C8,'概念展开'!$C$2:$C$151,"相关")</f>
        <v/>
      </c>
      <c r="F8" s="13">
        <f>SUM(D8:E8)</f>
        <v/>
      </c>
    </row>
    <row r="9">
      <c r="B9" t="inlineStr">
        <is>
          <t>军工</t>
        </is>
      </c>
      <c r="C9" s="11" t="inlineStr">
        <is>
          <t>军工材料-超材料与隐身材料</t>
        </is>
      </c>
      <c r="D9" s="12">
        <f>COUNTIFS('概念展开'!$A$2:$A$151,B9,'概念展开'!$B$2:$B$151,C9,'概念展开'!$C$2:$C$151,"核心")</f>
        <v/>
      </c>
      <c r="E9" s="12">
        <f>COUNTIFS('概念展开'!$A$2:$A$151,B9,'概念展开'!$B$2:$B$151,C9,'概念展开'!$C$2:$C$151,"相关")</f>
        <v/>
      </c>
      <c r="F9">
        <f>SUM(D9:E9)</f>
        <v/>
      </c>
    </row>
    <row r="10">
      <c r="B10" s="13" t="inlineStr">
        <is>
          <t>军工</t>
        </is>
      </c>
      <c r="C10" s="14" t="inlineStr">
        <is>
          <t>军工材料-钛合金与高温合金</t>
        </is>
      </c>
      <c r="D10" s="15">
        <f>COUNTIFS('概念展开'!$A$2:$A$151,B10,'概念展开'!$B$2:$B$151,C10,'概念展开'!$C$2:$C$151,"核心")</f>
        <v/>
      </c>
      <c r="E10" s="15">
        <f>COUNTIFS('概念展开'!$A$2:$A$151,B10,'概念展开'!$B$2:$B$151,C10,'概念展开'!$C$2:$C$151,"相关")</f>
        <v/>
      </c>
      <c r="F10" s="13">
        <f>SUM(D10:E10)</f>
        <v/>
      </c>
    </row>
    <row r="11">
      <c r="B11" t="inlineStr">
        <is>
          <t>军工</t>
        </is>
      </c>
      <c r="C11" s="11" t="inlineStr">
        <is>
          <t>军工电源与电机电气</t>
        </is>
      </c>
      <c r="D11" s="12">
        <f>COUNTIFS('概念展开'!$A$2:$A$151,B11,'概念展开'!$B$2:$B$151,C11,'概念展开'!$C$2:$C$151,"核心")</f>
        <v/>
      </c>
      <c r="E11" s="12">
        <f>COUNTIFS('概念展开'!$A$2:$A$151,B11,'概念展开'!$B$2:$B$151,C11,'概念展开'!$C$2:$C$151,"相关")</f>
        <v/>
      </c>
      <c r="F11">
        <f>SUM(D11:E11)</f>
        <v/>
      </c>
    </row>
    <row r="12">
      <c r="B12" s="13" t="inlineStr">
        <is>
          <t>军工</t>
        </is>
      </c>
      <c r="C12" s="14" t="inlineStr">
        <is>
          <t>军工芯片与特种集成电路</t>
        </is>
      </c>
      <c r="D12" s="15">
        <f>COUNTIFS('概念展开'!$A$2:$A$151,B12,'概念展开'!$B$2:$B$151,C12,'概念展开'!$C$2:$C$151,"核心")</f>
        <v/>
      </c>
      <c r="E12" s="15">
        <f>COUNTIFS('概念展开'!$A$2:$A$151,B12,'概念展开'!$B$2:$B$151,C12,'概念展开'!$C$2:$C$151,"相关")</f>
        <v/>
      </c>
      <c r="F12" s="13">
        <f>SUM(D12:E12)</f>
        <v/>
      </c>
    </row>
    <row r="13">
      <c r="B13" t="inlineStr">
        <is>
          <t>军工</t>
        </is>
      </c>
      <c r="C13" s="11" t="inlineStr">
        <is>
          <t>军工被动元件与连接器</t>
        </is>
      </c>
      <c r="D13" s="12">
        <f>COUNTIFS('概念展开'!$A$2:$A$151,B13,'概念展开'!$B$2:$B$151,C13,'概念展开'!$C$2:$C$151,"核心")</f>
        <v/>
      </c>
      <c r="E13" s="12">
        <f>COUNTIFS('概念展开'!$A$2:$A$151,B13,'概念展开'!$B$2:$B$151,C13,'概念展开'!$C$2:$C$151,"相关")</f>
        <v/>
      </c>
      <c r="F13">
        <f>SUM(D13:E13)</f>
        <v/>
      </c>
    </row>
    <row r="14">
      <c r="B14" s="13" t="inlineStr">
        <is>
          <t>军工</t>
        </is>
      </c>
      <c r="C14" s="14" t="inlineStr">
        <is>
          <t>军工配套-通用零部件</t>
        </is>
      </c>
      <c r="D14" s="15">
        <f>COUNTIFS('概念展开'!$A$2:$A$151,B14,'概念展开'!$B$2:$B$151,C14,'概念展开'!$C$2:$C$151,"核心")</f>
        <v/>
      </c>
      <c r="E14" s="15">
        <f>COUNTIFS('概念展开'!$A$2:$A$151,B14,'概念展开'!$B$2:$B$151,C14,'概念展开'!$C$2:$C$151,"相关")</f>
        <v/>
      </c>
      <c r="F14" s="13">
        <f>SUM(D14:E14)</f>
        <v/>
      </c>
    </row>
    <row r="15">
      <c r="B15" t="inlineStr">
        <is>
          <t>军工</t>
        </is>
      </c>
      <c r="C15" s="11" t="inlineStr">
        <is>
          <t>军用导航与惯导</t>
        </is>
      </c>
      <c r="D15" s="12">
        <f>COUNTIFS('概念展开'!$A$2:$A$151,B15,'概念展开'!$B$2:$B$151,C15,'概念展开'!$C$2:$C$151,"核心")</f>
        <v/>
      </c>
      <c r="E15" s="12">
        <f>COUNTIFS('概念展开'!$A$2:$A$151,B15,'概念展开'!$B$2:$B$151,C15,'概念展开'!$C$2:$C$151,"相关")</f>
        <v/>
      </c>
      <c r="F15">
        <f>SUM(D15:E15)</f>
        <v/>
      </c>
    </row>
    <row r="16">
      <c r="B16" s="13" t="inlineStr">
        <is>
          <t>军工</t>
        </is>
      </c>
      <c r="C16" s="14" t="inlineStr">
        <is>
          <t>军用无人装备与机器人</t>
        </is>
      </c>
      <c r="D16" s="15">
        <f>COUNTIFS('概念展开'!$A$2:$A$151,B16,'概念展开'!$B$2:$B$151,C16,'概念展开'!$C$2:$C$151,"核心")</f>
        <v/>
      </c>
      <c r="E16" s="15">
        <f>COUNTIFS('概念展开'!$A$2:$A$151,B16,'概念展开'!$B$2:$B$151,C16,'概念展开'!$C$2:$C$151,"相关")</f>
        <v/>
      </c>
      <c r="F16" s="13">
        <f>SUM(D16:E16)</f>
        <v/>
      </c>
    </row>
    <row r="17">
      <c r="B17" t="inlineStr">
        <is>
          <t>军工</t>
        </is>
      </c>
      <c r="C17" s="11" t="inlineStr">
        <is>
          <t>军用通信与指挥控制</t>
        </is>
      </c>
      <c r="D17" s="12">
        <f>COUNTIFS('概念展开'!$A$2:$A$151,B17,'概念展开'!$B$2:$B$151,C17,'概念展开'!$C$2:$C$151,"核心")</f>
        <v/>
      </c>
      <c r="E17" s="12">
        <f>COUNTIFS('概念展开'!$A$2:$A$151,B17,'概念展开'!$B$2:$B$151,C17,'概念展开'!$C$2:$C$151,"相关")</f>
        <v/>
      </c>
      <c r="F17">
        <f>SUM(D17:E17)</f>
        <v/>
      </c>
    </row>
    <row r="18">
      <c r="B18" s="13" t="inlineStr">
        <is>
          <t>军工</t>
        </is>
      </c>
      <c r="C18" s="14" t="inlineStr">
        <is>
          <t>地面武器与装甲车辆</t>
        </is>
      </c>
      <c r="D18" s="15">
        <f>COUNTIFS('概念展开'!$A$2:$A$151,B18,'概念展开'!$B$2:$B$151,C18,'概念展开'!$C$2:$C$151,"核心")</f>
        <v/>
      </c>
      <c r="E18" s="15">
        <f>COUNTIFS('概念展开'!$A$2:$A$151,B18,'概念展开'!$B$2:$B$151,C18,'概念展开'!$C$2:$C$151,"相关")</f>
        <v/>
      </c>
      <c r="F18" s="13">
        <f>SUM(D18:E18)</f>
        <v/>
      </c>
    </row>
    <row r="19">
      <c r="B19" t="inlineStr">
        <is>
          <t>军工</t>
        </is>
      </c>
      <c r="C19" s="11" t="inlineStr">
        <is>
          <t>导弹与精确制导</t>
        </is>
      </c>
      <c r="D19" s="12">
        <f>COUNTIFS('概念展开'!$A$2:$A$151,B19,'概念展开'!$B$2:$B$151,C19,'概念展开'!$C$2:$C$151,"核心")</f>
        <v/>
      </c>
      <c r="E19" s="12">
        <f>COUNTIFS('概念展开'!$A$2:$A$151,B19,'概念展开'!$B$2:$B$151,C19,'概念展开'!$C$2:$C$151,"相关")</f>
        <v/>
      </c>
      <c r="F19">
        <f>SUM(D19:E19)</f>
        <v/>
      </c>
    </row>
    <row r="20">
      <c r="B20" s="13" t="inlineStr">
        <is>
          <t>军工</t>
        </is>
      </c>
      <c r="C20" s="14" t="inlineStr">
        <is>
          <t>弹药与特种装备</t>
        </is>
      </c>
      <c r="D20" s="15">
        <f>COUNTIFS('概念展开'!$A$2:$A$151,B20,'概念展开'!$B$2:$B$151,C20,'概念展开'!$C$2:$C$151,"核心")</f>
        <v/>
      </c>
      <c r="E20" s="15">
        <f>COUNTIFS('概念展开'!$A$2:$A$151,B20,'概念展开'!$B$2:$B$151,C20,'概念展开'!$C$2:$C$151,"相关")</f>
        <v/>
      </c>
      <c r="F20" s="13">
        <f>SUM(D20:E20)</f>
        <v/>
      </c>
    </row>
    <row r="21">
      <c r="B21" t="inlineStr">
        <is>
          <t>军工</t>
        </is>
      </c>
      <c r="C21" s="11" t="inlineStr">
        <is>
          <t>枪械与单兵装备</t>
        </is>
      </c>
      <c r="D21" s="12">
        <f>COUNTIFS('概念展开'!$A$2:$A$151,B21,'概念展开'!$B$2:$B$151,C21,'概念展开'!$C$2:$C$151,"核心")</f>
        <v/>
      </c>
      <c r="E21" s="12">
        <f>COUNTIFS('概念展开'!$A$2:$A$151,B21,'概念展开'!$B$2:$B$151,C21,'概念展开'!$C$2:$C$151,"相关")</f>
        <v/>
      </c>
      <c r="F21">
        <f>SUM(D21:E21)</f>
        <v/>
      </c>
    </row>
    <row r="22">
      <c r="B22" s="13" t="inlineStr">
        <is>
          <t>军工</t>
        </is>
      </c>
      <c r="C22" s="14" t="inlineStr">
        <is>
          <t>核化生防御与应急救援</t>
        </is>
      </c>
      <c r="D22" s="15">
        <f>COUNTIFS('概念展开'!$A$2:$A$151,B22,'概念展开'!$B$2:$B$151,C22,'概念展开'!$C$2:$C$151,"核心")</f>
        <v/>
      </c>
      <c r="E22" s="15">
        <f>COUNTIFS('概念展开'!$A$2:$A$151,B22,'概念展开'!$B$2:$B$151,C22,'概念展开'!$C$2:$C$151,"相关")</f>
        <v/>
      </c>
      <c r="F22" s="13">
        <f>SUM(D22:E22)</f>
        <v/>
      </c>
    </row>
    <row r="23">
      <c r="B23" t="inlineStr">
        <is>
          <t>军工</t>
        </is>
      </c>
      <c r="C23" s="11" t="inlineStr">
        <is>
          <t>水声与海洋电子</t>
        </is>
      </c>
      <c r="D23" s="12">
        <f>COUNTIFS('概念展开'!$A$2:$A$151,B23,'概念展开'!$B$2:$B$151,C23,'概念展开'!$C$2:$C$151,"核心")</f>
        <v/>
      </c>
      <c r="E23" s="12">
        <f>COUNTIFS('概念展开'!$A$2:$A$151,B23,'概念展开'!$B$2:$B$151,C23,'概念展开'!$C$2:$C$151,"相关")</f>
        <v/>
      </c>
      <c r="F23">
        <f>SUM(D23:E23)</f>
        <v/>
      </c>
    </row>
    <row r="24">
      <c r="B24" s="13" t="inlineStr">
        <is>
          <t>军工</t>
        </is>
      </c>
      <c r="C24" s="14" t="inlineStr">
        <is>
          <t>电子对抗与蓝军仿真</t>
        </is>
      </c>
      <c r="D24" s="15">
        <f>COUNTIFS('概念展开'!$A$2:$A$151,B24,'概念展开'!$B$2:$B$151,C24,'概念展开'!$C$2:$C$151,"核心")</f>
        <v/>
      </c>
      <c r="E24" s="15">
        <f>COUNTIFS('概念展开'!$A$2:$A$151,B24,'概念展开'!$B$2:$B$151,C24,'概念展开'!$C$2:$C$151,"相关")</f>
        <v/>
      </c>
      <c r="F24" s="13">
        <f>SUM(D24:E24)</f>
        <v/>
      </c>
    </row>
    <row r="25">
      <c r="B25" t="inlineStr">
        <is>
          <t>军工</t>
        </is>
      </c>
      <c r="C25" s="11" t="inlineStr">
        <is>
          <t>红外光电与激光</t>
        </is>
      </c>
      <c r="D25" s="12">
        <f>COUNTIFS('概念展开'!$A$2:$A$151,B25,'概念展开'!$B$2:$B$151,C25,'概念展开'!$C$2:$C$151,"核心")</f>
        <v/>
      </c>
      <c r="E25" s="12">
        <f>COUNTIFS('概念展开'!$A$2:$A$151,B25,'概念展开'!$B$2:$B$151,C25,'概念展开'!$C$2:$C$151,"相关")</f>
        <v/>
      </c>
      <c r="F25">
        <f>SUM(D25:E25)</f>
        <v/>
      </c>
    </row>
    <row r="26">
      <c r="B26" s="13" t="inlineStr">
        <is>
          <t>军工</t>
        </is>
      </c>
      <c r="C26" s="14" t="inlineStr">
        <is>
          <t>航天装备与分系统</t>
        </is>
      </c>
      <c r="D26" s="15">
        <f>COUNTIFS('概念展开'!$A$2:$A$151,B26,'概念展开'!$B$2:$B$151,C26,'概念展开'!$C$2:$C$151,"核心")</f>
        <v/>
      </c>
      <c r="E26" s="15">
        <f>COUNTIFS('概念展开'!$A$2:$A$151,B26,'概念展开'!$B$2:$B$151,C26,'概念展开'!$C$2:$C$151,"相关")</f>
        <v/>
      </c>
      <c r="F26" s="13">
        <f>SUM(D26:E26)</f>
        <v/>
      </c>
    </row>
    <row r="27">
      <c r="B27" t="inlineStr">
        <is>
          <t>军工</t>
        </is>
      </c>
      <c r="C27" s="11" t="inlineStr">
        <is>
          <t>航空发动机与燃气轮机</t>
        </is>
      </c>
      <c r="D27" s="12">
        <f>COUNTIFS('概念展开'!$A$2:$A$151,B27,'概念展开'!$B$2:$B$151,C27,'概念展开'!$C$2:$C$151,"核心")</f>
        <v/>
      </c>
      <c r="E27" s="12">
        <f>COUNTIFS('概念展开'!$A$2:$A$151,B27,'概念展开'!$B$2:$B$151,C27,'概念展开'!$C$2:$C$151,"相关")</f>
        <v/>
      </c>
      <c r="F27">
        <f>SUM(D27:E27)</f>
        <v/>
      </c>
    </row>
    <row r="28">
      <c r="B28" s="13" t="inlineStr">
        <is>
          <t>军工</t>
        </is>
      </c>
      <c r="C28" s="14" t="inlineStr">
        <is>
          <t>航空地面保障装备</t>
        </is>
      </c>
      <c r="D28" s="15">
        <f>COUNTIFS('概念展开'!$A$2:$A$151,B28,'概念展开'!$B$2:$B$151,C28,'概念展开'!$C$2:$C$151,"核心")</f>
        <v/>
      </c>
      <c r="E28" s="15">
        <f>COUNTIFS('概念展开'!$A$2:$A$151,B28,'概念展开'!$B$2:$B$151,C28,'概念展开'!$C$2:$C$151,"相关")</f>
        <v/>
      </c>
      <c r="F28" s="13">
        <f>SUM(D28:E28)</f>
        <v/>
      </c>
    </row>
    <row r="29">
      <c r="B29" t="inlineStr">
        <is>
          <t>军工</t>
        </is>
      </c>
      <c r="C29" s="11" t="inlineStr">
        <is>
          <t>航空整机-固定翼</t>
        </is>
      </c>
      <c r="D29" s="12">
        <f>COUNTIFS('概念展开'!$A$2:$A$151,B29,'概念展开'!$B$2:$B$151,C29,'概念展开'!$C$2:$C$151,"核心")</f>
        <v/>
      </c>
      <c r="E29" s="12">
        <f>COUNTIFS('概念展开'!$A$2:$A$151,B29,'概念展开'!$B$2:$B$151,C29,'概念展开'!$C$2:$C$151,"相关")</f>
        <v/>
      </c>
      <c r="F29">
        <f>SUM(D29:E29)</f>
        <v/>
      </c>
    </row>
    <row r="30">
      <c r="B30" s="13" t="inlineStr">
        <is>
          <t>军工</t>
        </is>
      </c>
      <c r="C30" s="14" t="inlineStr">
        <is>
          <t>航空整机-直升机</t>
        </is>
      </c>
      <c r="D30" s="15">
        <f>COUNTIFS('概念展开'!$A$2:$A$151,B30,'概念展开'!$B$2:$B$151,C30,'概念展开'!$C$2:$C$151,"核心")</f>
        <v/>
      </c>
      <c r="E30" s="15">
        <f>COUNTIFS('概念展开'!$A$2:$A$151,B30,'概念展开'!$B$2:$B$151,C30,'概念展开'!$C$2:$C$151,"相关")</f>
        <v/>
      </c>
      <c r="F30" s="13">
        <f>SUM(D30:E30)</f>
        <v/>
      </c>
    </row>
    <row r="31">
      <c r="B31" t="inlineStr">
        <is>
          <t>军工</t>
        </is>
      </c>
      <c r="C31" s="11" t="inlineStr">
        <is>
          <t>航空机载系统与航电</t>
        </is>
      </c>
      <c r="D31" s="12">
        <f>COUNTIFS('概念展开'!$A$2:$A$151,B31,'概念展开'!$B$2:$B$151,C31,'概念展开'!$C$2:$C$151,"核心")</f>
        <v/>
      </c>
      <c r="E31" s="12">
        <f>COUNTIFS('概念展开'!$A$2:$A$151,B31,'概念展开'!$B$2:$B$151,C31,'概念展开'!$C$2:$C$151,"相关")</f>
        <v/>
      </c>
      <c r="F31">
        <f>SUM(D31:E31)</f>
        <v/>
      </c>
    </row>
    <row r="32">
      <c r="B32" s="13" t="inlineStr">
        <is>
          <t>军工</t>
        </is>
      </c>
      <c r="C32" s="14" t="inlineStr">
        <is>
          <t>航空结构件与锻铸件</t>
        </is>
      </c>
      <c r="D32" s="15">
        <f>COUNTIFS('概念展开'!$A$2:$A$151,B32,'概念展开'!$B$2:$B$151,C32,'概念展开'!$C$2:$C$151,"核心")</f>
        <v/>
      </c>
      <c r="E32" s="15">
        <f>COUNTIFS('概念展开'!$A$2:$A$151,B32,'概念展开'!$B$2:$B$151,C32,'概念展开'!$C$2:$C$151,"相关")</f>
        <v/>
      </c>
      <c r="F32" s="13">
        <f>SUM(D32:E32)</f>
        <v/>
      </c>
    </row>
    <row r="33">
      <c r="B33" t="inlineStr">
        <is>
          <t>军工</t>
        </is>
      </c>
      <c r="C33" s="11" t="inlineStr">
        <is>
          <t>舰船动力与推进</t>
        </is>
      </c>
      <c r="D33" s="12">
        <f>COUNTIFS('概念展开'!$A$2:$A$151,B33,'概念展开'!$B$2:$B$151,C33,'概念展开'!$C$2:$C$151,"核心")</f>
        <v/>
      </c>
      <c r="E33" s="12">
        <f>COUNTIFS('概念展开'!$A$2:$A$151,B33,'概念展开'!$B$2:$B$151,C33,'概念展开'!$C$2:$C$151,"相关")</f>
        <v/>
      </c>
      <c r="F33">
        <f>SUM(D33:E33)</f>
        <v/>
      </c>
    </row>
    <row r="34">
      <c r="B34" s="13" t="inlineStr">
        <is>
          <t>军工</t>
        </is>
      </c>
      <c r="C34" s="14" t="inlineStr">
        <is>
          <t>船舶总装与海洋防务</t>
        </is>
      </c>
      <c r="D34" s="15">
        <f>COUNTIFS('概念展开'!$A$2:$A$151,B34,'概念展开'!$B$2:$B$151,C34,'概念展开'!$C$2:$C$151,"核心")</f>
        <v/>
      </c>
      <c r="E34" s="15">
        <f>COUNTIFS('概念展开'!$A$2:$A$151,B34,'概念展开'!$B$2:$B$151,C34,'概念展开'!$C$2:$C$151,"相关")</f>
        <v/>
      </c>
      <c r="F34" s="13">
        <f>SUM(D34:E34)</f>
        <v/>
      </c>
    </row>
    <row r="35">
      <c r="B35" t="inlineStr">
        <is>
          <t>军工</t>
        </is>
      </c>
      <c r="C35" s="11" t="inlineStr">
        <is>
          <t>雷达与预警探测</t>
        </is>
      </c>
      <c r="D35" s="12">
        <f>COUNTIFS('概念展开'!$A$2:$A$151,B35,'概念展开'!$B$2:$B$151,C35,'概念展开'!$C$2:$C$151,"核心")</f>
        <v/>
      </c>
      <c r="E35" s="12">
        <f>COUNTIFS('概念展开'!$A$2:$A$151,B35,'概念展开'!$B$2:$B$151,C35,'概念展开'!$C$2:$C$151,"相关")</f>
        <v/>
      </c>
      <c r="F35">
        <f>SUM(D35:E35)</f>
        <v/>
      </c>
    </row>
    <row r="36">
      <c r="B36" s="16" t="inlineStr">
        <is>
          <t>合计（概念次数，非股票去重数）</t>
        </is>
      </c>
      <c r="D36" s="16">
        <f>SUM(D5:D35)</f>
        <v/>
      </c>
      <c r="E36" s="16">
        <f>SUM(E5:E35)</f>
        <v/>
      </c>
      <c r="F36" s="16">
        <f>SUM(F5:F35)</f>
        <v/>
      </c>
    </row>
  </sheetData>
  <autoFilter ref="B4:F35"/>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2026-10-27T04:19:01Z</dcterms:created>
  <dcterms:modified xmlns:dcterms="http://purl.org/dc/terms/" xmlns:xsi="http://www.w3.org/2001/XMLSchema-instance" xsi:type="dcterms:W3CDTF">2026-10-27T04:19:04Z</dcterms:modified>
</cp:coreProperties>
</file>