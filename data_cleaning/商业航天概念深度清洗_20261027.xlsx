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封面" sheetId="1" state="visible" r:id="rId1"/>
    <sheet xmlns:r="http://schemas.openxmlformats.org/officeDocument/2006/relationships" name="清洗总表" sheetId="2" state="visible" r:id="rId2"/>
    <sheet xmlns:r="http://schemas.openxmlformats.org/officeDocument/2006/relationships" name="商业航天" sheetId="3" state="visible" r:id="rId3"/>
    <sheet xmlns:r="http://schemas.openxmlformats.org/officeDocument/2006/relationships" name="摘除清单" sheetId="4" state="visible" r:id="rId4"/>
    <sheet xmlns:r="http://schemas.openxmlformats.org/officeDocument/2006/relationships" name="概念展开" sheetId="5" state="hidden" r:id="rId5"/>
    <sheet xmlns:r="http://schemas.openxmlformats.org/officeDocument/2006/relationships" name="概念统计" sheetId="6" state="visible" r:id="rId6"/>
  </sheets>
  <definedNames>
    <definedName name="_xlnm._FilterDatabase" localSheetId="1" hidden="1">'清洗总表'!$B$4:$M$94</definedName>
    <definedName name="_xlnm._FilterDatabase" localSheetId="2" hidden="1">'商业航天'!$B$4:$M$78</definedName>
    <definedName name="_xlnm._FilterDatabase" localSheetId="3" hidden="1">'摘除清单'!$B$4:$M$20</definedName>
    <definedName name="_xlnm._FilterDatabase" localSheetId="5" hidden="1">'概念统计'!$B$4:$F$27</definedName>
  </definedNames>
  <calcPr calcMode="auto" fullCalcOnLoad="1" forceFullCalc="1" calcId="124519"/>
</workbook>
</file>

<file path=xl/styles.xml><?xml version="1.0" encoding="utf-8"?>
<styleSheet xmlns="http://schemas.openxmlformats.org/spreadsheetml/2006/main">
  <numFmts count="0"/>
  <fonts count="15">
    <font>
      <name val="Calibri"/>
      <family val="2"/>
      <color theme="1"/>
      <sz val="11"/>
      <scheme val="minor"/>
    </font>
    <font>
      <name val="Microsoft YaHei"/>
      <b val="1"/>
      <color rgb="0017365D"/>
      <sz val="18"/>
    </font>
    <font>
      <name val="Microsoft YaHei"/>
      <color rgb="00666666"/>
      <sz val="10"/>
    </font>
    <font>
      <name val="Microsoft YaHei"/>
      <b val="1"/>
      <color rgb="00FFFFFF"/>
    </font>
    <font>
      <name val="Microsoft YaHei"/>
      <color rgb="000066CC"/>
      <sz val="10"/>
    </font>
    <font>
      <name val="Microsoft YaHei"/>
      <color rgb="00FF0000"/>
      <sz val="10"/>
    </font>
    <font>
      <b val="1"/>
      <color rgb="00FFFFFF"/>
    </font>
    <font>
      <color rgb="000066CC"/>
    </font>
    <font>
      <color rgb="00008000"/>
    </font>
    <font>
      <b val="1"/>
    </font>
    <font>
      <name val="Microsoft YaHei"/>
      <b val="1"/>
      <color rgb="00333333"/>
    </font>
    <font>
      <name val="Microsoft YaHei"/>
      <b val="1"/>
      <color rgb="00008000"/>
      <sz val="14"/>
    </font>
    <font>
      <b val="1"/>
      <color rgb="0017365D"/>
      <sz val="13"/>
    </font>
    <font>
      <b val="1"/>
      <color rgb="000066CC"/>
    </font>
    <font>
      <color rgb="00666666"/>
      <sz val="10"/>
    </font>
  </fonts>
  <fills count="4">
    <fill>
      <patternFill/>
    </fill>
    <fill>
      <patternFill patternType="gray125"/>
    </fill>
    <fill>
      <patternFill patternType="solid">
        <fgColor rgb="0017365D"/>
      </patternFill>
    </fill>
    <fill>
      <patternFill patternType="solid">
        <fgColor rgb="00F5F7FA"/>
      </patternFill>
    </fill>
  </fills>
  <borders count="2">
    <border>
      <left/>
      <right/>
      <top/>
      <bottom/>
      <diagonal/>
    </border>
    <border>
      <bottom style="thin">
        <color rgb="00D0D7E2"/>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4" fillId="3" borderId="0" applyAlignment="1" pivotButton="0" quotePrefix="0" xfId="0">
      <alignment horizontal="left" vertical="top"/>
    </xf>
    <xf numFmtId="0" fontId="4" fillId="3" borderId="0" applyAlignment="1" pivotButton="0" quotePrefix="0" xfId="0">
      <alignment horizontal="left" vertical="top" wrapText="1"/>
    </xf>
    <xf numFmtId="0" fontId="5" fillId="3" borderId="0" applyAlignment="1" pivotButton="0" quotePrefix="0" xfId="0">
      <alignment horizontal="left" vertical="top" wrapText="1"/>
    </xf>
    <xf numFmtId="0" fontId="6" fillId="2" borderId="0" applyAlignment="1" pivotButton="0" quotePrefix="0" xfId="0">
      <alignment horizontal="center"/>
    </xf>
    <xf numFmtId="0" fontId="7" fillId="0" borderId="0" pivotButton="0" quotePrefix="0" xfId="0"/>
    <xf numFmtId="0" fontId="8" fillId="0" borderId="0" pivotButton="0" quotePrefix="0" xfId="0"/>
    <xf numFmtId="0" fontId="0" fillId="3" borderId="0" pivotButton="0" quotePrefix="0" xfId="0"/>
    <xf numFmtId="0" fontId="7" fillId="3" borderId="0" pivotButton="0" quotePrefix="0" xfId="0"/>
    <xf numFmtId="0" fontId="8" fillId="3"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6"/>
  <sheetViews>
    <sheetView showGridLines="0" workbookViewId="0">
      <selection activeCell="A1" sqref="A1"/>
    </sheetView>
  </sheetViews>
  <sheetFormatPr baseColWidth="8" defaultRowHeight="15" outlineLevelCol="0"/>
  <cols>
    <col width="2" customWidth="1" min="1" max="1"/>
    <col width="30" customWidth="1" min="2" max="2"/>
    <col width="18" customWidth="1" min="3" max="3"/>
    <col width="18" customWidth="1" min="4" max="4"/>
    <col width="18" customWidth="1" min="5" max="5"/>
    <col width="18" customWidth="1" min="6" max="6"/>
    <col width="18" customWidth="1" min="7" max="7"/>
    <col width="18" customWidth="1" min="8" max="8"/>
  </cols>
  <sheetData>
    <row r="2" ht="32" customHeight="1">
      <c r="B2" s="1" t="inlineStr">
        <is>
          <t>商业航天概念深度清洗报告</t>
        </is>
      </c>
    </row>
    <row r="3">
      <c r="B3" s="2" t="inlineStr">
        <is>
          <t>复核日期：2026-10-27｜范围：90只｜重点：业务实质、产品层级、商业订单与二次边界复审</t>
        </is>
      </c>
    </row>
    <row r="6" ht="26" customHeight="1">
      <c r="B6" s="17" t="inlineStr">
        <is>
          <t>复核股票（只）</t>
        </is>
      </c>
      <c r="C6" s="18">
        <f>COUNTA('清洗总表'!$B$5:$B$94)</f>
        <v/>
      </c>
    </row>
    <row r="7" ht="26" customHeight="1">
      <c r="B7" s="17" t="inlineStr">
        <is>
          <t>保留商业航天（只）</t>
        </is>
      </c>
      <c r="C7" s="18">
        <f>COUNTA('商业航天'!$B$5:$B$78)</f>
        <v/>
      </c>
    </row>
    <row r="8" ht="26" customHeight="1">
      <c r="B8" s="17" t="inlineStr">
        <is>
          <t>核心判词（只）</t>
        </is>
      </c>
      <c r="C8" s="18">
        <f>COUNTIF('商业航天'!$H$5:$H$78,"核心")</f>
        <v/>
      </c>
    </row>
    <row r="9" ht="26" customHeight="1">
      <c r="B9" s="17" t="inlineStr">
        <is>
          <t>相关判词（只）</t>
        </is>
      </c>
      <c r="C9" s="18">
        <f>COUNTIF('商业航天'!$H$5:$H$78,"相关")</f>
        <v/>
      </c>
    </row>
    <row r="10" ht="26" customHeight="1">
      <c r="B10" s="17" t="inlineStr">
        <is>
          <t>纠错动作（只）</t>
        </is>
      </c>
      <c r="C10" s="18">
        <f>COUNTIF('清洗总表'!$E$5:$E$94,"纠错")</f>
        <v/>
      </c>
    </row>
    <row r="11" ht="26" customHeight="1">
      <c r="B11" s="17" t="inlineStr">
        <is>
          <t>完全摘除（只）</t>
        </is>
      </c>
      <c r="C11" s="18">
        <f>COUNTA('摘除清单'!$B$5:$B$20)</f>
        <v/>
      </c>
    </row>
    <row r="15">
      <c r="B15" s="19" t="inlineStr">
        <is>
          <t>工作表索引</t>
        </is>
      </c>
    </row>
    <row r="16">
      <c r="B16" s="20" t="inlineStr">
        <is>
          <t>清洗总表</t>
        </is>
      </c>
      <c r="C16" s="11" t="inlineStr">
        <is>
          <t>90只旧概念、新概念、动作、判词、详细理由和证据</t>
        </is>
      </c>
    </row>
    <row r="17">
      <c r="B17" s="20" t="inlineStr">
        <is>
          <t>商业航天</t>
        </is>
      </c>
      <c r="C17" s="11" t="inlineStr">
        <is>
          <t>74只清洗后商业航天公司</t>
        </is>
      </c>
    </row>
    <row r="18">
      <c r="B18" s="20" t="inlineStr">
        <is>
          <t>摘除清单</t>
        </is>
      </c>
      <c r="C18" s="11" t="inlineStr">
        <is>
          <t>16只通用业务或商业航天证据不足公司</t>
        </is>
      </c>
    </row>
    <row r="19">
      <c r="B19" s="20" t="inlineStr">
        <is>
          <t>概念统计</t>
        </is>
      </c>
      <c r="C19" s="11" t="inlineStr">
        <is>
          <t>23个实际使用的二级概念</t>
        </is>
      </c>
    </row>
    <row r="23">
      <c r="B23" s="21" t="inlineStr">
        <is>
          <t>核心：商业航天是明确主营、重要收入来源，或已有规模化核心产品；相关：有真实产品、订单、交付、运营或股权，但早期、低占比、未拆分或民品为主。</t>
        </is>
      </c>
    </row>
    <row r="24">
      <c r="B24" s="21" t="inlineStr">
        <is>
          <t>摘除：只有央企背景、国家队、千帆概念、SpaceX潜在供应、通用产品可上天或太空光伏联想；传统航天与军品收入不自动归入商业航天。</t>
        </is>
      </c>
    </row>
    <row r="25">
      <c r="B25" s="21" t="inlineStr">
        <is>
          <t>二次复审：航天电子由核心降为相关，避免把传统航天配套收入等同商业航天；豪能股份依据公告确认的实际商业航天应用，由摘除恢复为相关。</t>
        </is>
      </c>
    </row>
    <row r="26">
      <c r="B26" s="21" t="inlineStr">
        <is>
          <t>主营与2025分部：iFinD ifind_get_stock_info、ifind_get_stock_business_segmentation（2026-10-27）；逐股公告与证据见Source列。</t>
        </is>
      </c>
    </row>
  </sheetData>
  <mergeCells count="10">
    <mergeCell ref="B26:H26"/>
    <mergeCell ref="C16:G16"/>
    <mergeCell ref="C19:G19"/>
    <mergeCell ref="B2:H2"/>
    <mergeCell ref="B24:H24"/>
    <mergeCell ref="B25:H25"/>
    <mergeCell ref="B3:H3"/>
    <mergeCell ref="C18:G18"/>
    <mergeCell ref="C17:G17"/>
    <mergeCell ref="B23:H23"/>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B2:M9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40" customWidth="1" min="4" max="4"/>
    <col width="10" customWidth="1" min="5" max="5"/>
    <col width="16" customWidth="1" min="6" max="6"/>
    <col width="60" customWidth="1" min="7" max="7"/>
    <col width="10" customWidth="1" min="8" max="8"/>
    <col width="125" customWidth="1" min="9" max="9"/>
    <col width="52" customWidth="1" min="10" max="10"/>
    <col width="14" customWidth="1" min="11" max="11"/>
    <col width="62" customWidth="1" min="12" max="12"/>
    <col width="82" customWidth="1" min="13" max="13"/>
  </cols>
  <sheetData>
    <row r="2" ht="32" customHeight="1">
      <c r="B2" s="1" t="inlineStr">
        <is>
          <t>商业航天 · 90只逐项复核</t>
        </is>
      </c>
    </row>
    <row r="3">
      <c r="B3" s="2" t="inlineStr">
        <is>
          <t>逐股核对真实产品、订单、客户、交付、运营与股权；区分商业航天、传统军工航天和潜在联想。</t>
        </is>
      </c>
    </row>
    <row r="4">
      <c r="B4" s="3" t="inlineStr">
        <is>
          <t>代码</t>
        </is>
      </c>
      <c r="C4" s="3" t="inlineStr">
        <is>
          <t>名称</t>
        </is>
      </c>
      <c r="D4" s="3" t="inlineStr">
        <is>
          <t>旧商业航天概念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104" customHeight="1">
      <c r="B5" s="4" t="inlineStr">
        <is>
          <t>000547</t>
        </is>
      </c>
      <c r="C5" s="4" t="inlineStr">
        <is>
          <t>航天发展</t>
        </is>
      </c>
      <c r="D5" s="5" t="inlineStr">
        <is>
          <t>商业航天：国家队</t>
        </is>
      </c>
      <c r="E5" s="4" t="inlineStr">
        <is>
          <t>纠错</t>
        </is>
      </c>
      <c r="F5" s="4" t="inlineStr">
        <is>
          <t>商业航天</t>
        </is>
      </c>
      <c r="G5" s="5" t="inlineStr">
        <is>
          <t>卫星数据与遥感应用</t>
        </is>
      </c>
      <c r="H5" s="4" t="inlineStr">
        <is>
          <t>相关</t>
        </is>
      </c>
      <c r="I5" s="5" t="inlineStr">
        <is>
          <t>公司真实可核验的商业航天业务不是凭央企或航天科工背景推定，而是天目一号商业低轨气象星座的建设运营及空间信息应用：星座已形成探测能力，并向中国气象局实时推送数据，属于卫星数据生产、传输与应用服务。2025年空间信息应用类产品收入仅0.061亿元，且年报未把其中商业气象数据运营收入进一步单独拆分，相对公司整体收入体量很小，不能据此认定商业航天已成为核心主业。因此将旧“国家队”和“核心”纠正为“卫星数据与遥感应用、相关”，保留依据是实际星座运营与气象数据交付，而非军工电子对抗、蓝军仿真或军品收入；这些军工业务不计入本次商业航天定级。</t>
        </is>
      </c>
      <c r="J5" s="4" t="inlineStr">
        <is>
          <t>航天发展：2025年年度报告</t>
        </is>
      </c>
      <c r="K5" s="4" t="inlineStr">
        <is>
          <t>2026-04-29</t>
        </is>
      </c>
      <c r="L5" s="5" t="inlineStr">
        <is>
          <t>iFinD ifind_get_stock_info + ifind_get_stock_business_segmentation (as of 2026-10-27)；航天发展：2025年年度报告</t>
        </is>
      </c>
      <c r="M5" s="6" t="inlineStr">
        <is>
          <t>https://money.finance.sina.com.cn/corp/view/vCB_AllBulletinDetail.php?stockid=000547&amp;id=12268512</t>
        </is>
      </c>
    </row>
    <row r="6" ht="104" customHeight="1">
      <c r="B6" s="7" t="inlineStr">
        <is>
          <t>000901</t>
        </is>
      </c>
      <c r="C6" s="7" t="inlineStr">
        <is>
          <t>航天科技</t>
        </is>
      </c>
      <c r="D6" s="8" t="inlineStr">
        <is>
          <t>商业航天：国家队</t>
        </is>
      </c>
      <c r="E6" s="7" t="inlineStr">
        <is>
          <t>纠错</t>
        </is>
      </c>
      <c r="F6" s="7" t="inlineStr">
        <is>
          <t>商业航天</t>
        </is>
      </c>
      <c r="G6" s="8" t="inlineStr">
        <is>
          <t>火箭结构与紧固件、环境试验与检测服务</t>
        </is>
      </c>
      <c r="H6" s="7" t="inlineStr">
        <is>
          <t>相关</t>
        </is>
      </c>
      <c r="I6" s="8" t="inlineStr">
        <is>
          <t>公司航天应用产品包括发动机及舵机零部件、伺服装配、航天电缆等精密制造产品，并提供雷电、静电及环境可靠性测试服务；年报还明确精密制造正向商业航天业务领域延伸，故可按真实产品与试验能力保留，而不是沿用央企“国家队”身份。2025年航天产品收入8.7787亿元、占15.8971%，汽车电子仪表收入42.4814亿元，收入仍以汽车电子为主；上述航天产品还包含军品和重大工程配套，年报没有独立拆分商业航天收入，不能把8.7787亿元全部算作商业航天。综合实际延伸方向与收入不可拆分情况，旧标签纠正为火箭结构零部件和环境试验检测，并审慎定为相关而非核心。</t>
        </is>
      </c>
      <c r="J6" s="7" t="inlineStr">
        <is>
          <t>航天科技：2025年年度报告</t>
        </is>
      </c>
      <c r="K6" s="7" t="inlineStr">
        <is>
          <t>2026-04-29</t>
        </is>
      </c>
      <c r="L6" s="8" t="inlineStr">
        <is>
          <t>iFinD ifind_get_stock_info + ifind_get_stock_business_segmentation (as of 2026-10-27)；航天科技：2025年年度报告</t>
        </is>
      </c>
      <c r="M6" s="9" t="inlineStr">
        <is>
          <t>https://money.finance.sina.com.cn/corp/view/vCB_AllBulletinDetail.php?stockid=000901&amp;id=12247738</t>
        </is>
      </c>
    </row>
    <row r="7" ht="104" customHeight="1">
      <c r="B7" s="4" t="inlineStr">
        <is>
          <t>001270</t>
        </is>
      </c>
      <c r="C7" s="4" t="inlineStr">
        <is>
          <t>铖昌科技</t>
        </is>
      </c>
      <c r="D7" s="5" t="inlineStr">
        <is>
          <t>商业航天：卫星-有效载荷</t>
        </is>
      </c>
      <c r="E7" s="4" t="inlineStr">
        <is>
          <t>纠错</t>
        </is>
      </c>
      <c r="F7" s="4" t="inlineStr">
        <is>
          <t>商业航天</t>
        </is>
      </c>
      <c r="G7" s="5" t="inlineStr">
        <is>
          <t>星载射频与微波芯片</t>
        </is>
      </c>
      <c r="H7" s="4" t="inlineStr">
        <is>
          <t>核心</t>
        </is>
      </c>
      <c r="I7" s="5" t="inlineStr">
        <is>
          <t>公司主营微波毫米波模拟相控阵T/R芯片，星载产品已在卫星中批量应用，低轨卫星通信领域产品持续交付，属于直接决定相控阵载荷收发能力的星载射频核心元器件，并非仅凭通用芯片理论上可以用于卫星而映射。2025年相控阵T/R芯片收入4.0371亿元，占营业收入99.78%，集成电路行业收入4.0462亿元；年报未把星载、低轨卫星通信与其他雷达应用收入逐项拆分，因此不能把全部T/R芯片收入都称为商业航天收入，但产品主业集中、星载批量应用和持续交付证据清晰。故保留核心，同时将过粗的旧“卫星-有效载荷”收敛为“星载射频与微波芯片”，不扩写成整星或完整载荷制造。</t>
        </is>
      </c>
      <c r="J7" s="4" t="inlineStr">
        <is>
          <t>铖昌科技：2025年年度报告</t>
        </is>
      </c>
      <c r="K7" s="4" t="inlineStr">
        <is>
          <t>2026-04-17</t>
        </is>
      </c>
      <c r="L7" s="5" t="inlineStr">
        <is>
          <t>iFinD ifind_get_stock_info + ifind_get_stock_business_segmentation (as of 2026-10-27)；铖昌科技：2025年年度报告</t>
        </is>
      </c>
      <c r="M7" s="6" t="inlineStr">
        <is>
          <t>https://money.finance.sina.com.cn/corp/view/vCB_AllBulletinDetail.php?stockid=001270&amp;id=12103041</t>
        </is>
      </c>
    </row>
    <row r="8" ht="104" customHeight="1">
      <c r="B8" s="7" t="inlineStr">
        <is>
          <t>001379</t>
        </is>
      </c>
      <c r="C8" s="7" t="inlineStr">
        <is>
          <t>腾达科技</t>
        </is>
      </c>
      <c r="D8" s="8" t="inlineStr">
        <is>
          <t>商业航天：火箭</t>
        </is>
      </c>
      <c r="E8" s="7" t="inlineStr">
        <is>
          <t>摘除</t>
        </is>
      </c>
      <c r="F8" s="7" t="inlineStr">
        <is>
          <t>—</t>
        </is>
      </c>
      <c r="G8" s="8" t="inlineStr">
        <is>
          <t>—</t>
        </is>
      </c>
      <c r="H8" s="7" t="inlineStr">
        <is>
          <t>摘除</t>
        </is>
      </c>
      <c r="I8" s="8" t="inlineStr">
        <is>
          <t>公司实际产品是不锈钢螺栓、螺母、螺杆、垫圈等通用紧固件，主要面向通用工业和民用市场。2025年紧固件行业收入18.6918亿元，螺栓、螺母和螺杆分别为10.8206亿元、3.5936亿元和1.8476亿元，未披露商业航天或火箭收入，也没有独立可辨认的航天客户收入。公司在互动答复中明确表示暂未直接与航空航天领域客户开展合作，这直接否定了把潜在用途当成现实供应关系的做法。不锈钢紧固件在物理上可能用于火箭，并不等于公司已经进入火箭供应链，更不存在可核验的型号配套、订单或批量交付。因此旧“火箭、相关”属于通用产品可上天的推断，必须摘除，不能以未来潜在客户或行业想象空间保留。</t>
        </is>
      </c>
      <c r="J8" s="7" t="inlineStr">
        <is>
          <t>腾达科技：关于航空航天领域合作的互动答复</t>
        </is>
      </c>
      <c r="K8" s="7" t="inlineStr">
        <is>
          <t>2025-06-10</t>
        </is>
      </c>
      <c r="L8" s="8" t="inlineStr">
        <is>
          <t>iFinD ifind_get_stock_info + ifind_get_stock_business_segmentation (as of 2026-10-27)；腾达科技：关于航空航天领域合作的互动答复</t>
        </is>
      </c>
      <c r="M8" s="9" t="inlineStr">
        <is>
          <t>https://news.10jqka.com.cn/20250610/c668774689.shtml</t>
        </is>
      </c>
    </row>
    <row r="9" ht="104" customHeight="1">
      <c r="B9" s="4" t="inlineStr">
        <is>
          <t>002025</t>
        </is>
      </c>
      <c r="C9" s="4" t="inlineStr">
        <is>
          <t>航天电器</t>
        </is>
      </c>
      <c r="D9" s="5" t="inlineStr">
        <is>
          <t>商业航天：国家队</t>
        </is>
      </c>
      <c r="E9" s="4" t="inlineStr">
        <is>
          <t>纠错</t>
        </is>
      </c>
      <c r="F9" s="4" t="inlineStr">
        <is>
          <t>商业航天</t>
        </is>
      </c>
      <c r="G9" s="5" t="inlineStr">
        <is>
          <t>星载电子与核心元器件、航天电子与测控组件</t>
        </is>
      </c>
      <c r="H9" s="4" t="inlineStr">
        <is>
          <t>相关</t>
        </is>
      </c>
      <c r="I9" s="5" t="inlineStr">
        <is>
          <t>公司高端连接器、线缆组件、微特电机、控制组件及继电器已形成航天工程配套，年报还披露商业航天领域订货和收入增长，说明存在真实商业客户与产品交付，而非仅因航天央企身份保留。2025年连接器收入39.8420亿元、电机13.5794亿元、继电器2.4040亿元，电子元器件制造业主业突出，但这些数字同时覆盖航空、兵器、舰船、防务装备及其他民用市场，年报没有独立拆分商业航天收入，不能把军品或全部航天工程配套收入自动归入商业航天。基于商业订货增长已明确、具体规模尚不可辨认，将旧“国家队、核心”纠正为星载电子核心元器件及航天电子测控组件，并下调为相关。</t>
        </is>
      </c>
      <c r="J9" s="4" t="inlineStr">
        <is>
          <t>航天电器：2025年年度报告</t>
        </is>
      </c>
      <c r="K9" s="4" t="inlineStr">
        <is>
          <t>2026-03-31</t>
        </is>
      </c>
      <c r="L9" s="5" t="inlineStr">
        <is>
          <t>iFinD ifind_get_stock_info + ifind_get_stock_business_segmentation (as of 2026-10-27)；航天电器：2025年年度报告</t>
        </is>
      </c>
      <c r="M9" s="6" t="inlineStr">
        <is>
          <t>https://money.finance.sina.com.cn/corp/view/vCB_AllBulletinDetail.php?stockid=002025&amp;id=12040181</t>
        </is>
      </c>
    </row>
    <row r="10" ht="104" customHeight="1">
      <c r="B10" s="7" t="inlineStr">
        <is>
          <t>002046</t>
        </is>
      </c>
      <c r="C10" s="7" t="inlineStr">
        <is>
          <t>国机精工</t>
        </is>
      </c>
      <c r="D10" s="8" t="inlineStr">
        <is>
          <t>商业航天：火箭</t>
        </is>
      </c>
      <c r="E10" s="7" t="inlineStr">
        <is>
          <t>纠错</t>
        </is>
      </c>
      <c r="F10" s="7" t="inlineStr">
        <is>
          <t>商业航天</t>
        </is>
      </c>
      <c r="G10" s="8" t="inlineStr">
        <is>
          <t>商业航天配套-通用零部件</t>
        </is>
      </c>
      <c r="H10" s="7" t="inlineStr">
        <is>
          <t>相关</t>
        </is>
      </c>
      <c r="I10" s="8" t="inlineStr">
        <is>
          <t>公司特种轴承已有卫星、飞船和运载火箭等实际应用，产品属于旋转与运动机构所需的专用轴承配套；年报判断商业航天常态化发展将带来增量需求，保留依据是既有航天轴承产品和供货基础，而不是把全部轴承业务想象成火箭业务。2025年特种及精密轴承收入13.2822亿元，轴承行业收入15.2572亿元，但该口径还包括风电、机床、精密加工等大量非航天用途，商业航天收入、订单及客户占比均未独立披露，无法量化航天贡献。因而将旧泛化的“火箭”标签纠正为“商业航天配套-通用零部件”，定为相关，不据此宣称公司从事火箭总体、发动机或结构制造，也不把全部特种轴承收入算作商业航天。</t>
        </is>
      </c>
      <c r="J10" s="7" t="inlineStr">
        <is>
          <t>国机精工：2025年年度报告摘要</t>
        </is>
      </c>
      <c r="K10" s="7" t="inlineStr">
        <is>
          <t>2026-04-14</t>
        </is>
      </c>
      <c r="L10" s="8" t="inlineStr">
        <is>
          <t>iFinD ifind_get_stock_info + ifind_get_stock_business_segmentation (as of 2026-10-27)；国机精工：2025年年度报告摘要</t>
        </is>
      </c>
      <c r="M10" s="9" t="inlineStr">
        <is>
          <t>https://static.cninfo.com.cn/finalpage/2026-04-14/1225098549.PDF</t>
        </is>
      </c>
    </row>
    <row r="11" ht="104" customHeight="1">
      <c r="B11" s="4" t="inlineStr">
        <is>
          <t>002088</t>
        </is>
      </c>
      <c r="C11" s="4" t="inlineStr">
        <is>
          <t>鲁阳节能</t>
        </is>
      </c>
      <c r="D11" s="5" t="inlineStr">
        <is>
          <t>商业航天：spacex-供应商-陶瓷纤维</t>
        </is>
      </c>
      <c r="E11" s="4" t="inlineStr">
        <is>
          <t>摘除</t>
        </is>
      </c>
      <c r="F11" s="4" t="inlineStr">
        <is>
          <t>—</t>
        </is>
      </c>
      <c r="G11" s="5" t="inlineStr">
        <is>
          <t>—</t>
        </is>
      </c>
      <c r="H11" s="4" t="inlineStr">
        <is>
          <t>摘除</t>
        </is>
      </c>
      <c r="I11" s="5" t="inlineStr">
        <is>
          <t>公司的真实业务是陶瓷纤维棉、毯、湿法制品及相关耐火保温材料，主要服务石化、冶金、电力等工业炉窑的保温、耐火和防火场景。2025年陶瓷纤维制品收入22.1704亿元，工业收入24.7183亿元，年报没有披露卫星、火箭、发射场或商业航天客户收入，也没有可核验的SpaceX订单、认证、供货合同或批量交付。陶瓷纤维具备耐热性能，只能说明材料存在潜在用途，不能由此推出已经向SpaceX供应；本次检索亦未找到公司正式披露能够证实旧标签所指供应关系。因此旧“spacex-供应商-陶瓷纤维”是未经证实的客户映射，商业航天收入占比更无从确认，应整体摘除，而不是改写成泛化航天材料标签继续保留。</t>
        </is>
      </c>
      <c r="J11" s="4" t="inlineStr">
        <is>
          <t>鲁阳节能：2025年年度报告</t>
        </is>
      </c>
      <c r="K11" s="4" t="inlineStr">
        <is>
          <t>2026-04-29</t>
        </is>
      </c>
      <c r="L11" s="5" t="inlineStr">
        <is>
          <t>iFinD ifind_get_stock_info + ifind_get_stock_business_segmentation (as of 2026-10-27)；鲁阳节能：2025年年度报告</t>
        </is>
      </c>
      <c r="M11" s="6" t="inlineStr">
        <is>
          <t>https://vip.stock.finance.sina.com.cn/corp/view/vCB_AllBulletinDetail.php?stockid=002088&amp;id=12267359</t>
        </is>
      </c>
    </row>
    <row r="12" ht="104" customHeight="1">
      <c r="B12" s="7" t="inlineStr">
        <is>
          <t>002115</t>
        </is>
      </c>
      <c r="C12" s="7" t="inlineStr">
        <is>
          <t>三维通信</t>
        </is>
      </c>
      <c r="D12" s="8" t="inlineStr">
        <is>
          <t>商业航天：卫星</t>
        </is>
      </c>
      <c r="E12" s="7" t="inlineStr">
        <is>
          <t>纠错</t>
        </is>
      </c>
      <c r="F12" s="7" t="inlineStr">
        <is>
          <t>商业航天</t>
        </is>
      </c>
      <c r="G12" s="8" t="inlineStr">
        <is>
          <t>卫星运营与通信服务</t>
        </is>
      </c>
      <c r="H12" s="7" t="inlineStr">
        <is>
          <t>相关</t>
        </is>
      </c>
      <c r="I12" s="8" t="inlineStr">
        <is>
          <t>公司通过子公司海卫通提供商船卫星通信服务，真实产品包括VSAT动中通、船端通信设备、高中低轨卫星宽带接入及船岸云服务，并以持续通信运营服务形成收入，属于卫星运营与通信服务而非单纯天线制造或概念性边缘计算。2025年卫星通信业务收入1.9217亿元，相关业务净利润约4405万元；同期互联网营销收入110.3001亿元，通信技术服务行业收入3.6402亿元，说明卫星业务真实但相对整体规模较小。卫星通信收入已有独立产品口径，不过高中低轨接入和船岸云服务等细分收入未再拆分。故将旧泛“卫星、边缘”纠正为“卫星运营与通信服务、相关”，不按核心处理，也不把互联网广告收入混入商业航天。</t>
        </is>
      </c>
      <c r="J12" s="7" t="inlineStr">
        <is>
          <t>三维通信：投资者关系活动记录表</t>
        </is>
      </c>
      <c r="K12" s="7" t="inlineStr">
        <is>
          <t>2026-04-29</t>
        </is>
      </c>
      <c r="L12" s="8" t="inlineStr">
        <is>
          <t>iFinD ifind_get_stock_info + ifind_get_stock_business_segmentation (as of 2026-10-27)；三维通信：投资者关系活动记录表</t>
        </is>
      </c>
      <c r="M12" s="9" t="inlineStr">
        <is>
          <t>https://pdf.dfcfw.com/pdf/H2_AN202604291821736545_1.pdf</t>
        </is>
      </c>
    </row>
    <row r="13" ht="104" customHeight="1">
      <c r="B13" s="4" t="inlineStr">
        <is>
          <t>002131</t>
        </is>
      </c>
      <c r="C13" s="4" t="inlineStr">
        <is>
          <t>利欧股份</t>
        </is>
      </c>
      <c r="D13" s="5" t="inlineStr">
        <is>
          <t>商业航天：spacex</t>
        </is>
      </c>
      <c r="E13" s="4" t="inlineStr">
        <is>
          <t>摘除</t>
        </is>
      </c>
      <c r="F13" s="4" t="inlineStr">
        <is>
          <t>—</t>
        </is>
      </c>
      <c r="G13" s="5" t="inlineStr">
        <is>
          <t>—</t>
        </is>
      </c>
      <c r="H13" s="4" t="inlineStr">
        <is>
          <t>摘除</t>
        </is>
      </c>
      <c r="I13" s="5" t="inlineStr">
        <is>
          <t>公司主营仍是泵业和数字营销，2025年互联网收入156.6083亿元、制造业收入43.2403亿元，没有商业航天产品、服务或经营收入。旧“spacex”标签对应子公司曾出资5000万美元认购TBCA基金LP份额的间接投资路径，但基金方退款后双方进入诉讼；公司2026年5月15日投资者关系口径明确案件仍在进展中，法院尚未作出终局裁决，后续公开答复亦未见确权交割完成。因此目前不能把争议中的间接投资权益当作真实持有SpaceX股权，更不能按所谓终局胜诉传闻计算持股比例或估值。由于真实参股这一保留前提尚未成立，本次予以摘除而非列为“商业航天股权与产业投资”；若未来正式公告生效裁决和份额交割，再据新证据复核。</t>
        </is>
      </c>
      <c r="J13" s="4" t="inlineStr">
        <is>
          <t>利欧股份：2026年5月15日投资者关系活动记录表相关公开报道</t>
        </is>
      </c>
      <c r="K13" s="4" t="inlineStr">
        <is>
          <t>2026-05-19</t>
        </is>
      </c>
      <c r="L13" s="5" t="inlineStr">
        <is>
          <t>iFinD ifind_get_stock_info + ifind_get_stock_business_segmentation (as of 2026-10-27)；利欧股份：2026年5月15日投资者关系活动记录表相关公开报道</t>
        </is>
      </c>
      <c r="M13" s="6" t="inlineStr">
        <is>
          <t>https://finance.eastmoney.com/a/202605193742316659.html</t>
        </is>
      </c>
    </row>
    <row r="14" ht="104" customHeight="1">
      <c r="B14" s="7" t="inlineStr">
        <is>
          <t>002149</t>
        </is>
      </c>
      <c r="C14" s="7" t="inlineStr">
        <is>
          <t>西部材料</t>
        </is>
      </c>
      <c r="D14" s="8" t="inlineStr">
        <is>
          <t>商业航天：spacex-供应商</t>
        </is>
      </c>
      <c r="E14" s="7" t="inlineStr">
        <is>
          <t>纠错</t>
        </is>
      </c>
      <c r="F14" s="7" t="inlineStr">
        <is>
          <t>商业航天</t>
        </is>
      </c>
      <c r="G14" s="8" t="inlineStr">
        <is>
          <t>航天材料与增材制造</t>
        </is>
      </c>
      <c r="H14" s="7" t="inlineStr">
        <is>
          <t>相关</t>
        </is>
      </c>
      <c r="I14" s="8" t="inlineStr">
        <is>
          <t>公司真实航天产品包括用于液体火箭发动机的高温铌合金，以及配套重大航天工程的钨铜、TZM等稀有金属材料和组件，具备明确航天应用基础，可按航天材料环节保留。2025年钛制品收入22.0974亿元、其他金属产品8.6894亿元，稀有金属压延加工收入合计32.3054亿元，但这些收入还覆盖化工、核电、舰船及其他工业用途，商业航天收入没有独立拆分，不能将钛制品或全部稀有金属收入归入商业航天。公司正式披露亦未确认SpaceX实际供货，因此旧“spacex-供应商”不能以客户传闻保留，应纠正为可核验的“航天材料与增材制造”，并因具体商业航天贡献不明而定为相关，不扩写为SpaceX供应商。</t>
        </is>
      </c>
      <c r="J14" s="7" t="inlineStr">
        <is>
          <t>西部材料：2025年年度报告</t>
        </is>
      </c>
      <c r="K14" s="7" t="inlineStr">
        <is>
          <t>2026-04-28</t>
        </is>
      </c>
      <c r="L14" s="8" t="inlineStr">
        <is>
          <t>iFinD ifind_get_stock_info + ifind_get_stock_business_segmentation (as of 2026-10-27)；西部材料：2025年年度报告</t>
        </is>
      </c>
      <c r="M14" s="9" t="inlineStr">
        <is>
          <t>https://money.finance.sina.com.cn/corp/view/vCB_AllBulletinDetail.php?stockid=002149&amp;id=12229670</t>
        </is>
      </c>
    </row>
    <row r="15" ht="104" customHeight="1">
      <c r="B15" s="4" t="inlineStr">
        <is>
          <t>002245</t>
        </is>
      </c>
      <c r="C15" s="4" t="inlineStr">
        <is>
          <t>蔚蓝锂芯</t>
        </is>
      </c>
      <c r="D15" s="5" t="inlineStr">
        <is>
          <t>商业航天：spacex-供应商</t>
        </is>
      </c>
      <c r="E15" s="4" t="inlineStr">
        <is>
          <t>摘除</t>
        </is>
      </c>
      <c r="F15" s="4" t="inlineStr">
        <is>
          <t>—</t>
        </is>
      </c>
      <c r="G15" s="5" t="inlineStr">
        <is>
          <t>—</t>
        </is>
      </c>
      <c r="H15" s="4" t="inlineStr">
        <is>
          <t>摘除</t>
        </is>
      </c>
      <c r="I15" s="5" t="inlineStr">
        <is>
          <t>公司主营业务为锂电池、LED和金属物流配送，2025年对应收入分别为35.9658亿元、15.8385亿元和26.0514亿元，未披露卫星、火箭或商业航天收入。针对市场流传的SpaceX供应关系，公司明确表示没有直接为卫星、火箭供应锂电池，仅披露为台湾能元科技提供代工；即使能元科技自身进入低轨卫星客户体系，也不能跳过实际产品流向和客户确认，直接推定蔚蓝锂芯产品已经供给SpaceX。现有证据既不能证明直接供货，也不能证明代工产品最终用于特定火箭或卫星型号，更谈不上可量化收入占比。因此旧“spacex-供应商”及“潜在供应商”均属于客户链条外推，应摘除，而不能借锂电池通用可上天属性改写保留。</t>
        </is>
      </c>
      <c r="J15" s="4" t="inlineStr">
        <is>
          <t>蔚蓝锂芯：关于卫星火箭及SpaceX供货问题的互动答复</t>
        </is>
      </c>
      <c r="K15" s="4" t="inlineStr">
        <is>
          <t>2025-12-31</t>
        </is>
      </c>
      <c r="L15" s="5" t="inlineStr">
        <is>
          <t>iFinD ifind_get_stock_info + ifind_get_stock_business_segmentation (as of 2026-10-27)；蔚蓝锂芯：关于卫星火箭及SpaceX供货问题的互动答复</t>
        </is>
      </c>
      <c r="M15" s="6" t="inlineStr">
        <is>
          <t>https://stock.stockstar.com/QA/companyto_2166706805235126272.html</t>
        </is>
      </c>
    </row>
    <row r="16" ht="104" customHeight="1">
      <c r="B16" s="7" t="inlineStr">
        <is>
          <t>002413</t>
        </is>
      </c>
      <c r="C16" s="7" t="inlineStr">
        <is>
          <t>雷科防务</t>
        </is>
      </c>
      <c r="D16" s="8" t="inlineStr">
        <is>
          <t>商业航天：卫星-有效载荷</t>
        </is>
      </c>
      <c r="E16" s="7" t="inlineStr">
        <is>
          <t>纠错</t>
        </is>
      </c>
      <c r="F16" s="7" t="inlineStr">
        <is>
          <t>商业航天</t>
        </is>
      </c>
      <c r="G16" s="8" t="inlineStr">
        <is>
          <t>卫星载荷-遥感与探测、地面站与测运控、卫星数据与遥感应用</t>
        </is>
      </c>
      <c r="H16" s="7" t="inlineStr">
        <is>
          <t>核心</t>
        </is>
      </c>
      <c r="I16" s="8" t="inlineStr">
        <is>
          <t>公司卫星应用业务覆盖星载高性能计算与智能处理、轻小型在轨处理平台、星载滤波器及低轨天线，相关在轨产品已有实际应用；2025年交付近20套地面处理设备，商业遥感入网检测设备部署到多个地面站，形成从星上遥感处理到地面接收处理的完整产品链。2025年卫星应用收入3.5480亿元、占24.36%，是年报独立披露的重要产品板块，但年报未继续拆分商业航天与传统航天、军品收入，不能将全部卫星应用收入等同商业航天。鉴于在轨产品、地面站部署和商业遥感检测设备均有落地，保留核心；旧“卫星-有效载荷”过粗，纠正为遥感探测载荷、地面测运控及遥感数据应用三个真实环节。</t>
        </is>
      </c>
      <c r="J16" s="7" t="inlineStr">
        <is>
          <t>雷科防务：2025年年度报告</t>
        </is>
      </c>
      <c r="K16" s="7" t="inlineStr">
        <is>
          <t>2026-04-18</t>
        </is>
      </c>
      <c r="L16" s="8" t="inlineStr">
        <is>
          <t>iFinD ifind_get_stock_info + ifind_get_stock_business_segmentation (as of 2026-10-27)；雷科防务：2025年年度报告</t>
        </is>
      </c>
      <c r="M16" s="9" t="inlineStr">
        <is>
          <t>http://money.finance.sina.com.cn/corp/view/vCB_AllBulletinDetail.php?stockid=002413&amp;id=12110187</t>
        </is>
      </c>
    </row>
    <row r="17" ht="104" customHeight="1">
      <c r="B17" s="4" t="inlineStr">
        <is>
          <t>002446</t>
        </is>
      </c>
      <c r="C17" s="4" t="inlineStr">
        <is>
          <t>盛路通信</t>
        </is>
      </c>
      <c r="D17" s="5" t="inlineStr">
        <is>
          <t>商业航天：卫星</t>
        </is>
      </c>
      <c r="E17" s="4" t="inlineStr">
        <is>
          <t>纠错</t>
        </is>
      </c>
      <c r="F17" s="4" t="inlineStr">
        <is>
          <t>商业航天</t>
        </is>
      </c>
      <c r="G17" s="5" t="inlineStr">
        <is>
          <t>卫星通信终端与天线</t>
        </is>
      </c>
      <c r="H17" s="4" t="inlineStr">
        <is>
          <t>相关</t>
        </is>
      </c>
      <c r="I17" s="5" t="inlineStr">
        <is>
          <t>公司在卫星通信方向的真实产品为Ku、Ka频段阵列天线及宽窄带射频模块，并已有商用卫星“海哨二号”等配套案例，因此不是把普通基站天线或微波器件直接想象为卫星产品。公司同时明确卫星通信业务仍处起步阶段、订单量较小；2025年通信设备收入6.6616亿元、微波电子收入5.4023亿元，其中还包含大量地面通信和军工电子业务，卫星通信收入与商业航天占比没有独立拆分，不能把上述板块收入全部归入商业航天。综合真实型号配套与订单规模有限的事实，将旧泛“卫星”收敛为“卫星通信终端与天线”，定为相关而非核心，也不将军工微波电子收入自动计入商业航天。</t>
        </is>
      </c>
      <c r="J17" s="4" t="inlineStr">
        <is>
          <t>盛路通信：关于卫星通信产品配套及订单情况的互动答复</t>
        </is>
      </c>
      <c r="K17" s="4" t="inlineStr">
        <is>
          <t>2026-05-15</t>
        </is>
      </c>
      <c r="L17" s="5" t="inlineStr">
        <is>
          <t>iFinD ifind_get_stock_info + ifind_get_stock_business_segmentation (as of 2026-10-27)；盛路通信：关于卫星通信产品配套及订单情况的互动答复</t>
        </is>
      </c>
      <c r="M17" s="6" t="inlineStr">
        <is>
          <t>https://www.sohu.com/a/1023207074_115377</t>
        </is>
      </c>
    </row>
    <row r="18" ht="104" customHeight="1">
      <c r="B18" s="7" t="inlineStr">
        <is>
          <t>002465</t>
        </is>
      </c>
      <c r="C18" s="7" t="inlineStr">
        <is>
          <t>海格通信</t>
        </is>
      </c>
      <c r="D18" s="8" t="inlineStr">
        <is>
          <t>商业航天：卫星-地面设备</t>
        </is>
      </c>
      <c r="E18" s="7" t="inlineStr">
        <is>
          <t>纠错</t>
        </is>
      </c>
      <c r="F18" s="7" t="inlineStr">
        <is>
          <t>商业航天</t>
        </is>
      </c>
      <c r="G18" s="8" t="inlineStr">
        <is>
          <t>卫星通信终端与天线、导航定位与授时服务</t>
        </is>
      </c>
      <c r="H18" s="7" t="inlineStr">
        <is>
          <t>相关</t>
        </is>
      </c>
      <c r="I18" s="8" t="inlineStr">
        <is>
          <t>公司具备卫星通信产品及北斗芯片、模块、天线、终端和系统的全链条能力，并面向民用行业提供导航定位应用，产品形态与卫星终端、导航授时服务相符。2025年无线通信收入10.9990亿元、北斗导航收入5.1539亿元，但两个口径均包含特殊机构及其他非商业航天应用，年报未独立拆分民用卫星互联网和北斗商业服务收入；卫星互联网地面终端仍有产品处于研制阶段，不能把研发储备视为规模交付。因此旧“卫星-地面设备、核心”需纠正为卫星通信终端天线与导航定位授时服务，并下调为相关。定级不采用特殊机构订单或军品收入作为商业航天证据，也不把全部无线通信收入纳入。</t>
        </is>
      </c>
      <c r="J18" s="7" t="inlineStr">
        <is>
          <t>海格通信：2025年年度报告</t>
        </is>
      </c>
      <c r="K18" s="7" t="inlineStr">
        <is>
          <t>2026-03-28</t>
        </is>
      </c>
      <c r="L18" s="8" t="inlineStr">
        <is>
          <t>iFinD ifind_get_stock_info + ifind_get_stock_business_segmentation (as of 2026-10-27)；海格通信：2025年年度报告</t>
        </is>
      </c>
      <c r="M18" s="9" t="inlineStr">
        <is>
          <t>https://money.finance.sina.com.cn/corp/view/vCB_AllBulletinDetail.php?stockid=002465&amp;id=12030570</t>
        </is>
      </c>
    </row>
    <row r="19" ht="104" customHeight="1">
      <c r="B19" s="4" t="inlineStr">
        <is>
          <t>002471</t>
        </is>
      </c>
      <c r="C19" s="4" t="inlineStr">
        <is>
          <t>中超控股</t>
        </is>
      </c>
      <c r="D19" s="5" t="inlineStr">
        <is>
          <t>商业航天：火箭</t>
        </is>
      </c>
      <c r="E19" s="4" t="inlineStr">
        <is>
          <t>纠错</t>
        </is>
      </c>
      <c r="F19" s="4" t="inlineStr">
        <is>
          <t>商业航天</t>
        </is>
      </c>
      <c r="G19" s="5" t="inlineStr">
        <is>
          <t>火箭总体与动力</t>
        </is>
      </c>
      <c r="H19" s="4" t="inlineStr">
        <is>
          <t>相关</t>
        </is>
      </c>
      <c r="I19" s="5" t="inlineStr">
        <is>
          <t>公司孙公司江苏精铸已持续向航天科工火箭、上海空间推进研究所等客户提供火箭发动机高温合金精密铸件，具体包括涡轮机匣、导向器和喷嘴等动力部件，具备真实客户、产品和持续订单，不再是电线电缆主业的概念联想。2025年精铸板块新签订单7292.41万元，而电缆行业收入50.8288亿元、电力电缆收入44.8904亿元，商业航天收入及利润没有独立拆分，且精铸订单也不能全部视为商业航天。基于火箭发动机部件供货已落地但体量较小，将旧“火箭、边缘”纠正为“火箭总体与动力、相关”；该概念仅指发动机精密铸件配套，不表示公司从事火箭总体设计或整箭制造。</t>
        </is>
      </c>
      <c r="J19" s="4" t="inlineStr">
        <is>
          <t>中超控股：2025年年度报告</t>
        </is>
      </c>
      <c r="K19" s="4" t="inlineStr">
        <is>
          <t>2026-03-31</t>
        </is>
      </c>
      <c r="L19" s="5" t="inlineStr">
        <is>
          <t>iFinD ifind_get_stock_info + ifind_get_stock_business_segmentation (as of 2026-10-27)；中超控股：2025年年度报告</t>
        </is>
      </c>
      <c r="M19" s="6" t="inlineStr">
        <is>
          <t>https://money.finance.sina.com.cn/corp/view/vCB_AllBulletinDetail.php?stockid=002471&amp;id=12037035</t>
        </is>
      </c>
    </row>
    <row r="20" ht="104" customHeight="1">
      <c r="B20" s="7" t="inlineStr">
        <is>
          <t>002519</t>
        </is>
      </c>
      <c r="C20" s="7" t="inlineStr">
        <is>
          <t>银河电子</t>
        </is>
      </c>
      <c r="D20" s="8" t="inlineStr">
        <is>
          <t>商业航天：卫星</t>
        </is>
      </c>
      <c r="E20" s="7" t="inlineStr">
        <is>
          <t>纠错</t>
        </is>
      </c>
      <c r="F20" s="7" t="inlineStr">
        <is>
          <t>商业航天</t>
        </is>
      </c>
      <c r="G20" s="8" t="inlineStr">
        <is>
          <t>卫星通信终端与天线</t>
        </is>
      </c>
      <c r="H20" s="7" t="inlineStr">
        <is>
          <t>相关</t>
        </is>
      </c>
      <c r="I20" s="8" t="inlineStr">
        <is>
          <t>公司智能终端业务中，智能增强直播卫星与地面接收双模接收机已完成设计并实现批产，终端产品还面向卫星电视运营商，属于可核验的卫星接收终端产品，而不是把普通机顶盒全部当成卫星设备。2025年智能机电产品收入2.7406亿元，其中混合包含军用特种装备、普通智能终端和卫星终端，年报未独立拆分卫星接收机收入或商业航天占比；军车供配电、综合电子信息等军工业务不能计入商业航天。基于双模卫星接收机已有批产但收入不可辨认，将旧泛“卫星、核心”纠正为“卫星通信终端与天线、相关”，不把全部智能机电收入视为卫星业务，也不沿用军品规模支持核心定级。</t>
        </is>
      </c>
      <c r="J20" s="7" t="inlineStr">
        <is>
          <t>银河电子：2025年年度报告</t>
        </is>
      </c>
      <c r="K20" s="7" t="inlineStr">
        <is>
          <t>2026-04-15</t>
        </is>
      </c>
      <c r="L20" s="8" t="inlineStr">
        <is>
          <t>iFinD ifind_get_stock_info + ifind_get_stock_business_segmentation (as of 2026-10-27)；银河电子：2025年年度报告</t>
        </is>
      </c>
      <c r="M20" s="9" t="inlineStr">
        <is>
          <t>https://money.finance.sina.com.cn/corp/view/vCB_AllBulletinDetail.php?stockid=002519&amp;id=12088084</t>
        </is>
      </c>
    </row>
    <row r="21" ht="104" customHeight="1">
      <c r="B21" s="4" t="inlineStr">
        <is>
          <t>002583</t>
        </is>
      </c>
      <c r="C21" s="4" t="inlineStr">
        <is>
          <t>海能达</t>
        </is>
      </c>
      <c r="D21" s="5" t="inlineStr">
        <is>
          <t>商业航天：卫星-地面设备</t>
        </is>
      </c>
      <c r="E21" s="4" t="inlineStr">
        <is>
          <t>纠错</t>
        </is>
      </c>
      <c r="F21" s="4" t="inlineStr">
        <is>
          <t>商业航天</t>
        </is>
      </c>
      <c r="G21" s="5" t="inlineStr">
        <is>
          <t>卫星通信终端与天线</t>
        </is>
      </c>
      <c r="H21" s="4" t="inlineStr">
        <is>
          <t>相关</t>
        </is>
      </c>
      <c r="I21" s="5" t="inlineStr">
        <is>
          <t>公司实际卫星通信产品包括LNA、LNB、BUC、天线控制器，以及车载、船载、便携和固定站等全系列终端，并已推出天通多模终端，相关产品在“一带一路”多地区实现规模销售，具备明确产品和市场交付，不是专网对讲机业务的泛化联想。2025年终端收入25.0545亿元、系统收入24.8507亿元，但口径主要还覆盖窄带专网、公专融合和指挥调度等业务，年报没有独立拆分卫星终端收入及商业航天占比，因此不能把终端板块整体视为商业航天。旧“卫星-地面设备、边缘”低估了已有产品与销售，应纠正为“卫星通信终端与天线、相关”，同时因具体收入贡献不明而不定核心。</t>
        </is>
      </c>
      <c r="J21" s="4" t="inlineStr">
        <is>
          <t>海能达：2025年年度报告</t>
        </is>
      </c>
      <c r="K21" s="4" t="inlineStr">
        <is>
          <t>2026-04-08</t>
        </is>
      </c>
      <c r="L21" s="5" t="inlineStr">
        <is>
          <t>iFinD ifind_get_stock_info + ifind_get_stock_business_segmentation (as of 2026-10-27)；海能达：2025年年度报告</t>
        </is>
      </c>
      <c r="M21" s="6" t="inlineStr">
        <is>
          <t>http://money.finance.sina.com.cn/corp/view/vCB_AllBulletinDetail.php?stockid=002583&amp;id=12067091</t>
        </is>
      </c>
    </row>
    <row r="22" ht="104" customHeight="1">
      <c r="B22" s="7" t="inlineStr">
        <is>
          <t>002600</t>
        </is>
      </c>
      <c r="C22" s="7" t="inlineStr">
        <is>
          <t>领益智造</t>
        </is>
      </c>
      <c r="D22" s="8" t="inlineStr">
        <is>
          <t>商业航天：spacex-供应商-轻量化-热控</t>
        </is>
      </c>
      <c r="E22" s="7" t="inlineStr">
        <is>
          <t>纠错</t>
        </is>
      </c>
      <c r="F22" s="7" t="inlineStr">
        <is>
          <t>商业航天</t>
        </is>
      </c>
      <c r="G22" s="8" t="inlineStr">
        <is>
          <t>卫星结构与机构</t>
        </is>
      </c>
      <c r="H22" s="7" t="inlineStr">
        <is>
          <t>相关</t>
        </is>
      </c>
      <c r="I22" s="8" t="inlineStr">
        <is>
          <t>公司公开披露依托精密结构件、功能件及系统集成能力布局商业卫星和太空算力，已进入国际龙头客户供应链，并持续推进相关项目落地，说明存在实际客户项目而非单纯规划。公司官微同时列举碳纤维等新材料结构系统能力，但具体已交付料号、订单规模和终端客户名称未正式披露，故本次仅保守映射卫星结构与机构，不确认未经公司点名的SpaceX身份。2025年AI终端收入447.9322亿元、汽车及低空经济收入29.5438亿元，商业卫星收入没有独立拆分，不能把消费电子结构件收入算入航天。旧“spacex-供应商-轻量化-热控”纠正为“卫星结构与机构、相关”，不保留客户和热控供货的确定性表述。</t>
        </is>
      </c>
      <c r="J22" s="7" t="inlineStr">
        <is>
          <t>领益智造官微：布局商业卫星和太空算力业务</t>
        </is>
      </c>
      <c r="K22" s="7" t="inlineStr">
        <is>
          <t>2026-01-12</t>
        </is>
      </c>
      <c r="L22" s="8" t="inlineStr">
        <is>
          <t>iFinD ifind_get_stock_info + ifind_get_stock_business_segmentation (as of 2026-10-27)；领益智造官微：布局商业卫星和太空算力业务</t>
        </is>
      </c>
      <c r="M22" s="9" t="inlineStr">
        <is>
          <t>https://www.sohu.com/a/975298477_115377</t>
        </is>
      </c>
    </row>
    <row r="23" ht="104" customHeight="1">
      <c r="B23" s="4" t="inlineStr">
        <is>
          <t>002792</t>
        </is>
      </c>
      <c r="C23" s="4" t="inlineStr">
        <is>
          <t>通宇通讯</t>
        </is>
      </c>
      <c r="D23" s="5" t="inlineStr">
        <is>
          <t>商业航天：spacex-参股</t>
        </is>
      </c>
      <c r="E23" s="4" t="inlineStr">
        <is>
          <t>纠错</t>
        </is>
      </c>
      <c r="F23" s="4" t="inlineStr">
        <is>
          <t>商业航天</t>
        </is>
      </c>
      <c r="G23" s="5" t="inlineStr">
        <is>
          <t>卫星通信终端与天线</t>
        </is>
      </c>
      <c r="H23" s="4" t="inlineStr">
        <is>
          <t>相关</t>
        </is>
      </c>
      <c r="I23" s="5" t="inlineStr">
        <is>
          <t>公司卫星业务的真实落点是卫星通信终端与天线，MacroWiFi产品通过SpaceX接口实现卫星直连，并已在阿联酋、印尼、马来西亚完成认证测试且取得小批量订单，这属于产品适配和商业订单证据，不是对SpaceX的股权投资。2025年卫星通讯收入0.5405亿元，而通信天线及射频器件收入10.6713亿元，卫星业务已形成收入但占整体比例有限，且未进一步拆分MacroWiFi及境外订单收入。基于实际产品、测试与小批量订单，保留为相关；旧“spacex-参股”没有股权事实依据，必须纠正为“卫星通信终端与天线”，也不把通过接口兼容星链扩写为SpaceX核心供应商或参股公司。</t>
        </is>
      </c>
      <c r="J23" s="4" t="inlineStr">
        <is>
          <t>通宇通讯：关于MacroWiFi卫星直连认证测试及订单的官方互动答复</t>
        </is>
      </c>
      <c r="K23" s="4" t="inlineStr">
        <is>
          <t>2025-10-20</t>
        </is>
      </c>
      <c r="L23" s="5" t="inlineStr">
        <is>
          <t>iFinD ifind_get_stock_info + ifind_get_stock_business_segmentation (as of 2026-10-27)；通宇通讯：关于MacroWiFi卫星直连认证测试及订单的官方互动答复</t>
        </is>
      </c>
      <c r="M23" s="6" t="inlineStr">
        <is>
          <t>https://wxly.p5w.net/question/00013789530BF39849A58AA4A91CADF5D00B</t>
        </is>
      </c>
    </row>
    <row r="24" ht="104" customHeight="1">
      <c r="B24" s="7" t="inlineStr">
        <is>
          <t>002796</t>
        </is>
      </c>
      <c r="C24" s="7" t="inlineStr">
        <is>
          <t>世嘉科技</t>
        </is>
      </c>
      <c r="D24" s="8" t="inlineStr">
        <is>
          <t>商业航天：卫星</t>
        </is>
      </c>
      <c r="E24" s="7" t="inlineStr">
        <is>
          <t>摘除</t>
        </is>
      </c>
      <c r="F24" s="7" t="inlineStr">
        <is>
          <t>—</t>
        </is>
      </c>
      <c r="G24" s="8" t="inlineStr">
        <is>
          <t>—</t>
        </is>
      </c>
      <c r="H24" s="7" t="inlineStr">
        <is>
          <t>摘除</t>
        </is>
      </c>
      <c r="I24" s="8" t="inlineStr">
        <is>
          <t>公司实际产品为4G、5G宏基站天线、滤波器等射频器件，以及电梯轿厢、专用设备箱体和精密金属结构件。2025年天线收入1.4891亿元、射频器件收入3.0215亿元，增长主要来自5G天线业务；年报未披露卫星通信终端、星载天线、卫星订单、商业航天客户或运营服务，相关收入占比也无独立口径。天地一体化和6G是行业技术演进方向，不能替代公司已经取得卫星订单或交付产品的证据，普通地面基站天线和滤波器也不能因未来可能支持6G就直接归入商业航天。因此旧“卫星、边缘”缺少现实业务支撑，应予摘除，而不是改写成卫星通信终端或星载射频标签继续保留。</t>
        </is>
      </c>
      <c r="J24" s="7" t="inlineStr">
        <is>
          <t>世嘉科技：2025年年度报告</t>
        </is>
      </c>
      <c r="K24" s="7" t="inlineStr">
        <is>
          <t>2026-04-27</t>
        </is>
      </c>
      <c r="L24" s="8" t="inlineStr">
        <is>
          <t>iFinD ifind_get_stock_info + ifind_get_stock_business_segmentation (as of 2026-10-27)；世嘉科技：2025年年度报告</t>
        </is>
      </c>
      <c r="M24" s="9" t="inlineStr">
        <is>
          <t>https://vip.stock.finance.sina.com.cn/corp/view/vCB_AllBulletinDetail.php?stockid=002796&amp;id=12204466</t>
        </is>
      </c>
    </row>
    <row r="25" ht="104" customHeight="1">
      <c r="B25" s="4" t="inlineStr">
        <is>
          <t>002829</t>
        </is>
      </c>
      <c r="C25" s="4" t="inlineStr">
        <is>
          <t>星网宇达</t>
        </is>
      </c>
      <c r="D25" s="5" t="inlineStr">
        <is>
          <t>商业航天：卫星-地面设备</t>
        </is>
      </c>
      <c r="E25" s="4" t="inlineStr">
        <is>
          <t>纠错</t>
        </is>
      </c>
      <c r="F25" s="4" t="inlineStr">
        <is>
          <t>商业航天</t>
        </is>
      </c>
      <c r="G25" s="5" t="inlineStr">
        <is>
          <t>卫星通信终端与天线</t>
        </is>
      </c>
      <c r="H25" s="4" t="inlineStr">
        <is>
          <t>相关</t>
        </is>
      </c>
      <c r="I25" s="5" t="inlineStr">
        <is>
          <t>公司卫星通信板块实际产品为车载、船载动中通和Ku、Ka高通量卫星通信终端，已完成交付并在规模化项目中应用，属于真实卫星通信终端业务，而非将惯性导航、无人系统或火箭回收概念混入。2025年卫星通信收入0.4661亿元、占12.33%，无人系统收入2.0535亿元、信息感知收入1.1914亿元，说明卫星通信已有独立收入但规模占比有限；该口径未再区分商业卫星与传统客户，不能将其全部视为商业航天收入。基于交付与项目应用明确、体量尚小，将旧“卫星-地面设备、核心”纠正为“卫星通信终端与天线、相关”，也不以公司惯导或无人系统业务支持商业航天核心定级。</t>
        </is>
      </c>
      <c r="J25" s="4" t="inlineStr">
        <is>
          <t>星网宇达：2025年年度报告</t>
        </is>
      </c>
      <c r="K25" s="4" t="inlineStr">
        <is>
          <t>2026-04-24</t>
        </is>
      </c>
      <c r="L25" s="5" t="inlineStr">
        <is>
          <t>iFinD ifind_get_stock_info + ifind_get_stock_business_segmentation (as of 2026-10-27)；星网宇达：2025年年度报告</t>
        </is>
      </c>
      <c r="M25" s="6" t="inlineStr">
        <is>
          <t>http://money.finance.sina.com.cn/corp/view/vCB_AllBulletinDetail.php?stockid=002829&amp;id=12172943</t>
        </is>
      </c>
    </row>
    <row r="26" ht="104" customHeight="1">
      <c r="B26" s="7" t="inlineStr">
        <is>
          <t>002865</t>
        </is>
      </c>
      <c r="C26" s="7" t="inlineStr">
        <is>
          <t>钧达股份</t>
        </is>
      </c>
      <c r="D26" s="8" t="inlineStr">
        <is>
          <t>商业航天：spacex-潜在供应商</t>
        </is>
      </c>
      <c r="E26" s="7" t="inlineStr">
        <is>
          <t>纠错</t>
        </is>
      </c>
      <c r="F26" s="7" t="inlineStr">
        <is>
          <t>商业航天</t>
        </is>
      </c>
      <c r="G26" s="8" t="inlineStr">
        <is>
          <t>商业航天股权与产业投资</t>
        </is>
      </c>
      <c r="H26" s="7" t="inlineStr">
        <is>
          <t>相关</t>
        </is>
      </c>
      <c r="I26" s="8" t="inlineStr">
        <is>
          <t>公司保留依据不是太空光伏想象或SpaceX潜在供货，而是已披露的真实股权布局：持有上海复遥星河60%股权，其全资巡天千河业务覆盖卫星研制、卫星通信、遥感与数据处理；同时拟以3000万元取得星翼芯能16.67%股权。2025年光伏电池片收入75.9815亿元、占99.6166%，商业航天尚未形成独立收入，卫星业务也没有并表收入占比可以支持核心判断。因此旧“spacex-潜在供应商”应删除并纠正为“商业航天股权与产业投资”，只能定为相关。该标签只表达控股和拟参股事实，不表示钧达自身已成为卫星制造商、SpaceX供应商或太空光伏组件量产企业，拟投资部分也不提前视为完成交割。</t>
        </is>
      </c>
      <c r="J26" s="7" t="inlineStr">
        <is>
          <t>钧达股份：2025年年度报告</t>
        </is>
      </c>
      <c r="K26" s="7" t="inlineStr">
        <is>
          <t>2026-03-31</t>
        </is>
      </c>
      <c r="L26" s="8" t="inlineStr">
        <is>
          <t>iFinD ifind_get_stock_info + ifind_get_stock_business_segmentation (as of 2026-10-27)；钧达股份：2025年年度报告</t>
        </is>
      </c>
      <c r="M26" s="9" t="inlineStr">
        <is>
          <t>https://money.finance.sina.com.cn/corp/view/vCB_AllBulletinDetail.php?stockid=002865&amp;id=12044232</t>
        </is>
      </c>
    </row>
    <row r="27" ht="104" customHeight="1">
      <c r="B27" s="4" t="inlineStr">
        <is>
          <t>002935</t>
        </is>
      </c>
      <c r="C27" s="4" t="inlineStr">
        <is>
          <t>天奥电子</t>
        </is>
      </c>
      <c r="D27" s="5" t="inlineStr">
        <is>
          <t>商业航天：卫星-有效载荷</t>
        </is>
      </c>
      <c r="E27" s="4" t="inlineStr">
        <is>
          <t>纠错</t>
        </is>
      </c>
      <c r="F27" s="4" t="inlineStr">
        <is>
          <t>商业航天</t>
        </is>
      </c>
      <c r="G27" s="5" t="inlineStr">
        <is>
          <t>星载电子与核心元器件、导航定位与授时服务</t>
        </is>
      </c>
      <c r="H27" s="4" t="inlineStr">
        <is>
          <t>相关</t>
        </is>
      </c>
      <c r="I27" s="5" t="inlineStr">
        <is>
          <t>公司星载原子钟和射频组件已真实配套星网低轨卫星，铯原子钟还中标星网地面系统，产品分别对应星载时频核心元器件与地面授时同步环节，具备明确项目和交付依据。2025年频率系列产品收入5.9500亿元、时间同步系列产品3.6945亿元、北斗卫星应用产品仅0.1580亿元，但前两类还包含军品以及电力、通信等地面应用，年报没有独立拆分商业航天收入，将军品或全部时频产品收入归入商业航天都不准确。故将旧“卫星-有效载荷、核心”纠正为“星载电子与核心元器件、导航定位与授时服务”，并下调为相关；保留理由是星网实际配套，而不是央企背景或原子钟通用可用性。</t>
        </is>
      </c>
      <c r="J27" s="4" t="inlineStr">
        <is>
          <t>天奥电子：2025年年度报告</t>
        </is>
      </c>
      <c r="K27" s="4" t="inlineStr">
        <is>
          <t>2026-04-25</t>
        </is>
      </c>
      <c r="L27" s="5" t="inlineStr">
        <is>
          <t>iFinD ifind_get_stock_info + ifind_get_stock_business_segmentation (as of 2026-10-27)；天奥电子：2025年年度报告</t>
        </is>
      </c>
      <c r="M27" s="6" t="inlineStr">
        <is>
          <t>https://money.finance.sina.com.cn/corp/view/vCB_AllBulletinDetail.php?stockid=002935&amp;id=12192695</t>
        </is>
      </c>
    </row>
    <row r="28" ht="104" customHeight="1">
      <c r="B28" s="7" t="inlineStr">
        <is>
          <t>002985</t>
        </is>
      </c>
      <c r="C28" s="7" t="inlineStr">
        <is>
          <t>北摩高科</t>
        </is>
      </c>
      <c r="D28" s="8" t="inlineStr">
        <is>
          <t>商业航天：千帆星座</t>
        </is>
      </c>
      <c r="E28" s="7" t="inlineStr">
        <is>
          <t>摘除</t>
        </is>
      </c>
      <c r="F28" s="7" t="inlineStr">
        <is>
          <t>—</t>
        </is>
      </c>
      <c r="G28" s="8" t="inlineStr">
        <is>
          <t>—</t>
        </is>
      </c>
      <c r="H28" s="7" t="inlineStr">
        <is>
          <t>摘除</t>
        </is>
      </c>
      <c r="I28" s="8" t="inlineStr">
        <is>
          <t>公司真实产品是飞机刹车盘、刹车控制系统、机轮及起落架着陆系统，2025年起降系统产品收入6.1361亿元，占66.8424%，检测试验收入2.5159亿元，占27.4068%。年报虽称全电刹车技术已应用于航天高空飞行器，但该表述没有明确商业卫星、商业火箭、商业航天客户或订单，也没有独立披露商业航天收入，不能把航空制动或一般航天装备应用直接等同于商业航天。旧“千帆星座”标签未获得公司供货证据支持，属于由航空航天主业和热点星座作出的外推，故摘除商业航天标签，军工及航空属性不在本次处理范围内。</t>
        </is>
      </c>
      <c r="J28" s="7" t="inlineStr">
        <is>
          <t>北摩高科：2025年年度报告摘要</t>
        </is>
      </c>
      <c r="K28" s="7" t="inlineStr">
        <is>
          <t>2026-03-18</t>
        </is>
      </c>
      <c r="L28" s="8" t="inlineStr">
        <is>
          <t>iFinD ifind_get_stock_info + ifind_get_stock_business_segmentation (as of 2026-10-27)；北摩高科：2025年年度报告摘要</t>
        </is>
      </c>
      <c r="M28" s="9" t="inlineStr">
        <is>
          <t>http://static.cninfo.com.cn/finalpage/2026-03-18/1225015258.PDF</t>
        </is>
      </c>
    </row>
    <row r="29" ht="104" customHeight="1">
      <c r="B29" s="4" t="inlineStr">
        <is>
          <t>003009</t>
        </is>
      </c>
      <c r="C29" s="4" t="inlineStr">
        <is>
          <t>中天火箭</t>
        </is>
      </c>
      <c r="D29" s="5" t="inlineStr">
        <is>
          <t>商业航天：国家队</t>
        </is>
      </c>
      <c r="E29" s="4" t="inlineStr">
        <is>
          <t>纠错</t>
        </is>
      </c>
      <c r="F29" s="4" t="inlineStr">
        <is>
          <t>商业航天</t>
        </is>
      </c>
      <c r="G29" s="5" t="inlineStr">
        <is>
          <t>火箭总体与动力、航天材料与增材制造</t>
        </is>
      </c>
      <c r="H29" s="4" t="inlineStr">
        <is>
          <t>相关</t>
        </is>
      </c>
      <c r="I29" s="5" t="inlineStr">
        <is>
          <t>公司实际产品包括增雨防雹火箭、探空火箭、小型制导火箭及固体火箭发动机耐烧蚀组件。2025年增雨防雹火箭及配套装备收入3.9412亿元，军用小型固体火箭收入1.1088亿元，耐烧蚀组件收入0.4105亿元、占5.24%；年报明确耐烧蚀组件为军工集团和民用商业航天企业提供研发生产服务，但并未拆分其中商业航天收入。探空火箭在年报中列为军品，不能将军品收入自动计作商业航天，央企背景也不是保留依据。鉴于已有真实商业航天配套产品且收入规模有限，定为相关，旧“国家队”概念改为具体产品与材料概念。</t>
        </is>
      </c>
      <c r="J29" s="4" t="inlineStr">
        <is>
          <t>中天火箭：2025年年度报告</t>
        </is>
      </c>
      <c r="K29" s="4" t="inlineStr">
        <is>
          <t>2026-03-31</t>
        </is>
      </c>
      <c r="L29" s="5" t="inlineStr">
        <is>
          <t>iFinD ifind_get_stock_info + ifind_get_stock_business_segmentation (as of 2026-10-27)；中天火箭：2025年年度报告</t>
        </is>
      </c>
      <c r="M29" s="6" t="inlineStr">
        <is>
          <t>https://money.finance.sina.com.cn/corp/view/vCB_AllBulletinDetail.php?stockid=003009&amp;id=12045430</t>
        </is>
      </c>
    </row>
    <row r="30" ht="104" customHeight="1">
      <c r="B30" s="7" t="inlineStr">
        <is>
          <t>300045</t>
        </is>
      </c>
      <c r="C30" s="7" t="inlineStr">
        <is>
          <t>华力创通</t>
        </is>
      </c>
      <c r="D30" s="8" t="inlineStr">
        <is>
          <t>商业航天：卫星-地面设备</t>
        </is>
      </c>
      <c r="E30" s="7" t="inlineStr">
        <is>
          <t>纠错</t>
        </is>
      </c>
      <c r="F30" s="7" t="inlineStr">
        <is>
          <t>商业航天</t>
        </is>
      </c>
      <c r="G30" s="8" t="inlineStr">
        <is>
          <t>导航定位与授时服务、卫星通信终端与天线</t>
        </is>
      </c>
      <c r="H30" s="7" t="inlineStr">
        <is>
          <t>核心</t>
        </is>
      </c>
      <c r="I30" s="8" t="inlineStr">
        <is>
          <t>公司已形成北斗卫星导航和天通卫星通信两大产品系列，真实产品覆盖芯片、模块、终端及平台系统，用于卫星导航定位、授时和卫星移动通信，而非仅提供通用仿真设备。2025年北斗卫星导航收入3.6696亿元，按所列产品收入合计约7.8120亿元计算占约46.97%，已是第一大产品板块；卫星通信收入未独立拆分，不能与北斗收入混同或重复计算。商业航天相关的卫星导航业务已成为重要收入来源，符合核心标准。旧“卫星-地面设备”表述过宽，现细化为导航定位授时与卫星通信终端两个可核验概念。</t>
        </is>
      </c>
      <c r="J30" s="7" t="inlineStr">
        <is>
          <t>华力创通：2025年年度报告</t>
        </is>
      </c>
      <c r="K30" s="7" t="inlineStr">
        <is>
          <t>2026-04-22</t>
        </is>
      </c>
      <c r="L30" s="8" t="inlineStr">
        <is>
          <t>iFinD ifind_get_stock_info + ifind_get_stock_business_segmentation (as of 2026-10-27)；华力创通：2025年年度报告</t>
        </is>
      </c>
      <c r="M30" s="9" t="inlineStr">
        <is>
          <t>http://www.hwacreate.com.cn/Upload/%E4%B8%9A%E5%8A%A1%E5%85%A5%E5%8F%A3/%E6%8A%95%E8%B5%84%E8%80%85%E5%85%B3%E7%B3%BB/%E5%8D%8E%E5%8A%9B%E5%88%9B%E9%80%9A%EF%BC%9A2025%E5%B9%B4%E5%B9%B4%E5%BA%A6%E6%8A%A5%E5%91%8A-09315230815.pdf</t>
        </is>
      </c>
    </row>
    <row r="31" ht="104" customHeight="1">
      <c r="B31" s="4" t="inlineStr">
        <is>
          <t>300053</t>
        </is>
      </c>
      <c r="C31" s="4" t="inlineStr">
        <is>
          <t>航宇微</t>
        </is>
      </c>
      <c r="D31" s="5" t="inlineStr">
        <is>
          <t>商业航天：卫星</t>
        </is>
      </c>
      <c r="E31" s="4" t="inlineStr">
        <is>
          <t>纠错</t>
        </is>
      </c>
      <c r="F31" s="4" t="inlineStr">
        <is>
          <t>商业航天</t>
        </is>
      </c>
      <c r="G31" s="5" t="inlineStr">
        <is>
          <t>星载电子与核心元器件、卫星数据与遥感应用</t>
        </is>
      </c>
      <c r="H31" s="4" t="inlineStr">
        <is>
          <t>核心</t>
        </is>
      </c>
      <c r="I31" s="5" t="inlineStr">
        <is>
          <t>公司主营业务直接包括宇航电子、卫星星座及卫星大数据，宇航产品为嵌入式SoC、SiP芯片及EMBC等星载电子模块；“珠海一号”为实际运营的商业遥感卫星星座，公司提供高光谱遥感数据及行业应用服务。2025年宇航电子收入1.2567亿元，占45.3485%，卫星大数据收入0.7019亿元，占25.3271%，其中卫星大数据服务收入0.4300亿元，两个航天相关板块合计占约70.68%，构成主要收入来源。无论收入规模还是产品运营实质均符合核心标准。旧“卫星”概念过于笼统，现纠正为星载电子和遥感数据应用，未将人工智能或安防收入计入。</t>
        </is>
      </c>
      <c r="J31" s="4" t="inlineStr">
        <is>
          <t>航宇微：2025年年度报告摘要</t>
        </is>
      </c>
      <c r="K31" s="4" t="inlineStr">
        <is>
          <t>2026-04-10</t>
        </is>
      </c>
      <c r="L31" s="5" t="inlineStr">
        <is>
          <t>iFinD ifind_get_stock_info + ifind_get_stock_business_segmentation (as of 2026-10-27)；航宇微：2025年年度报告摘要</t>
        </is>
      </c>
      <c r="M31" s="6" t="inlineStr">
        <is>
          <t>http://static.cninfo.com.cn/finalpage/2026-04-10/1225091392.PDF</t>
        </is>
      </c>
    </row>
    <row r="32" ht="104" customHeight="1">
      <c r="B32" s="7" t="inlineStr">
        <is>
          <t>300065</t>
        </is>
      </c>
      <c r="C32" s="7" t="inlineStr">
        <is>
          <t>海兰信</t>
        </is>
      </c>
      <c r="D32" s="8" t="inlineStr">
        <is>
          <t>商业航天：火箭</t>
        </is>
      </c>
      <c r="E32" s="7" t="inlineStr">
        <is>
          <t>纠错</t>
        </is>
      </c>
      <c r="F32" s="7" t="inlineStr">
        <is>
          <t>商业航天</t>
        </is>
      </c>
      <c r="G32" s="8" t="inlineStr">
        <is>
          <t>航天电子与测控组件、发射场与地面保障</t>
        </is>
      </c>
      <c r="H32" s="7" t="inlineStr">
        <is>
          <t>相关</t>
        </is>
      </c>
      <c r="I32" s="8" t="inlineStr">
        <is>
          <t>公司原有主业是海洋观探测、智能船舶和海底数据中心，2025年海洋观探测装备与系统收入3.4538亿元、占48.2162%，智能船舶与智能航行系统收入3.4292亿元、占47.8720%，当年没有独立披露商业航天收入。2025年报同时披露，公司在2026年初成功中标海南商发“可重复使用火箭海上回收系统指挥测控”项目，说明其已凭真实订单切入火箭海上回收的指挥测控和地面保障，而非仅凭海洋装备联想火箭业务。由于订单发生于期后、尚无可核验收入贡献且海洋业务仍占绝对主体，定为相关；旧笼统“火箭”标签改为具体测控与保障概念。</t>
        </is>
      </c>
      <c r="J32" s="7" t="inlineStr">
        <is>
          <t>海兰信：2025年年度报告</t>
        </is>
      </c>
      <c r="K32" s="7" t="inlineStr">
        <is>
          <t>2026-04-22</t>
        </is>
      </c>
      <c r="L32" s="8" t="inlineStr">
        <is>
          <t>iFinD ifind_get_stock_info + ifind_get_stock_business_segmentation (as of 2026-10-27)；海兰信：2025年年度报告</t>
        </is>
      </c>
      <c r="M32" s="9" t="inlineStr">
        <is>
          <t>https://disc.static.szse.cn/disc/disk03/finalpage/2026-04-22/81fe9840-d50d-4eae-aeb2-d14bd7709991.PDF</t>
        </is>
      </c>
    </row>
    <row r="33" ht="104" customHeight="1">
      <c r="B33" s="4" t="inlineStr">
        <is>
          <t>300102</t>
        </is>
      </c>
      <c r="C33" s="4" t="inlineStr">
        <is>
          <t>乾照光电</t>
        </is>
      </c>
      <c r="D33" s="5" t="inlineStr">
        <is>
          <t>商业航天：千帆星座</t>
        </is>
      </c>
      <c r="E33" s="4" t="inlineStr">
        <is>
          <t>纠错</t>
        </is>
      </c>
      <c r="F33" s="4" t="inlineStr">
        <is>
          <t>商业航天</t>
        </is>
      </c>
      <c r="G33" s="5" t="inlineStr">
        <is>
          <t>卫星电源与太阳翼</t>
        </is>
      </c>
      <c r="H33" s="4" t="inlineStr">
        <is>
          <t>相关</t>
        </is>
      </c>
      <c r="I33" s="5" t="inlineStr">
        <is>
          <t>公司除LED外延片和芯片外，实际生产砷化镓太阳能电池，该类产品用于空间飞行器电源系统；公司披露2025年前三季度产品销量同比大幅增长、出货量居国内市场前列，证明并非单纯太空光伏设想。2025年半导体光电收入合计34.0089亿元，其中外延片芯片17.7107亿元、其他16.2982亿元，但年报没有独立拆分砷化镓太阳能电池收入及商业航天客户占比，不能把全部半导体光电收入算作商业航天。考虑产品真实、出货已规模化但收入未拆且公司仍以光电民品为主，定为相关；旧“千帆星座”未获供货证据支持，改为卫星电源产品概念。</t>
        </is>
      </c>
      <c r="J33" s="4" t="inlineStr">
        <is>
          <t>乾照光电：2025年年度报告</t>
        </is>
      </c>
      <c r="K33" s="4" t="inlineStr">
        <is>
          <t>2026-03-28</t>
        </is>
      </c>
      <c r="L33" s="5" t="inlineStr">
        <is>
          <t>iFinD ifind_get_stock_info + ifind_get_stock_business_segmentation (as of 2026-10-27)；乾照光电：2025年年度报告</t>
        </is>
      </c>
      <c r="M33" s="6" t="inlineStr">
        <is>
          <t>https://money.finance.sina.com.cn/corp/view/vCB_AllBulletinDetail.php?stockid=300102&amp;id=12030431</t>
        </is>
      </c>
    </row>
    <row r="34" ht="104" customHeight="1">
      <c r="B34" s="7" t="inlineStr">
        <is>
          <t>300118</t>
        </is>
      </c>
      <c r="C34" s="7" t="inlineStr">
        <is>
          <t>东方日升</t>
        </is>
      </c>
      <c r="D34" s="8" t="inlineStr">
        <is>
          <t>商业航天：spacex-潜在供应商</t>
        </is>
      </c>
      <c r="E34" s="7" t="inlineStr">
        <is>
          <t>摘除</t>
        </is>
      </c>
      <c r="F34" s="7" t="inlineStr">
        <is>
          <t>—</t>
        </is>
      </c>
      <c r="G34" s="8" t="inlineStr">
        <is>
          <t>—</t>
        </is>
      </c>
      <c r="H34" s="7" t="inlineStr">
        <is>
          <t>摘除</t>
        </is>
      </c>
      <c r="I34" s="8" t="inlineStr">
        <is>
          <t>公司真实业务为地面太阳能电池片、组件、电站及储能系统，2025年太阳能电池组件收入65.6992亿元，太阳能电站收入33.5803亿元，储能系统、灯具及辅助光伏产品收入17.4340亿元，年报未披露商业卫星太阳翼、空间电源产品、商业航天客户或相关订单，也没有独立商业航天收入。地面光伏组件和钙钛矿、异质结技术即使存在未来空间应用可能，也不能据此认定公司已经供货。核验未发现公司实际向SpaceX供货的正式公告或官方证据，旧“spacex-潜在供应商”仅属市场预期，且“太空光伏组件”不能自动转换为商业航天标签，因此本次摘除。</t>
        </is>
      </c>
      <c r="J34" s="7" t="inlineStr">
        <is>
          <t>东方日升：2025年年度报告</t>
        </is>
      </c>
      <c r="K34" s="7" t="inlineStr">
        <is>
          <t>2026-04-25</t>
        </is>
      </c>
      <c r="L34" s="8" t="inlineStr">
        <is>
          <t>iFinD ifind_get_stock_info + ifind_get_stock_business_segmentation (as of 2026-10-27)；东方日升：2025年年度报告</t>
        </is>
      </c>
      <c r="M34" s="9" t="inlineStr">
        <is>
          <t>https://money.finance.sina.com.cn/corp/view/vCB_AllBulletinDetail.php?stockid=300118&amp;id=12193179</t>
        </is>
      </c>
    </row>
    <row r="35" ht="104" customHeight="1">
      <c r="B35" s="4" t="inlineStr">
        <is>
          <t>300136</t>
        </is>
      </c>
      <c r="C35" s="4" t="inlineStr">
        <is>
          <t>信维通信</t>
        </is>
      </c>
      <c r="D35" s="5" t="inlineStr">
        <is>
          <t>商业航天：spacex-参股</t>
        </is>
      </c>
      <c r="E35" s="4" t="inlineStr">
        <is>
          <t>纠错</t>
        </is>
      </c>
      <c r="F35" s="4" t="inlineStr">
        <is>
          <t>商业航天</t>
        </is>
      </c>
      <c r="G35" s="5" t="inlineStr">
        <is>
          <t>卫星通信终端与天线</t>
        </is>
      </c>
      <c r="H35" s="4" t="inlineStr">
        <is>
          <t>相关</t>
        </is>
      </c>
      <c r="I35" s="5" t="inlineStr">
        <is>
          <t>公司实际产品包括天线及模组、高精密连接器等，2025年报明确面向低轨卫星接收终端的相控阵天线模组已经实现批量出货，并深化与北美两大客户合作，高频高速连接器也用于卫星通信，具备真实商业卫星产品和交付事实。2025年移动终端天线及附件口径收入89.0978亿元，但该口径包含大量消费电子业务，未独立拆分低轨卫星终端收入，不能将89.0978亿元全部归为商业航天，也不能据北美客户表述直接确认SpaceX。基于批量出货但收入未拆、民品仍占主体，定为相关；旧“spacex-参股”没有股权证据，纠正为实际终端天线概念。</t>
        </is>
      </c>
      <c r="J35" s="4" t="inlineStr">
        <is>
          <t>信维通信：2025年年度报告摘要</t>
        </is>
      </c>
      <c r="K35" s="4" t="inlineStr">
        <is>
          <t>2026-04-18</t>
        </is>
      </c>
      <c r="L35" s="5" t="inlineStr">
        <is>
          <t>iFinD ifind_get_stock_info + ifind_get_stock_business_segmentation (as of 2026-10-27)；信维通信：2025年年度报告摘要</t>
        </is>
      </c>
      <c r="M35" s="6" t="inlineStr">
        <is>
          <t>https://static.cninfo.com.cn/finalpage/2026-04-18/1225121156.PDF</t>
        </is>
      </c>
    </row>
    <row r="36" ht="104" customHeight="1">
      <c r="B36" s="7" t="inlineStr">
        <is>
          <t>300228</t>
        </is>
      </c>
      <c r="C36" s="7" t="inlineStr">
        <is>
          <t>富瑞特装</t>
        </is>
      </c>
      <c r="D36" s="8" t="inlineStr">
        <is>
          <t>商业航天：火箭</t>
        </is>
      </c>
      <c r="E36" s="7" t="inlineStr">
        <is>
          <t>纠错</t>
        </is>
      </c>
      <c r="F36" s="7" t="inlineStr">
        <is>
          <t>商业航天</t>
        </is>
      </c>
      <c r="G36" s="8" t="inlineStr">
        <is>
          <t>火箭推进与流体控制、发射场与地面保障</t>
        </is>
      </c>
      <c r="H36" s="7" t="inlineStr">
        <is>
          <t>相关</t>
        </is>
      </c>
      <c r="I36" s="8" t="inlineStr">
        <is>
          <t>公司利用低温储运和阀门技术形成液氢阀门、航天液体燃料加注系统等产品，公司在互动平台明确上述产品已经对外销售，属于真实航天流体控制和发射地面保障配套，不是把普通LNG储罐简单想象为火箭产品。2025年低温储运应用设备收入13.4148亿元，LNG销售及运维服务9.1497亿元，重装设备7.3789亿元，装卸臂1.0124亿元；这些分部均未单独披露航天产品销售金额或商业航天占比，不能把LNG收入并入商业航天。由于已有实际销售但规模未拆且能源装备仍为主业，定为相关；旧笼统“火箭”标签改为燃料流体控制和地面保障概念。</t>
        </is>
      </c>
      <c r="J36" s="7" t="inlineStr">
        <is>
          <t>富瑞特装：公司已有液氢阀门、航天液体燃料加注系统等产品对外销售</t>
        </is>
      </c>
      <c r="K36" s="7" t="inlineStr">
        <is>
          <t>2026-06-30</t>
        </is>
      </c>
      <c r="L36" s="8" t="inlineStr">
        <is>
          <t>iFinD ifind_get_stock_info + ifind_get_stock_business_segmentation (as of 2026-10-27)；富瑞特装：公司已有液氢阀门、航天液体燃料加注系统等产品对外销售</t>
        </is>
      </c>
      <c r="M36" s="9" t="inlineStr">
        <is>
          <t>http://finance.eastmoney.com/a/202606303788497755.html</t>
        </is>
      </c>
    </row>
    <row r="37" ht="104" customHeight="1">
      <c r="B37" s="4" t="inlineStr">
        <is>
          <t>300316</t>
        </is>
      </c>
      <c r="C37" s="4" t="inlineStr">
        <is>
          <t>晶盛机电</t>
        </is>
      </c>
      <c r="D37" s="5" t="inlineStr">
        <is>
          <t>商业航天：spacex-潜在供应商</t>
        </is>
      </c>
      <c r="E37" s="4" t="inlineStr">
        <is>
          <t>摘除</t>
        </is>
      </c>
      <c r="F37" s="4" t="inlineStr">
        <is>
          <t>—</t>
        </is>
      </c>
      <c r="G37" s="5" t="inlineStr">
        <is>
          <t>—</t>
        </is>
      </c>
      <c r="H37" s="4" t="inlineStr">
        <is>
          <t>摘除</t>
        </is>
      </c>
      <c r="I37" s="5" t="inlineStr">
        <is>
          <t>公司真实产品为晶体硅生长设备、半导体集成电路装备、化合物半导体装备、衬底材料和精密零部件。2025年设备及其服务收入84.0272亿元，蓝宝石材料收入24.6151亿元，其他收入4.9326亿元，制造业收入109.3773亿元，占96.3042%，没有独立披露商业航天收入、空间用产品或商业航天客户订单。晶体生长和光伏设备可用于地面硅片及电池制造，即使未来太空光伏技术路线可能采用相关工艺，也不代表已有航天供货。核验未发现实际向SpaceX销售的正式证据，旧“spacex-潜在供应商”和“太空光伏设备”均属于产业趋势外推，故摘除商业航天标签，半导体设备与材料标签不在本次改动范围。</t>
        </is>
      </c>
      <c r="J37" s="4" t="inlineStr">
        <is>
          <t>晶盛机电：2025年年度报告</t>
        </is>
      </c>
      <c r="K37" s="4" t="inlineStr">
        <is>
          <t>2026-04-11</t>
        </is>
      </c>
      <c r="L37" s="5" t="inlineStr">
        <is>
          <t>iFinD ifind_get_stock_info + ifind_get_stock_business_segmentation (as of 2026-10-27)；晶盛机电：2025年年度报告</t>
        </is>
      </c>
      <c r="M37" s="6" t="inlineStr">
        <is>
          <t>https://data.eastmoney.com/notices/detail/300316/AN202604101821124646.html</t>
        </is>
      </c>
    </row>
    <row r="38" ht="104" customHeight="1">
      <c r="B38" s="7" t="inlineStr">
        <is>
          <t>300322</t>
        </is>
      </c>
      <c r="C38" s="7" t="inlineStr">
        <is>
          <t>硕贝德</t>
        </is>
      </c>
      <c r="D38" s="8" t="inlineStr">
        <is>
          <t>商业航天：卫星</t>
        </is>
      </c>
      <c r="E38" s="7" t="inlineStr">
        <is>
          <t>纠错</t>
        </is>
      </c>
      <c r="F38" s="7" t="inlineStr">
        <is>
          <t>商业航天</t>
        </is>
      </c>
      <c r="G38" s="8" t="inlineStr">
        <is>
          <t>卫星通信终端与天线</t>
        </is>
      </c>
      <c r="H38" s="7" t="inlineStr">
        <is>
          <t>相关</t>
        </is>
      </c>
      <c r="I38" s="8" t="inlineStr">
        <is>
          <t>公司真实产品包括无线通信终端天线及模组，并已研发低轨卫星通信相控阵天线。2025年报明确卫通天线产品已有量产出货；公司还披露已收到低轨卫通天线量产订单，车用高轨卫通天线在2025年向国内头部客户交付超过10万只，证明存在实际客户和交付，而非“天线理论上可用于卫星”的泛化保留。2025年天线及模组收入14.3231亿元，占公司总营业收入27.7000亿元约51.71%，但该收入包含手机、汽车等多类天线，未独立拆分卫星通信收入。考虑量产交付真实、收入贡献未拆且消费电子等民品为主，定为相关，旧泛化“卫星”标签改为卫星通信终端与天线。</t>
        </is>
      </c>
      <c r="J38" s="7" t="inlineStr">
        <is>
          <t>硕贝德：2025年年度报告</t>
        </is>
      </c>
      <c r="K38" s="7" t="inlineStr">
        <is>
          <t>2026-04-22</t>
        </is>
      </c>
      <c r="L38" s="8" t="inlineStr">
        <is>
          <t>iFinD ifind_get_stock_info + ifind_get_stock_business_segmentation (as of 2026-10-27)；硕贝德：2025年年度报告</t>
        </is>
      </c>
      <c r="M38" s="9" t="inlineStr">
        <is>
          <t>https://static.cninfo.com.cn/finalpage/2026-04-22/1225150318.PDF</t>
        </is>
      </c>
    </row>
    <row r="39" ht="104" customHeight="1">
      <c r="B39" s="4" t="inlineStr">
        <is>
          <t>300342</t>
        </is>
      </c>
      <c r="C39" s="4" t="inlineStr">
        <is>
          <t>天银机电</t>
        </is>
      </c>
      <c r="D39" s="5" t="inlineStr">
        <is>
          <t>商业航天：spacex-潜在供应商</t>
        </is>
      </c>
      <c r="E39" s="4" t="inlineStr">
        <is>
          <t>纠错</t>
        </is>
      </c>
      <c r="F39" s="4" t="inlineStr">
        <is>
          <t>商业航天</t>
        </is>
      </c>
      <c r="G39" s="5" t="inlineStr">
        <is>
          <t>卫星平台与核心分系统</t>
        </is>
      </c>
      <c r="H39" s="4" t="inlineStr">
        <is>
          <t>相关</t>
        </is>
      </c>
      <c r="I39" s="5" t="inlineStr">
        <is>
          <t>公司通过子公司天银星际提供恒星敏感器、太阳敏感器等卫星姿态测量部件，星敏感器属于卫星姿态控制分系统的核心组成；2025年报称其恒星敏感器在国内商业卫星市场占据优势，天银星际销售额、订单量及净利润均明显提升，具备真实商业卫星配套和批量订单。2025年雷达与航天电子行业收入3.1537亿元，占38.4047%，但该分部还包含雷达及航天信息化装备，未独立拆分商业卫星星敏感器收入，家电配件收入仍为5.0580亿元。基于产品已规模化应用但商业收入未独立披露，定为相关；旧“spacex-潜在供应商”无实际供货证据，纠正为卫星平台姿态分系统概念。</t>
        </is>
      </c>
      <c r="J39" s="4" t="inlineStr">
        <is>
          <t>天银机电：2025年年度报告</t>
        </is>
      </c>
      <c r="K39" s="4" t="inlineStr">
        <is>
          <t>2026-04-10</t>
        </is>
      </c>
      <c r="L39" s="5" t="inlineStr">
        <is>
          <t>iFinD ifind_get_stock_info + ifind_get_stock_business_segmentation (as of 2026-10-27)；天银机电：2025年年度报告</t>
        </is>
      </c>
      <c r="M39" s="6" t="inlineStr">
        <is>
          <t>https://money.finance.sina.com.cn/corp/view/vCB_AllBulletinDetail.php?stockid=300342&amp;id=12072745</t>
        </is>
      </c>
    </row>
    <row r="40" ht="104" customHeight="1">
      <c r="B40" s="7" t="inlineStr">
        <is>
          <t>300416</t>
        </is>
      </c>
      <c r="C40" s="7" t="inlineStr">
        <is>
          <t>苏试试验</t>
        </is>
      </c>
      <c r="D40" s="8" t="inlineStr">
        <is>
          <t>商业航天：卫星</t>
        </is>
      </c>
      <c r="E40" s="7" t="inlineStr">
        <is>
          <t>纠错</t>
        </is>
      </c>
      <c r="F40" s="7" t="inlineStr">
        <is>
          <t>商业航天</t>
        </is>
      </c>
      <c r="G40" s="8" t="inlineStr">
        <is>
          <t>环境试验与检测服务</t>
        </is>
      </c>
      <c r="H40" s="7" t="inlineStr">
        <is>
          <t>相关</t>
        </is>
      </c>
      <c r="I40" s="8" t="inlineStr">
        <is>
          <t>公司实际提供力学、气候、综合及空间环境试验设备和可靠性试验服务，空间环境试验设备可模拟航天器及组件在轨道运行中的太阳辐照等环境，服务于航天器研制验证，产品与服务形态明确。2025年试验服务收入11.0603亿元、设备销售6.7437亿元；按客户行业划分，航空航天收入4.2633亿元，占18.9679%，但该口径同时包含航空与航天，也未进一步拆分商业航天客户及收入，因此不能将4.2633亿元全部认定为商业航天。考虑有真实航天试验产品与服务、但业务覆盖多行业且商业收入未拆，定为相关；旧泛化“卫星”标签纠正为环境试验与检测服务。</t>
        </is>
      </c>
      <c r="J40" s="7" t="inlineStr">
        <is>
          <t>苏试试验：2025年年度报告</t>
        </is>
      </c>
      <c r="K40" s="7" t="inlineStr">
        <is>
          <t>2026-03-27</t>
        </is>
      </c>
      <c r="L40" s="8" t="inlineStr">
        <is>
          <t>iFinD ifind_get_stock_info + ifind_get_stock_business_segmentation (as of 2026-10-27)；苏试试验：2025年年度报告</t>
        </is>
      </c>
      <c r="M40" s="9" t="inlineStr">
        <is>
          <t>http://static.cninfo.com.cn/finalpage/2026-03-27/1225035696.PDF</t>
        </is>
      </c>
    </row>
    <row r="41" ht="104" customHeight="1">
      <c r="B41" s="4" t="inlineStr">
        <is>
          <t>300433</t>
        </is>
      </c>
      <c r="C41" s="4" t="inlineStr">
        <is>
          <t>蓝思科技</t>
        </is>
      </c>
      <c r="D41" s="5" t="inlineStr">
        <is>
          <t>商业航天：spacex-潜在供应商-太阳能</t>
        </is>
      </c>
      <c r="E41" s="4" t="inlineStr">
        <is>
          <t>纠错</t>
        </is>
      </c>
      <c r="F41" s="4" t="inlineStr">
        <is>
          <t>商业航天</t>
        </is>
      </c>
      <c r="G41" s="5" t="inlineStr">
        <is>
          <t>卫星通信终端与天线</t>
        </is>
      </c>
      <c r="H41" s="4" t="inlineStr">
        <is>
          <t>相关</t>
        </is>
      </c>
      <c r="I41" s="5" t="inlineStr">
        <is>
          <t>公司并非仅把消费电子玻璃想象空间应用，2025年报明确在地面端已向头部商业航天客户批量出货地面接收器外观件和结构件模组，具体包括低介电防护玻璃屏幕、路由器结构件等；卫星端航天级UTG产品则仍应区分验证进展与批量收入。2025年智能手机与电脑类收入611.8420亿元，新能源汽车及智能座舱64.6166亿元，智能头显与穿戴39.7817亿元，商业航天未独立拆分收入，在744.0973亿元总收入中占比无法核定。基于地面终端部件已有批量交付但仍属新业务，定为相关；旧“SpaceX潜在供应商-太阳能”和太空光伏辅材未获实证，改为真实地面接收终端配套。</t>
        </is>
      </c>
      <c r="J41" s="4" t="inlineStr">
        <is>
          <t>蓝思科技：2025年年度报告摘要</t>
        </is>
      </c>
      <c r="K41" s="4" t="inlineStr">
        <is>
          <t>2026-03-31</t>
        </is>
      </c>
      <c r="L41" s="5" t="inlineStr">
        <is>
          <t>iFinD ifind_get_stock_info + ifind_get_stock_business_segmentation (as of 2026-10-27)；蓝思科技：2025年年度报告摘要</t>
        </is>
      </c>
      <c r="M41" s="6" t="inlineStr">
        <is>
          <t>http://static.cninfo.com.cn/finalpage/2026-03-31/1225061629.PDF</t>
        </is>
      </c>
    </row>
    <row r="42" ht="104" customHeight="1">
      <c r="B42" s="7" t="inlineStr">
        <is>
          <t>300445</t>
        </is>
      </c>
      <c r="C42" s="7" t="inlineStr">
        <is>
          <t>康斯特</t>
        </is>
      </c>
      <c r="D42" s="8" t="inlineStr">
        <is>
          <t>商业航天：spacex-潜在供应商</t>
        </is>
      </c>
      <c r="E42" s="7" t="inlineStr">
        <is>
          <t>纠错</t>
        </is>
      </c>
      <c r="F42" s="7" t="inlineStr">
        <is>
          <t>商业航天</t>
        </is>
      </c>
      <c r="G42" s="8" t="inlineStr">
        <is>
          <t>商业航天配套-通用零部件</t>
        </is>
      </c>
      <c r="H42" s="7" t="inlineStr">
        <is>
          <t>相关</t>
        </is>
      </c>
      <c r="I42" s="8" t="inlineStr">
        <is>
          <t>公司主营数字压力、温度和过程信号校准测试仪表。公司公告明确SpaceX为高端制造行业客户，2016年至2024年各年度实际采购校准测试产品，但各年订单金额较小、对业绩影响非常有限，因此不是单纯潜在供应预期；所供产品应按校准测试通用配套映射，而不能虚构为火箭核心部件。2025年仪器仪表制造收入5.5401亿元，占93.9470%，其中数字精密压力表4.2464亿元、温度自动检定系统0.9585亿元，SpaceX采购金额及2025年商业航天收入均未独立披露。基于实际供货但金额很小，定为相关；旧“已摘牌”结论纠正，同时不夸大客户重要性。</t>
        </is>
      </c>
      <c r="J42" s="7" t="inlineStr">
        <is>
          <t>康斯特：股票交易异常波动公告</t>
        </is>
      </c>
      <c r="K42" s="7" t="inlineStr">
        <is>
          <t>2025-12-15</t>
        </is>
      </c>
      <c r="L42" s="8" t="inlineStr">
        <is>
          <t>iFinD ifind_get_stock_info + ifind_get_stock_business_segmentation (as of 2026-10-27)；康斯特：股票交易异常波动公告</t>
        </is>
      </c>
      <c r="M42" s="9" t="inlineStr">
        <is>
          <t>https://www.cfi.net.cn/p20251215003291.html</t>
        </is>
      </c>
    </row>
    <row r="43" ht="104" customHeight="1">
      <c r="B43" s="4" t="inlineStr">
        <is>
          <t>300455</t>
        </is>
      </c>
      <c r="C43" s="4" t="inlineStr">
        <is>
          <t>航天智装</t>
        </is>
      </c>
      <c r="D43" s="5" t="inlineStr">
        <is>
          <t>商业航天：千帆星座</t>
        </is>
      </c>
      <c r="E43" s="4" t="inlineStr">
        <is>
          <t>纠错</t>
        </is>
      </c>
      <c r="F43" s="4" t="inlineStr">
        <is>
          <t>商业航天</t>
        </is>
      </c>
      <c r="G43" s="5" t="inlineStr">
        <is>
          <t>星载电子与核心元器件、卫星平台与核心分系统、航天电子与测控组件</t>
        </is>
      </c>
      <c r="H43" s="4" t="inlineStr">
        <is>
          <t>相关</t>
        </is>
      </c>
      <c r="I43" s="5" t="inlineStr">
        <is>
          <t>公司旗下相关业务提供处理器、存储器、微系统模块及控制部组件，用于航空航天复杂智能装备控制系统；智能测试仿真系统可在卫星研制过程中为星上产品和系统提供地面仿真测试，属于具体星载电子、控制分系统及测控组件，不是仅凭航天科技集团背景保留。2025年智能测试仿真系统和微系统与控制部组件合计收入4.9110亿元，占总收入11.1443亿元约44.07%，但该口径未拆分商业航天、其他航空航天及测试系统收入，不能把全部金额视为商业航天。基于真实产品已形成收入但商业部分未拆，定为相关；旧“千帆星座”“国家队”概念改为具体产品概念。</t>
        </is>
      </c>
      <c r="J43" s="4" t="inlineStr">
        <is>
          <t>航天智装：2025年年度报告摘要</t>
        </is>
      </c>
      <c r="K43" s="4" t="inlineStr">
        <is>
          <t>2026-03-28</t>
        </is>
      </c>
      <c r="L43" s="5" t="inlineStr">
        <is>
          <t>iFinD ifind_get_stock_info + ifind_get_stock_business_segmentation (as of 2026-10-27)；航天智装：2025年年度报告摘要</t>
        </is>
      </c>
      <c r="M43" s="6" t="inlineStr">
        <is>
          <t>https://vip.stock.finance.sina.com.cn/corp/view/vCB_AllBulletinDetail.php?stockid=300455&amp;id=12030834</t>
        </is>
      </c>
    </row>
    <row r="44" ht="104" customHeight="1">
      <c r="B44" s="7" t="inlineStr">
        <is>
          <t>300604</t>
        </is>
      </c>
      <c r="C44" s="7" t="inlineStr">
        <is>
          <t>长川科技</t>
        </is>
      </c>
      <c r="D44" s="8" t="inlineStr">
        <is>
          <t>商业航天：spacex</t>
        </is>
      </c>
      <c r="E44" s="7" t="inlineStr">
        <is>
          <t>摘除</t>
        </is>
      </c>
      <c r="F44" s="7" t="inlineStr">
        <is>
          <t>—</t>
        </is>
      </c>
      <c r="G44" s="8" t="inlineStr">
        <is>
          <t>—</t>
        </is>
      </c>
      <c r="H44" s="7" t="inlineStr">
        <is>
          <t>摘除</t>
        </is>
      </c>
      <c r="I44" s="8" t="inlineStr">
        <is>
          <t>公司真实业务为集成电路测试机、分选机、自动化设备和AOI光学检测设备。2025年测试机收入32.0297亿元，分选机收入15.6847亿元，其他业务5.2010亿元，集成电路电子工业专用设备收入合计52.9154亿元、占100%，年报未披露商业航天产品、卫星或火箭客户、SpaceX订单及对应收入。半导体测试设备可以服务多类芯片下游，但芯片最终可能用于卫星并不等于设备商已向商业航天供货，更不能把全部半导体设备收入映射为航天收入。核验所见SpaceX说法主要来自市场讨论，未发现公司正式公告证实实际供货，旧“spacex”及“已成交核心供应商”理由缺乏可核验依据，故摘除。</t>
        </is>
      </c>
      <c r="J44" s="7" t="inlineStr">
        <is>
          <t>长川科技：2025年年度报告</t>
        </is>
      </c>
      <c r="K44" s="7" t="inlineStr">
        <is>
          <t>2026-04-25</t>
        </is>
      </c>
      <c r="L44" s="8" t="inlineStr">
        <is>
          <t>iFinD ifind_get_stock_info + ifind_get_stock_business_segmentation (as of 2026-10-27)；长川科技：2025年年度报告</t>
        </is>
      </c>
      <c r="M44" s="9" t="inlineStr">
        <is>
          <t>https://money.finance.sina.com.cn/corp/view/vCB_AllBulletinDetail.php?stockid=300604&amp;id=12197571</t>
        </is>
      </c>
    </row>
    <row r="45" ht="104" customHeight="1">
      <c r="B45" s="4" t="inlineStr">
        <is>
          <t>300680</t>
        </is>
      </c>
      <c r="C45" s="4" t="inlineStr">
        <is>
          <t>隆盛科技</t>
        </is>
      </c>
      <c r="D45" s="5" t="inlineStr">
        <is>
          <t>商业航天：千帆星座</t>
        </is>
      </c>
      <c r="E45" s="4" t="inlineStr">
        <is>
          <t>纠错</t>
        </is>
      </c>
      <c r="F45" s="4" t="inlineStr">
        <is>
          <t>商业航天</t>
        </is>
      </c>
      <c r="G45" s="5" t="inlineStr">
        <is>
          <t>卫星结构与机构、卫星电源与太阳翼</t>
        </is>
      </c>
      <c r="H45" s="4" t="inlineStr">
        <is>
          <t>相关</t>
        </is>
      </c>
      <c r="I45" s="5" t="inlineStr">
        <is>
          <t>公司通过控股子公司微研中佳实际生产卫星太阳翼铰链、柔性太阳翼铰链、压紧释放机构、驱动组件、姿态控制机构和天线展开机构，直接用于卫星能源模块及结构控制；公司还披露已对吉利星座实现间接供应，具备真实星座配套事实。2025年精密机加工行业收入0.4576亿元，仅占1.7295%，且该口径还包含无人机等航空零部件，未独立拆分商业卫星收入；汽车零部件收入26.0016亿元、占98.2705%，仍是绝对主业。因此应定为相关而非核心。旧“千帆星座”无对应供货证据，现按真实太阳翼和机构产品纠正，不将机器人或军品收入混入。</t>
        </is>
      </c>
      <c r="J45" s="4" t="inlineStr">
        <is>
          <t>隆盛科技：2025年年度报告</t>
        </is>
      </c>
      <c r="K45" s="4" t="inlineStr">
        <is>
          <t>2026-04-28</t>
        </is>
      </c>
      <c r="L45" s="5" t="inlineStr">
        <is>
          <t>iFinD ifind_get_stock_info + ifind_get_stock_business_segmentation (as of 2026-10-27)；隆盛科技：2025年年度报告</t>
        </is>
      </c>
      <c r="M45" s="6" t="inlineStr">
        <is>
          <t>https://static.cninfo.com.cn/finalpage/2026-04-28/1225208080.PDF</t>
        </is>
      </c>
    </row>
    <row r="46" ht="104" customHeight="1">
      <c r="B46" s="7" t="inlineStr">
        <is>
          <t>300751</t>
        </is>
      </c>
      <c r="C46" s="7" t="inlineStr">
        <is>
          <t>迈为股份</t>
        </is>
      </c>
      <c r="D46" s="8" t="inlineStr">
        <is>
          <t>商业航天：spacex-潜在供应商</t>
        </is>
      </c>
      <c r="E46" s="7" t="inlineStr">
        <is>
          <t>摘除</t>
        </is>
      </c>
      <c r="F46" s="7" t="inlineStr">
        <is>
          <t>—</t>
        </is>
      </c>
      <c r="G46" s="8" t="inlineStr">
        <is>
          <t>—</t>
        </is>
      </c>
      <c r="H46" s="7" t="inlineStr">
        <is>
          <t>摘除</t>
        </is>
      </c>
      <c r="I46" s="8" t="inlineStr">
        <is>
          <t>公司真实产品是HJT异质结电池生产线、太阳能电池丝网印刷设备、显示面板和半导体制造设备。2025年太阳能光伏行业收入74.4964亿元，占91.3845%，半导体及显示行业收入6.6204亿元，占8.1212%，太阳能电池丝网印刷成套设备收入60.2507亿元，未独立披露商业航天收入或空间用设备销售。业绩说明会上被问及约5亿美元SpaceX订单时，公司仅回复按规则履行披露义务、以巨潮公告为准，并未确认订单；对太空应用问题也只重申光伏、显示和半导体装备定位。地面光伏技术和海外订单预期不能替代实际航天供货证据，旧“spacex-潜在供应商”及太空光伏设备标签因此摘除。</t>
        </is>
      </c>
      <c r="J46" s="7" t="inlineStr">
        <is>
          <t>迈为股份2025年度业绩说明会投资者活动记录表</t>
        </is>
      </c>
      <c r="K46" s="7" t="inlineStr">
        <is>
          <t>2026-04-28</t>
        </is>
      </c>
      <c r="L46" s="8" t="inlineStr">
        <is>
          <t>iFinD ifind_get_stock_info + ifind_get_stock_business_segmentation (as of 2026-10-27)；迈为股份2025年度业绩说明会投资者活动记录表</t>
        </is>
      </c>
      <c r="M46" s="9" t="inlineStr">
        <is>
          <t>https://www.9fzt.com/detail/sz_300751_9_d91700be1088100082d7b6b8759c9704.html</t>
        </is>
      </c>
    </row>
    <row r="47" ht="104" customHeight="1">
      <c r="B47" s="4" t="inlineStr">
        <is>
          <t>300757</t>
        </is>
      </c>
      <c r="C47" s="4" t="inlineStr">
        <is>
          <t>罗博特科</t>
        </is>
      </c>
      <c r="D47" s="5" t="inlineStr">
        <is>
          <t>商业航天：spacex、设备、太空光伏设备</t>
        </is>
      </c>
      <c r="E47" s="4" t="inlineStr">
        <is>
          <t>摘除</t>
        </is>
      </c>
      <c r="F47" s="4" t="inlineStr">
        <is>
          <t>—</t>
        </is>
      </c>
      <c r="G47" s="5" t="inlineStr">
        <is>
          <t>—</t>
        </is>
      </c>
      <c r="H47" s="4" t="inlineStr">
        <is>
          <t>摘除</t>
        </is>
      </c>
      <c r="I47" s="5" t="inlineStr">
        <is>
          <t>公司真实业务为光伏电池自动化设备、光电子及半导体封测设备、光子器件耦合和测试设备。2025年光电子及半导体封测设备收入4.3913亿元，光伏设备及整体解决方案收入4.3306亿元，其他产品0.7762亿元；半导体行业收入4.8549亿元、光伏行业收入4.5985亿元，未披露商业航天产品、客户、订单或独立收入。光伏自动化及光通信设备可以面向地面制造和数据中心应用，不能因技术可能服务太空光伏或卫星通信就直接归入商业航天。核验未发现公司实际向SpaceX供货的正式公告，旧“spacex”“太空光伏设备”以及错误复制到商业航天分类的“设备”概念均缺乏事实基础，故本次全部摘除。</t>
        </is>
      </c>
      <c r="J47" s="4" t="inlineStr">
        <is>
          <t>罗博特科：2025年年度报告</t>
        </is>
      </c>
      <c r="K47" s="4" t="inlineStr">
        <is>
          <t>2026-03-31</t>
        </is>
      </c>
      <c r="L47" s="5" t="inlineStr">
        <is>
          <t>iFinD ifind_get_stock_info + ifind_get_stock_business_segmentation (as of 2026-10-27)；罗博特科：2025年年度报告</t>
        </is>
      </c>
      <c r="M47" s="6" t="inlineStr">
        <is>
          <t>http://static.cninfo.com.cn/finalpage/2026-03-31/1225059372.PDF</t>
        </is>
      </c>
    </row>
    <row r="48" ht="104" customHeight="1">
      <c r="B48" s="7" t="inlineStr">
        <is>
          <t>300762</t>
        </is>
      </c>
      <c r="C48" s="7" t="inlineStr">
        <is>
          <t>上海瀚讯</t>
        </is>
      </c>
      <c r="D48" s="8" t="inlineStr">
        <is>
          <t>商业航天：千帆星座</t>
        </is>
      </c>
      <c r="E48" s="7" t="inlineStr">
        <is>
          <t>纠错</t>
        </is>
      </c>
      <c r="F48" s="7" t="inlineStr">
        <is>
          <t>商业航天</t>
        </is>
      </c>
      <c r="G48" s="8" t="inlineStr">
        <is>
          <t>卫星载荷-通信与转发、地面站与测运控、卫星通信终端与天线</t>
        </is>
      </c>
      <c r="H48" s="7" t="inlineStr">
        <is>
          <t>相关</t>
        </is>
      </c>
      <c r="I48" s="8" t="inlineStr">
        <is>
          <t>公司实际参与卫星互联网通信系统建设，产品包括低轨卫星通信载荷、地基基站、测试终端和一体化信关站。2025年报披露持续投入低轨卫星载荷系统及终端研发和生产环境建设，一体化信关站已完成研制和批产，并保障客户海外首局点建设，证明有真实产品研制、批产和项目交付。2025年宽带移动通信行业收入5.0181亿元，占99.8539%，其中宽带移动通信设备4.6189亿元，但该口径同时包含传统专网业务，未独立拆分商业航天收入，不能全部视为卫星互联网收入。考虑新业务已批产但贡献未拆，定为相关；旧“千帆星座”标签改为载荷、信关站与终端产品概念。</t>
        </is>
      </c>
      <c r="J48" s="7" t="inlineStr">
        <is>
          <t>上海瀚讯：2025年年度报告</t>
        </is>
      </c>
      <c r="K48" s="7" t="inlineStr">
        <is>
          <t>2026-04-28</t>
        </is>
      </c>
      <c r="L48" s="8" t="inlineStr">
        <is>
          <t>iFinD ifind_get_stock_info + ifind_get_stock_business_segmentation (as of 2026-10-27)；上海瀚讯：2025年年度报告</t>
        </is>
      </c>
      <c r="M48" s="9" t="inlineStr">
        <is>
          <t>http://static.cninfo.com.cn/finalpage/2026-04-28/1225205348.PDF</t>
        </is>
      </c>
    </row>
    <row r="49" ht="104" customHeight="1">
      <c r="B49" s="4" t="inlineStr">
        <is>
          <t>301005</t>
        </is>
      </c>
      <c r="C49" s="4" t="inlineStr">
        <is>
          <t>超捷股份</t>
        </is>
      </c>
      <c r="D49" s="5" t="inlineStr">
        <is>
          <t>商业航天：结构件</t>
        </is>
      </c>
      <c r="E49" s="4" t="inlineStr">
        <is>
          <t>纠错</t>
        </is>
      </c>
      <c r="F49" s="4" t="inlineStr">
        <is>
          <t>商业航天</t>
        </is>
      </c>
      <c r="G49" s="5" t="inlineStr">
        <is>
          <t>火箭结构与紧固件</t>
        </is>
      </c>
      <c r="H49" s="4" t="inlineStr">
        <is>
          <t>相关</t>
        </is>
      </c>
      <c r="I49" s="5" t="inlineStr">
        <is>
          <t>公司在商业航天领域的真实产品为商业火箭箭体结构件，包括壳段、尾段、整流罩等，并拓展航天紧固件；2025年报明确火箭结构件业务已形成正式合同订单，客户涵盖国内多家民营商业火箭企业，属于真实订单和交付，而非通用汽车紧固件可上火箭的联想。2025年航空航天收入0.6696亿元，占7.6166%，但该口径仍含航空零部件，商业火箭收入未独立拆分，且汽车行业收入7.0337亿元、占80.0050%，公司后续亦提示商业航天尚处小批量交付阶段。故定为相关，旧“结构件”细化为火箭结构与紧固件，旧SpaceX潜在供应说法不作为依据。</t>
        </is>
      </c>
      <c r="J49" s="4" t="inlineStr">
        <is>
          <t>超捷股份：2025年年度报告</t>
        </is>
      </c>
      <c r="K49" s="4" t="inlineStr">
        <is>
          <t>2026-04-21</t>
        </is>
      </c>
      <c r="L49" s="5" t="inlineStr">
        <is>
          <t>iFinD ifind_get_stock_info + ifind_get_stock_business_segmentation (as of 2026-10-27)；超捷股份：2025年年度报告</t>
        </is>
      </c>
      <c r="M49" s="6" t="inlineStr">
        <is>
          <t>https://static.cninfo.com.cn/finalpage/2026-04-21/1225126123.PDF</t>
        </is>
      </c>
    </row>
    <row r="50" ht="104" customHeight="1">
      <c r="B50" s="7" t="inlineStr">
        <is>
          <t>301071</t>
        </is>
      </c>
      <c r="C50" s="7" t="inlineStr">
        <is>
          <t>力量钻石</t>
        </is>
      </c>
      <c r="D50" s="8" t="inlineStr">
        <is>
          <t>商业航天：spacex-供应商</t>
        </is>
      </c>
      <c r="E50" s="7" t="inlineStr">
        <is>
          <t>摘除</t>
        </is>
      </c>
      <c r="F50" s="7" t="inlineStr">
        <is>
          <t>—</t>
        </is>
      </c>
      <c r="G50" s="8" t="inlineStr">
        <is>
          <t>—</t>
        </is>
      </c>
      <c r="H50" s="7" t="inlineStr">
        <is>
          <t>摘除</t>
        </is>
      </c>
      <c r="I50" s="8" t="inlineStr">
        <is>
          <t>公司真实产品为金刚石单晶、金刚石微粉和培育钻石，主要用于工业超硬材料、消费钻石等领域。2025年培育钻石收入3.8755亿元，金刚石单晶收入1.3481亿元，金刚石微粉收入0.6180亿元，其他业务0.4828亿元，非金属矿物制品业收入6.3244亿元、占100%，年报未披露航天专用产品、商业火箭或卫星客户、SpaceX订单及商业航天收入。金刚石具备高硬度等通用材料属性，不代表已经用于SpaceX，也不能把超硬材料的理论应用空间当作实际供货。旧标签写作“spacex-供应商”但原理由已承认供应链仅为预期，核验亦未见正式供货证据，故摘除商业航天标签。</t>
        </is>
      </c>
      <c r="J50" s="7" t="inlineStr">
        <is>
          <t>力量钻石：2025年年度报告</t>
        </is>
      </c>
      <c r="K50" s="7" t="inlineStr">
        <is>
          <t>2026-04-24</t>
        </is>
      </c>
      <c r="L50" s="8" t="inlineStr">
        <is>
          <t>iFinD ifind_get_stock_info + ifind_get_stock_business_segmentation (as of 2026-10-27)；力量钻石：2025年年度报告</t>
        </is>
      </c>
      <c r="M50" s="9" t="inlineStr">
        <is>
          <t>http://money.finance.sina.com.cn/corp/view/vCB_AllBulletinDetail.php?stockid=301071&amp;id=12167945</t>
        </is>
      </c>
    </row>
    <row r="51" ht="104" customHeight="1">
      <c r="B51" s="4" t="inlineStr">
        <is>
          <t>301306</t>
        </is>
      </c>
      <c r="C51" s="4" t="inlineStr">
        <is>
          <t>西测测试</t>
        </is>
      </c>
      <c r="D51" s="5" t="inlineStr">
        <is>
          <t>商业航天：卫星</t>
        </is>
      </c>
      <c r="E51" s="4" t="inlineStr">
        <is>
          <t>纠错</t>
        </is>
      </c>
      <c r="F51" s="4" t="inlineStr">
        <is>
          <t>商业航天</t>
        </is>
      </c>
      <c r="G51" s="5" t="inlineStr">
        <is>
          <t>环境试验与检测服务</t>
        </is>
      </c>
      <c r="H51" s="4" t="inlineStr">
        <is>
          <t>相关</t>
        </is>
      </c>
      <c r="I51" s="5" t="inlineStr">
        <is>
          <t>公司实际提供电子元器件检测筛选、电子装联、环境与可靠性试验及电磁兼容试验，可为卫星等航天电子产品在设计、定型和量产阶段提供热真空、热平衡、热循环等可靠性检测，属于真实第三方试验服务而非仅凭航空航天资质贴标签。2025年技术服务收入3.2134亿元，其中环境与可靠性试验1.7251亿元、电磁兼容试验0.4728亿元、元器件检测筛选0.2252亿元，但年报明确商业航天客户大量处于试产或研发阶段、相关业务仍在拓展，且上述收入还包含军用装备和民用飞机，未独立拆分商业航天收入，故只能列相关。旧“卫星”过宽，纠正为具体的环境试验与检测服务。</t>
        </is>
      </c>
      <c r="J51" s="4" t="inlineStr">
        <is>
          <t>西安西测测试技术股份有限公司2025年年度报告</t>
        </is>
      </c>
      <c r="K51" s="4" t="inlineStr">
        <is>
          <t>2026-04-28</t>
        </is>
      </c>
      <c r="L51" s="5" t="inlineStr">
        <is>
          <t>iFinD ifind_get_stock_info + ifind_get_stock_business_segmentation (as of 2026-10-27)；西安西测测试技术股份有限公司2025年年度报告</t>
        </is>
      </c>
      <c r="M51" s="6" t="inlineStr">
        <is>
          <t>http://disc.static.szse.cn/disc/disk03/finalpage/2026-04-28/e7ffc7a2-e0b9-4b08-8ff7-880d191bc0f4.PDF</t>
        </is>
      </c>
    </row>
    <row r="52" ht="104" customHeight="1">
      <c r="B52" s="7" t="inlineStr">
        <is>
          <t>301517</t>
        </is>
      </c>
      <c r="C52" s="7" t="inlineStr">
        <is>
          <t>陕西华达</t>
        </is>
      </c>
      <c r="D52" s="8" t="inlineStr">
        <is>
          <t>商业航天：千帆星座</t>
        </is>
      </c>
      <c r="E52" s="7" t="inlineStr">
        <is>
          <t>纠错</t>
        </is>
      </c>
      <c r="F52" s="7" t="inlineStr">
        <is>
          <t>商业航天</t>
        </is>
      </c>
      <c r="G52" s="8" t="inlineStr">
        <is>
          <t>星载电子与核心元器件</t>
        </is>
      </c>
      <c r="H52" s="7" t="inlineStr">
        <is>
          <t>相关</t>
        </is>
      </c>
      <c r="I52" s="8" t="inlineStr">
        <is>
          <t>公司真实产品是射频同轴连接器、低频连接器及射频电缆组件，高可靠电连接器与互连产品已用于高轨、低轨卫星和火箭等航天器；公司互动回复还确认给星网、千帆配套且商业航天订单已按客户要求交付，因而存在实际产品与交付，不是仅凭星座名称保留。2025年射频同轴连接器收入2.3820亿元、低频连接器1.4832亿元、射频电缆组件1.2691亿元，合计收入规模较大，但同时覆盖防务、通信及其他工业客户，商业航天收入未独立拆分，不能把这些收入全算作商业航天，故列相关。旧“千帆星座”只是项目标签，按产品实质纠正为星载电子与核心元器件。</t>
        </is>
      </c>
      <c r="J52" s="7" t="inlineStr">
        <is>
          <t>陕西华达：公司深度参与星网、千帆等航天项目</t>
        </is>
      </c>
      <c r="K52" s="7" t="inlineStr">
        <is>
          <t>2026-01-12</t>
        </is>
      </c>
      <c r="L52" s="8" t="inlineStr">
        <is>
          <t>iFinD ifind_get_stock_info + ifind_get_stock_business_segmentation (as of 2026-10-27)；陕西华达：公司深度参与星网、千帆等航天项目</t>
        </is>
      </c>
      <c r="M52" s="9" t="inlineStr">
        <is>
          <t>https://finance.ifeng.com/c/8pr8lIwmxoP</t>
        </is>
      </c>
    </row>
    <row r="53" ht="104" customHeight="1">
      <c r="B53" s="4" t="inlineStr">
        <is>
          <t>301522</t>
        </is>
      </c>
      <c r="C53" s="4" t="inlineStr">
        <is>
          <t>上大股份</t>
        </is>
      </c>
      <c r="D53" s="5" t="inlineStr">
        <is>
          <t>商业航天：火箭</t>
        </is>
      </c>
      <c r="E53" s="4" t="inlineStr">
        <is>
          <t>纠错</t>
        </is>
      </c>
      <c r="F53" s="4" t="inlineStr">
        <is>
          <t>商业航天</t>
        </is>
      </c>
      <c r="G53" s="5" t="inlineStr">
        <is>
          <t>航天材料与增材制造</t>
        </is>
      </c>
      <c r="H53" s="4" t="inlineStr">
        <is>
          <t>相关</t>
        </is>
      </c>
      <c r="I53" s="5" t="inlineStr">
        <is>
          <t>公司生产高温合金、超高纯不锈钢、耐蚀合金及超高强合金等特种合金，商业航天环节主要面向民营火箭客户提供发动机等所需高温合金材料，公开调研披露2025年商业航天业务预计为数千万元，且客户涵盖多家头部民营火箭企业，属于已有业务收入的材料配套而非“高温合金理论上可上天”。2025年高温及高性能合金收入12.9427亿元、高品质特种不锈钢10.1493亿元，总收入24.0744亿元；数千万元商业航天体量占总收入比例较低，年报也未把商业航天从航空航天、燃气轮机等应用中独立拆分，故列相关而非核心。旧“火箭”未说明材料属性，纠正为航天材料与增材制造。</t>
        </is>
      </c>
      <c r="J53" s="4" t="inlineStr">
        <is>
          <t>机构密集调研商业航天概念股！龙头11天7板</t>
        </is>
      </c>
      <c r="K53" s="4" t="inlineStr">
        <is>
          <t>2025-11-29</t>
        </is>
      </c>
      <c r="L53" s="5" t="inlineStr">
        <is>
          <t>iFinD ifind_get_stock_info + ifind_get_stock_business_segmentation (as of 2026-10-27)；机构密集调研商业航天概念股！龙头11天7板</t>
        </is>
      </c>
      <c r="M53" s="6" t="inlineStr">
        <is>
          <t>https://www.cls.cn/detail/2214838</t>
        </is>
      </c>
    </row>
    <row r="54" ht="104" customHeight="1">
      <c r="B54" s="7" t="inlineStr">
        <is>
          <t>600118</t>
        </is>
      </c>
      <c r="C54" s="7" t="inlineStr">
        <is>
          <t>中国卫星</t>
        </is>
      </c>
      <c r="D54" s="8" t="inlineStr">
        <is>
          <t>商业航天：卫星</t>
        </is>
      </c>
      <c r="E54" s="7" t="inlineStr">
        <is>
          <t>纠错</t>
        </is>
      </c>
      <c r="F54" s="7" t="inlineStr">
        <is>
          <t>商业航天</t>
        </is>
      </c>
      <c r="G54" s="8" t="inlineStr">
        <is>
          <t>卫星总体与制造、卫星平台与核心分系统、卫星数据与遥感应用</t>
        </is>
      </c>
      <c r="H54" s="7" t="inlineStr">
        <is>
          <t>核心</t>
        </is>
      </c>
      <c r="I54" s="8" t="inlineStr">
        <is>
          <t>公司主营卫星研制与卫星应用，真实业务覆盖小卫星及微小卫星总体设计、总装集成和测试，宇航部组件、地面系统集成，以及遥感、通信和导航等卫星应用产品与服务，具备从卫星总体到应用端的完整经营链条。2025年宇航制造及卫星应用收入60.4690亿元，占分部口径99.0817%，是绝对主业；年报还披露低毛利商业航天产品交付增长带动收入，说明商业航天已形成实际批量交付，而非依赖央企身份或“国家队”想象。虽然未单独披露商业航天收入，但主营与规模化交付依据充分，列核心。旧“卫星”“国家队”和误配的“太阳翼结构”应纠正为卫星总体、核心分系统及数据应用。</t>
        </is>
      </c>
      <c r="J54" s="7" t="inlineStr">
        <is>
          <t>中国东方红卫星股份有限公司2025年年度报告</t>
        </is>
      </c>
      <c r="K54" s="7" t="inlineStr">
        <is>
          <t>2026-03-31</t>
        </is>
      </c>
      <c r="L54" s="8" t="inlineStr">
        <is>
          <t>iFinD ifind_get_stock_info + ifind_get_stock_business_segmentation (as of 2026-10-27)；中国东方红卫星股份有限公司2025年年度报告</t>
        </is>
      </c>
      <c r="M54" s="9" t="inlineStr">
        <is>
          <t>http://file.finance.sina.com.cn/211.154.219.97:9494/MRGG/CNSESH_STOCK/2026/2026-3/2026-03-31/12038644.PDF</t>
        </is>
      </c>
    </row>
    <row r="55" ht="104" customHeight="1">
      <c r="B55" s="4" t="inlineStr">
        <is>
          <t>600343</t>
        </is>
      </c>
      <c r="C55" s="4" t="inlineStr">
        <is>
          <t>航天动力</t>
        </is>
      </c>
      <c r="D55" s="5" t="inlineStr">
        <is>
          <t>商业航天：国家队</t>
        </is>
      </c>
      <c r="E55" s="4" t="inlineStr">
        <is>
          <t>纠错</t>
        </is>
      </c>
      <c r="F55" s="4" t="inlineStr">
        <is>
          <t>商业航天</t>
        </is>
      </c>
      <c r="G55" s="5" t="inlineStr">
        <is>
          <t>商业航天配套-通用零部件</t>
        </is>
      </c>
      <c r="H55" s="4" t="inlineStr">
        <is>
          <t>相关</t>
        </is>
      </c>
      <c r="I55" s="5" t="inlineStr">
        <is>
          <t>公司主营泵及泵系统、液力传动系统、流体计量与通信系统等，主要服务能源、化工、水利和交通等民用领域，不能因航天六院背景就把通用泵阀认定为火箭核心动力。公司异动公告同时明确，主营业务不涉及商业航天、无相关对外投资，但存在少量配合加工火箭发动机零部件的实际业务，收入占比不足2%，因此不是完全无业务，也不足以保留核心。2025年泵及泵系统收入3.9311亿元、液力变矩器2.1554亿元，商业航天加工收入未单独列示且体量很小，故按真实低占比配套列相关。旧“国家队”“火箭”属于身份及产业链泛化，纠正为通用零部件加工。</t>
        </is>
      </c>
      <c r="J55" s="4" t="inlineStr">
        <is>
          <t>航天动力：公司主营业务不涉及商业航天</t>
        </is>
      </c>
      <c r="K55" s="4" t="inlineStr">
        <is>
          <t>2025-12-09</t>
        </is>
      </c>
      <c r="L55" s="5" t="inlineStr">
        <is>
          <t>iFinD ifind_get_stock_info + ifind_get_stock_business_segmentation (as of 2026-10-27)；航天动力：公司主营业务不涉及商业航天</t>
        </is>
      </c>
      <c r="M55" s="6" t="inlineStr">
        <is>
          <t>https://m.bjnews.com.cn/detail/1765275760129768.html</t>
        </is>
      </c>
    </row>
    <row r="56" ht="104" customHeight="1">
      <c r="B56" s="7" t="inlineStr">
        <is>
          <t>600345</t>
        </is>
      </c>
      <c r="C56" s="7" t="inlineStr">
        <is>
          <t>长江通信</t>
        </is>
      </c>
      <c r="D56" s="8" t="inlineStr">
        <is>
          <t>商业航天：千帆星座、光纤光缆</t>
        </is>
      </c>
      <c r="E56" s="7" t="inlineStr">
        <is>
          <t>纠错</t>
        </is>
      </c>
      <c r="F56" s="7" t="inlineStr">
        <is>
          <t>商业航天</t>
        </is>
      </c>
      <c r="G56" s="8" t="inlineStr">
        <is>
          <t>地面站与测运控、卫星互联网网络与系统</t>
        </is>
      </c>
      <c r="H56" s="7" t="inlineStr">
        <is>
          <t>相关</t>
        </is>
      </c>
      <c r="I56" s="8" t="inlineStr">
        <is>
          <t>公司通过迪爱斯等业务实际提供一体化信关站、低轨卫星通信网络管理及地面运控相关产品和系统，一体化信关站承担地面网与卫星网络连接，测运控系统串联地面中心和测控站；此前已中标上海垣信卫星地面站园区及信关站建设，属于真实项目交付而非光纤光缆概念外推。2025年系统集成收入9.2178亿元、运维与技术服务0.5542亿元，信息技术服务业合计9.9526亿元，但收入主体仍是公安、应急和城运指挥，卫星项目收入未独立拆分，故列相关。旧“千帆星座”“光纤光缆”和泛化“地面设备”混淆了项目与产品，应纠正为地面站测运控及卫星互联网系统。</t>
        </is>
      </c>
      <c r="J56" s="7" t="inlineStr">
        <is>
          <t>武汉长江通信产业集团股份有限公司2025年年度报告</t>
        </is>
      </c>
      <c r="K56" s="7" t="inlineStr">
        <is>
          <t>2026-04-28</t>
        </is>
      </c>
      <c r="L56" s="8" t="inlineStr">
        <is>
          <t>iFinD ifind_get_stock_info + ifind_get_stock_business_segmentation (as of 2026-10-27)；武汉长江通信产业集团股份有限公司2025年年度报告</t>
        </is>
      </c>
      <c r="M56" s="9" t="inlineStr">
        <is>
          <t>http://file.finance.sina.com.cn/211.154.219.97:9494/MRGG/CNSESH_STOCK/2026/2026-4/2026-04-28/12217505.PDF</t>
        </is>
      </c>
    </row>
    <row r="57" ht="104" customHeight="1">
      <c r="B57" s="4" t="inlineStr">
        <is>
          <t>600456</t>
        </is>
      </c>
      <c r="C57" s="4" t="inlineStr">
        <is>
          <t>宝钛股份</t>
        </is>
      </c>
      <c r="D57" s="5" t="inlineStr">
        <is>
          <t>商业航天：spacex-潜在供应商</t>
        </is>
      </c>
      <c r="E57" s="4" t="inlineStr">
        <is>
          <t>摘除</t>
        </is>
      </c>
      <c r="F57" s="4" t="inlineStr">
        <is>
          <t>—</t>
        </is>
      </c>
      <c r="G57" s="5" t="inlineStr">
        <is>
          <t>—</t>
        </is>
      </c>
      <c r="H57" s="4" t="inlineStr">
        <is>
          <t>摘除</t>
        </is>
      </c>
      <c r="I57" s="5" t="inlineStr">
        <is>
          <t>公司真实主营为海绵钛、钛锭及钛板、管、棒、丝、环材和精密铸件，钛材确实可用于飞船骨架、火箭发动机壳件等航天场景，但本次旧标签是“spacex-潜在供应商”，公开可核验材料仅能证明通用航空航天应用，未找到公司公告或客户文件证明已向SpaceX实际供货，也未找到可核实的商业火箭客户、订单和独立收入。2025年钛产品收入52.6593亿元，约占总收入61.2409亿元的85.99%，却不能据此把全部钛材或传统航天军品收入归入商业航天。按“潜在预期即摘除、通用产品可上天不保留”的规则，本次摘除旧商业航天标签；军工材料标签保持独立，不在本项修改。</t>
        </is>
      </c>
      <c r="J57" s="4" t="inlineStr">
        <is>
          <t>宝鸡钛业股份有限公司2025年年度报告</t>
        </is>
      </c>
      <c r="K57" s="4" t="inlineStr">
        <is>
          <t>2026-04-28</t>
        </is>
      </c>
      <c r="L57" s="5" t="inlineStr">
        <is>
          <t>iFinD ifind_get_stock_info + ifind_get_stock_business_segmentation (as of 2026-10-27)；宝鸡钛业股份有限公司2025年年度报告</t>
        </is>
      </c>
      <c r="M57" s="6" t="inlineStr">
        <is>
          <t>http://money.finance.sina.com.cn/corp/view/vCB_AllBulletinDetail.php?stockid=600456&amp;id=12223273</t>
        </is>
      </c>
    </row>
    <row r="58" ht="104" customHeight="1">
      <c r="B58" s="7" t="inlineStr">
        <is>
          <t>600481</t>
        </is>
      </c>
      <c r="C58" s="7" t="inlineStr">
        <is>
          <t>双良节能</t>
        </is>
      </c>
      <c r="D58" s="8" t="inlineStr">
        <is>
          <t>商业航天：spacex-参股</t>
        </is>
      </c>
      <c r="E58" s="7" t="inlineStr">
        <is>
          <t>纠错</t>
        </is>
      </c>
      <c r="F58" s="7" t="inlineStr">
        <is>
          <t>商业航天</t>
        </is>
      </c>
      <c r="G58" s="8" t="inlineStr">
        <is>
          <t>发射场与地面保障</t>
        </is>
      </c>
      <c r="H58" s="7" t="inlineStr">
        <is>
          <t>相关</t>
        </is>
      </c>
      <c r="I58" s="8" t="inlineStr">
        <is>
          <t>公司实际取得三项海外高效换热器订单，共12台设备，用于SpaceX星舰发射基地扩建配套燃料生产系统，是通过国际工业气体企业参与项目的非独家间接供应商，并非与SpaceX直接签约；这属于已获订单的真实发射场地面配套，而非旧标签所写“spacex-参股”。三项订单签订于2025年10月25日及2026年1月9日，合计约170万欧元、折人民币1392.30万元，仅占2024年营收约0.11%；2025年节能节水装备收入27.2317亿元、光伏产品44.1988亿元，商业航天订单占比很低且未在2025分部单列，故只列相关。旧“参股”和“太空光伏设备”均无业务依据，应纠正为发射场与地面保障。</t>
        </is>
      </c>
      <c r="J58" s="7" t="inlineStr">
        <is>
          <t>双良节能：公司间接参与相关商业航天项目，未直接与SpaceX发生合作</t>
        </is>
      </c>
      <c r="K58" s="7" t="inlineStr">
        <is>
          <t>2026-02-12</t>
        </is>
      </c>
      <c r="L58" s="8" t="inlineStr">
        <is>
          <t>iFinD ifind_get_stock_info + ifind_get_stock_business_segmentation (as of 2026-10-27)；双良节能：公司间接参与相关商业航天项目，未直接与SpaceX发生合作</t>
        </is>
      </c>
      <c r="M58" s="9" t="inlineStr">
        <is>
          <t>https://www.jiemian.com/article/14011831.html</t>
        </is>
      </c>
    </row>
    <row r="59" ht="104" customHeight="1">
      <c r="B59" s="4" t="inlineStr">
        <is>
          <t>600501</t>
        </is>
      </c>
      <c r="C59" s="4" t="inlineStr">
        <is>
          <t>航天晨光</t>
        </is>
      </c>
      <c r="D59" s="5" t="inlineStr">
        <is>
          <t>商业航天：国家队</t>
        </is>
      </c>
      <c r="E59" s="4" t="inlineStr">
        <is>
          <t>纠错</t>
        </is>
      </c>
      <c r="F59" s="4" t="inlineStr">
        <is>
          <t>商业航天</t>
        </is>
      </c>
      <c r="G59" s="5" t="inlineStr">
        <is>
          <t>发射场与地面保障</t>
        </is>
      </c>
      <c r="H59" s="4" t="inlineStr">
        <is>
          <t>相关</t>
        </is>
      </c>
      <c r="I59" s="5" t="inlineStr">
        <is>
          <t>公司真实产品包括柔性管件、压力容器、特种装备和专用改装车，其中压力容器及管件可服务航天发射场流体保障；2025年报披露参与海南商业航天发射场二期、烟台东方航天港设备供应，说明存在明确项目与产品交付场景，不是依靠航天科工背景保留。2025年管类产品收入8.0157亿元、容器类6.1406亿元、改装车4.9821亿元、特种装备板块1.7159亿元，但这些板块还大量覆盖石化、核电、聚变、环卫和防务，商业航天收入未独立拆分，不能把板块收入全部归入商业航天，故列相关。旧“国家队”“火箭”及“航天特种装备”过宽，按应用纠正为发射场与地面保障，军工标签另行保留。</t>
        </is>
      </c>
      <c r="J59" s="4" t="inlineStr">
        <is>
          <t>航天晨光：2025年年度报告摘要</t>
        </is>
      </c>
      <c r="K59" s="4" t="inlineStr">
        <is>
          <t>2026-04-24</t>
        </is>
      </c>
      <c r="L59" s="5" t="inlineStr">
        <is>
          <t>iFinD ifind_get_stock_info + ifind_get_stock_business_segmentation (as of 2026-10-27)；航天晨光：2025年年度报告摘要</t>
        </is>
      </c>
      <c r="M59" s="6" t="inlineStr">
        <is>
          <t>https://vip.stock.finance.sina.com.cn/corp/view/vCB_AllBulletinDetail.php?stockid=600501&amp;id=12182209</t>
        </is>
      </c>
    </row>
    <row r="60" ht="104" customHeight="1">
      <c r="B60" s="7" t="inlineStr">
        <is>
          <t>600592</t>
        </is>
      </c>
      <c r="C60" s="7" t="inlineStr">
        <is>
          <t>龙溪股份</t>
        </is>
      </c>
      <c r="D60" s="8" t="inlineStr">
        <is>
          <t>商业航天：火箭</t>
        </is>
      </c>
      <c r="E60" s="7" t="inlineStr">
        <is>
          <t>纠错</t>
        </is>
      </c>
      <c r="F60" s="7" t="inlineStr">
        <is>
          <t>商业航天</t>
        </is>
      </c>
      <c r="G60" s="8" t="inlineStr">
        <is>
          <t>商业航天配套-通用零部件</t>
        </is>
      </c>
      <c r="H60" s="7" t="inlineStr">
        <is>
          <t>相关</t>
        </is>
      </c>
      <c r="I60" s="8" t="inlineStr">
        <is>
          <t>公司主营关节轴承、圆锥滚子轴承及齿轮箱，关节轴承确有航空航天配套基础；公司2026年投资者关系记录进一步确认产品涉及商业航天，但同时明确该领域产品营收占比极小、对经营影响有限，因此保留依据是已有产品配套而非市场传言中的大额订单。2025年轴承产品收入9.3956亿元、齿轮箱0.4255亿元、粉末冶金0.1368亿元，年报未单列商业航天收入，轴承收入还覆盖工程机械、重卡、航空及其他工业场景，绝不能把轴承主业全部算作火箭业务，故仅列相关。旧“火箭”过于笼统，也无可信的大规模核心收入支撑，按产品属性纠正为通用零部件配套。</t>
        </is>
      </c>
      <c r="J60" s="7" t="inlineStr">
        <is>
          <t>福建龙溪轴承（集团）股份有限公司投资者关系活动记录表</t>
        </is>
      </c>
      <c r="K60" s="7" t="inlineStr">
        <is>
          <t>2026-05-19</t>
        </is>
      </c>
      <c r="L60" s="8" t="inlineStr">
        <is>
          <t>iFinD ifind_get_stock_info + ifind_get_stock_business_segmentation (as of 2026-10-27)；福建龙溪轴承（集团）股份有限公司投资者关系活动记录表</t>
        </is>
      </c>
      <c r="M60" s="9" t="inlineStr">
        <is>
          <t>https://pdf.dfcfw.com/pdf/H22_AN202605191822444470_1.pdf</t>
        </is>
      </c>
    </row>
    <row r="61" ht="104" customHeight="1">
      <c r="B61" s="4" t="inlineStr">
        <is>
          <t>600775</t>
        </is>
      </c>
      <c r="C61" s="4" t="inlineStr">
        <is>
          <t>南京熊猫</t>
        </is>
      </c>
      <c r="D61" s="5" t="inlineStr">
        <is>
          <t>商业航天：卫星-地面设备</t>
        </is>
      </c>
      <c r="E61" s="4" t="inlineStr">
        <is>
          <t>纠错</t>
        </is>
      </c>
      <c r="F61" s="4" t="inlineStr">
        <is>
          <t>商业航天</t>
        </is>
      </c>
      <c r="G61" s="5" t="inlineStr">
        <is>
          <t>卫星通信终端与天线</t>
        </is>
      </c>
      <c r="H61" s="4" t="inlineStr">
        <is>
          <t>相关</t>
        </is>
      </c>
      <c r="I61" s="5" t="inlineStr">
        <is>
          <t>公司在无线专用通信方向真实开展低轨卫星互联网终端及相关产品研发，2025年报明确将该方向列为通信业务重点；后续公开信息还显示已形成低轨卫星SS频段测试终端小区搜索、多普勒频移算法等软件成果，属于具体终端研发活动而非智慧交通或平安城市业务的简单改名。2025年平安城市及通信设备收入1.9484亿元、智能交通5.4500亿元、电子制造产品11.3725亿元，卫星终端没有独立收入拆分，且仍处研发、测试和产业化前期，不能视为规模化核心产品，故列相关。旧“卫星-地面设备”范围过宽，按实际在研产品纠正为卫星通信终端与天线。</t>
        </is>
      </c>
      <c r="J61" s="4" t="inlineStr">
        <is>
          <t>南京熊猫电子股份有限公司2025年年度报告摘要</t>
        </is>
      </c>
      <c r="K61" s="4" t="inlineStr">
        <is>
          <t>2026-03-28</t>
        </is>
      </c>
      <c r="L61" s="5" t="inlineStr">
        <is>
          <t>iFinD ifind_get_stock_info + ifind_get_stock_business_segmentation (as of 2026-10-27)；南京熊猫电子股份有限公司2025年年度报告摘要</t>
        </is>
      </c>
      <c r="M61" s="6" t="inlineStr">
        <is>
          <t>https://static.cninfo.com.cn/finalpage/2026-03-28/1225047744.PDF</t>
        </is>
      </c>
    </row>
    <row r="62" ht="104" customHeight="1">
      <c r="B62" s="7" t="inlineStr">
        <is>
          <t>600855</t>
        </is>
      </c>
      <c r="C62" s="7" t="inlineStr">
        <is>
          <t>航天长峰</t>
        </is>
      </c>
      <c r="D62" s="8" t="inlineStr">
        <is>
          <t>商业航天：国家队</t>
        </is>
      </c>
      <c r="E62" s="7" t="inlineStr">
        <is>
          <t>摘除</t>
        </is>
      </c>
      <c r="F62" s="7" t="inlineStr">
        <is>
          <t>—</t>
        </is>
      </c>
      <c r="G62" s="8" t="inlineStr">
        <is>
          <t>—</t>
        </is>
      </c>
      <c r="H62" s="7" t="inlineStr">
        <is>
          <t>摘除</t>
        </is>
      </c>
      <c r="I62" s="8" t="inlineStr">
        <is>
          <t>公司真实业务为军工电子、公共安全和高端医疗装备，产品包括模块及定制电源、红外光电成像设备、仿真模拟设备、边海空防信息化平台、无人机探测处置和医疗器械等，这些军工或安防产品不能因公司名称含“航天”或实际控制人背景而自动归入商业航天。公司已公告明确目前未实际开展商业航天相关业务，后续亦称暂未规模化开展商业航天及卫星通信业务，故没有可保留的真实订单、供货或运营依据。2025年公共安全收入6.9934亿元、军工电子5.4294亿元，二者均不能替代商业航天收入。旧“国家队”和“航天科工体系”纯属集团身份标签，本次应整体摘除，军工电子分类保持独立。</t>
        </is>
      </c>
      <c r="J62" s="7" t="inlineStr">
        <is>
          <t>商业航天概念股，密集回应相关业务情况</t>
        </is>
      </c>
      <c r="K62" s="7" t="inlineStr">
        <is>
          <t>2026-01-12</t>
        </is>
      </c>
      <c r="L62" s="8" t="inlineStr">
        <is>
          <t>iFinD ifind_get_stock_info + ifind_get_stock_business_segmentation (as of 2026-10-27)；商业航天概念股，密集回应相关业务情况</t>
        </is>
      </c>
      <c r="M62" s="9" t="inlineStr">
        <is>
          <t>https://m.cls.cn/detail/2255200</t>
        </is>
      </c>
    </row>
    <row r="63" ht="104" customHeight="1">
      <c r="B63" s="4" t="inlineStr">
        <is>
          <t>600879</t>
        </is>
      </c>
      <c r="C63" s="4" t="inlineStr">
        <is>
          <t>航天电子</t>
        </is>
      </c>
      <c r="D63" s="5" t="inlineStr">
        <is>
          <t>商业航天：卫星</t>
        </is>
      </c>
      <c r="E63" s="4" t="inlineStr">
        <is>
          <t>纠错</t>
        </is>
      </c>
      <c r="F63" s="4" t="inlineStr">
        <is>
          <t>商业航天</t>
        </is>
      </c>
      <c r="G63" s="5" t="inlineStr">
        <is>
          <t>航天电子与测控组件、星载电子与核心元器件、卫星载荷-通信与转发</t>
        </is>
      </c>
      <c r="H63" s="4" t="inlineStr">
        <is>
          <t>相关</t>
        </is>
      </c>
      <c r="I63" s="5" t="inlineStr">
        <is>
          <t>公司直接为运载火箭和航天器提供惯性导航、测控通信与网络信息、微电子、机电组件、传感系统及有效载荷等分系统、单机和元器件，旗下航天火箭公司具备测控系统、数据链和激光终端等商业航天相关产品与技术支持能力，真实产品足以保留商业航天相关标签。引用关系上，2025年年报用于核验航天配套产品收入92.7561亿元、占66.6832%，该口径主要混合传统航天重大工程和国防装备，不能全部归入商业航天，也不能据此直接证明商业航天核心地位；2025年12月15日发布的航天火箭公司增资公告用于核验商业航天业务表述，公告主要说明可为商业航天提供产品及技术支持、数据服务并积极融入商业航天，侧重能力建设和未来布局。增资公告与年报材料相互补充，但均未给出商业航天独立收入、明确商业客户批量交付或规模化商业订单。故由核心调整为相关，pairs继续保留“航天电子与测控组件”“星载电子与核心元器件”“卫星载荷-通信与转发”，不将传统航天和军品收入混入商业航天。</t>
        </is>
      </c>
      <c r="J63" s="4" t="inlineStr">
        <is>
          <t>航天时代电子技术股份有限公司关于对控股子公司航天长征火箭技术有限公司增资的关联交易公告</t>
        </is>
      </c>
      <c r="K63" s="4" t="inlineStr">
        <is>
          <t>2025-12-15</t>
        </is>
      </c>
      <c r="L63" s="5" t="inlineStr">
        <is>
          <t>iFinD ifind_get_stock_info + ifind_get_stock_business_segmentation (as of 2026-10-27)；航天时代电子技术股份有限公司关于对控股子公司航天长征火箭技术有限公司增资的关联交易公告</t>
        </is>
      </c>
      <c r="M63" s="6" t="inlineStr">
        <is>
          <t>https://data.eastmoney.com/notices/detail/600879/AN202512151801065533.html</t>
        </is>
      </c>
    </row>
    <row r="64" ht="104" customHeight="1">
      <c r="B64" s="7" t="inlineStr">
        <is>
          <t>600895</t>
        </is>
      </c>
      <c r="C64" s="7" t="inlineStr">
        <is>
          <t>张江高科</t>
        </is>
      </c>
      <c r="D64" s="8" t="inlineStr">
        <is>
          <t>商业航天：火箭</t>
        </is>
      </c>
      <c r="E64" s="7" t="inlineStr">
        <is>
          <t>纠错</t>
        </is>
      </c>
      <c r="F64" s="7" t="inlineStr">
        <is>
          <t>商业航天</t>
        </is>
      </c>
      <c r="G64" s="8" t="inlineStr">
        <is>
          <t>商业航天股权与产业投资</t>
        </is>
      </c>
      <c r="H64" s="7" t="inlineStr">
        <is>
          <t>相关</t>
        </is>
      </c>
      <c r="I64" s="8" t="inlineStr">
        <is>
          <t>公司本体主营科技园区空间载体、房产租赁与科技产业投资，并不研发或制造火箭；真实关联是通过参股张江燧锋基金向蓝箭航天投资1.5亿元，蓝箭航天从事液氧甲烷发动机和运载火箭研制及商业发射服务，属于可核验的间接产业投资。2025年公司产业空间载体收入41.5952亿元，占99.4687%，其中房地产29.8951亿元、房产租赁11.7001亿元，商业航天相关体现为长期股权投资及基金收益而非营业收入，未形成火箭产品收入，故只能列相关且不得列核心。旧“火箭”把被投企业业务误写成上市公司主营，应纠正为商业航天股权与产业投资，不能用单一概念替代其园区主业。</t>
        </is>
      </c>
      <c r="J64" s="7" t="inlineStr">
        <is>
          <t>张江高科：通过参股基金投资了蓝箭航天1.5亿人民币</t>
        </is>
      </c>
      <c r="K64" s="7" t="inlineStr">
        <is>
          <t>2026-01-08</t>
        </is>
      </c>
      <c r="L64" s="8" t="inlineStr">
        <is>
          <t>iFinD ifind_get_stock_info + ifind_get_stock_business_segmentation (as of 2026-10-27)；张江高科：通过参股基金投资了蓝箭航天1.5亿人民币</t>
        </is>
      </c>
      <c r="M64" s="9" t="inlineStr">
        <is>
          <t>https://www.cls.cn/detail/2251746</t>
        </is>
      </c>
    </row>
    <row r="65" ht="104" customHeight="1">
      <c r="B65" s="4" t="inlineStr">
        <is>
          <t>601698</t>
        </is>
      </c>
      <c r="C65" s="4" t="inlineStr">
        <is>
          <t>中国卫通</t>
        </is>
      </c>
      <c r="D65" s="5" t="inlineStr">
        <is>
          <t>商业航天：卫星</t>
        </is>
      </c>
      <c r="E65" s="4" t="inlineStr">
        <is>
          <t>纠错</t>
        </is>
      </c>
      <c r="F65" s="4" t="inlineStr">
        <is>
          <t>商业航天</t>
        </is>
      </c>
      <c r="G65" s="5" t="inlineStr">
        <is>
          <t>卫星运营与通信服务、卫星互联网网络与系统</t>
        </is>
      </c>
      <c r="H65" s="4" t="inlineStr">
        <is>
          <t>核心</t>
        </is>
      </c>
      <c r="I65" s="5" t="inlineStr">
        <is>
          <t>公司通过投资、建设并运营管理通信广播卫星及配套地面测控、监测系统，向广播电视、通信、视频和数据客户提供卫星空间段运营及综合信息服务，是直接持有和运营卫星基础设施的服务商，不是一般通信设备或集团背景概念。2025年广播电视和卫星传输服务收入26.4478亿元，分部占比100%，说明卫星运营就是全部主营及规模化收入来源，核心判定明确。公司服务同时覆盖传统广电、政企通信及新兴卫星互联网，年报未按商业与非商业客户另拆收入，因此不虚构商业航天独立金额，但不妨碍依据实际卫星运营主业列核心。旧“卫星”“国家队”过于宽泛，纠正为卫星运营与通信服务及卫星互联网网络系统。</t>
        </is>
      </c>
      <c r="J65" s="4" t="inlineStr">
        <is>
          <t>中国卫通集团股份有限公司2025年年度报告</t>
        </is>
      </c>
      <c r="K65" s="4" t="inlineStr">
        <is>
          <t>2026-04-01</t>
        </is>
      </c>
      <c r="L65" s="5" t="inlineStr">
        <is>
          <t>iFinD ifind_get_stock_info + ifind_get_stock_business_segmentation (as of 2026-10-27)；中国卫通集团股份有限公司2025年年度报告</t>
        </is>
      </c>
      <c r="M65" s="6" t="inlineStr">
        <is>
          <t>http://file.finance.sina.com.cn/211.154.219.97:9494/MRGG/CNSESH_STOCK/2026/2026-4/2026-04-01/12052643.PDF</t>
        </is>
      </c>
    </row>
    <row r="66" ht="104" customHeight="1">
      <c r="B66" s="7" t="inlineStr">
        <is>
          <t>603017</t>
        </is>
      </c>
      <c r="C66" s="7" t="inlineStr">
        <is>
          <t>中衡设计</t>
        </is>
      </c>
      <c r="D66" s="8" t="inlineStr">
        <is>
          <t>商业航天：火箭</t>
        </is>
      </c>
      <c r="E66" s="7" t="inlineStr">
        <is>
          <t>纠错</t>
        </is>
      </c>
      <c r="F66" s="7" t="inlineStr">
        <is>
          <t>商业航天</t>
        </is>
      </c>
      <c r="G66" s="8" t="inlineStr">
        <is>
          <t>商业航天股权与产业投资</t>
        </is>
      </c>
      <c r="H66" s="7" t="inlineStr">
        <is>
          <t>相关</t>
        </is>
      </c>
      <c r="I66" s="8" t="inlineStr">
        <is>
          <t>公司主营建筑设计咨询、工程总承包和项目管理，商业航天关联有两项真实事实：一是中标天兵科技、星际荣耀等火箭制造基地设计项目，二是以500万元天使轮投资火箭制造商致航科技，后续直接及控股子公司合计持股比例随增资变化，2025年报披露日直接持股1.75%。公司披露2025年1—9月商业航天相关项目累计确认收入占比约0.39%，说明工程设计虽已产生收入但占比很低，股权投资也不构成火箭制造收入，故只列相关。2025年设计咨询收入7.1339亿元、工程总承包2.4077亿元，不能把全部设计收入归入商业航天。旧“火箭”误把客户业务当主营，按最清晰的持有关系纠正为商业航天股权与产业投资。</t>
        </is>
      </c>
      <c r="J66" s="7" t="inlineStr">
        <is>
          <t>中衡设计：2025年1—9月商业航天相关项目累计确认收入占比约0.39%</t>
        </is>
      </c>
      <c r="K66" s="7" t="inlineStr">
        <is>
          <t>2026-01-12</t>
        </is>
      </c>
      <c r="L66" s="8" t="inlineStr">
        <is>
          <t>iFinD ifind_get_stock_info + ifind_get_stock_business_segmentation (as of 2026-10-27)；中衡设计：2025年1—9月商业航天相关项目累计确认收入占比约0.39%</t>
        </is>
      </c>
      <c r="M66" s="9" t="inlineStr">
        <is>
          <t>https://finance.ifeng.com/c/8prMeFmZ59v</t>
        </is>
      </c>
    </row>
    <row r="67" ht="104" customHeight="1">
      <c r="B67" s="4" t="inlineStr">
        <is>
          <t>603131</t>
        </is>
      </c>
      <c r="C67" s="4" t="inlineStr">
        <is>
          <t>上海沪工</t>
        </is>
      </c>
      <c r="D67" s="5" t="inlineStr">
        <is>
          <t>商业航天：卫星</t>
        </is>
      </c>
      <c r="E67" s="4" t="inlineStr">
        <is>
          <t>纠错</t>
        </is>
      </c>
      <c r="F67" s="4" t="inlineStr">
        <is>
          <t>商业航天</t>
        </is>
      </c>
      <c r="G67" s="5" t="inlineStr">
        <is>
          <t>卫星总体与制造、卫星平台与核心分系统</t>
        </is>
      </c>
      <c r="H67" s="4" t="inlineStr">
        <is>
          <t>相关</t>
        </is>
      </c>
      <c r="I67" s="5" t="inlineStr">
        <is>
          <t>公司除弧焊设备外，通过沪航卫星等主体开展商业卫星总装集成、航天产品核心部件设计制造及高端装备配套，具备真实的卫星总装和部组件业务，而不是焊接设备可服务航天的泛化逻辑。2025年高端装备配套业务收入0.4801亿元，约占总收入9.2292亿元的5.20%，且该板块仍亏损，收入较上年下降；同期弧焊设备收入6.7709亿元、自动化焊接切割成套设备1.7229亿元，焊割仍为绝对主业。高端装备配套也未全部独立拆成商业卫星收入，因此不能列核心，只能列相关。旧“卫星”过宽，按实际业务纠正为卫星总体与制造以及卫星平台核心分系统。</t>
        </is>
      </c>
      <c r="J67" s="4" t="inlineStr">
        <is>
          <t>上海沪工焊接集团股份有限公司2025年年度报告</t>
        </is>
      </c>
      <c r="K67" s="4" t="inlineStr">
        <is>
          <t>2026-04-22</t>
        </is>
      </c>
      <c r="L67" s="5" t="inlineStr">
        <is>
          <t>iFinD ifind_get_stock_info + ifind_get_stock_business_segmentation (as of 2026-10-27)；上海沪工焊接集团股份有限公司2025年年度报告</t>
        </is>
      </c>
      <c r="M67" s="6" t="inlineStr">
        <is>
          <t>http://static.cninfo.com.cn/finalpage/2026-04-22/1225137239.PDF</t>
        </is>
      </c>
    </row>
    <row r="68" ht="104" customHeight="1">
      <c r="B68" s="7" t="inlineStr">
        <is>
          <t>603211</t>
        </is>
      </c>
      <c r="C68" s="7" t="inlineStr">
        <is>
          <t>晋拓股份</t>
        </is>
      </c>
      <c r="D68" s="8" t="inlineStr">
        <is>
          <t>商业航天：spacex-参股-微波放大器-基站放大器</t>
        </is>
      </c>
      <c r="E68" s="7" t="inlineStr">
        <is>
          <t>纠错</t>
        </is>
      </c>
      <c r="F68" s="7" t="inlineStr">
        <is>
          <t>商业航天</t>
        </is>
      </c>
      <c r="G68" s="8" t="inlineStr">
        <is>
          <t>卫星通信终端与天线</t>
        </is>
      </c>
      <c r="H68" s="7" t="inlineStr">
        <is>
          <t>相关</t>
        </is>
      </c>
      <c r="I68" s="8" t="inlineStr">
        <is>
          <t>公司以铝合金精密压铸工艺生产汽车、工业及卫星通信零部件，2025年报将卫星通信零部件列为多元化产品结构之一，公司互动亦确认其为业务板块，说明存在实际产品而非单纯参股故事；按产品用途可对应卫星地面通信终端的微波放大器、基站放大器和滤波器等零部件。2025年汽车类零部件收入10.4592亿元、工业类零部件1.7766亿元、模具0.2986亿元，卫星通信零部件没有独立收入拆分，主业明显仍是汽车压铸件，故只列相关。公开回复未确认台扬科技供货及SpaceX链条，不能认定实际向SpaceX供货；旧“spacex-参股-微波放大器”同时混淆股权与供应关系，应纠正为终端配套产品。</t>
        </is>
      </c>
      <c r="J68" s="7" t="inlineStr">
        <is>
          <t>晋拓股份：2025年年度报告</t>
        </is>
      </c>
      <c r="K68" s="7" t="inlineStr">
        <is>
          <t>2026-04-23</t>
        </is>
      </c>
      <c r="L68" s="8" t="inlineStr">
        <is>
          <t>iFinD ifind_get_stock_info + ifind_get_stock_business_segmentation (as of 2026-10-27)；晋拓股份：2025年年度报告</t>
        </is>
      </c>
      <c r="M68" s="9" t="inlineStr">
        <is>
          <t>https://vip.stock.finance.sina.com.cn/corp/view/vCB_AllBulletinDetail.php?stockid=603211&amp;id=12140451</t>
        </is>
      </c>
    </row>
    <row r="69" ht="104" customHeight="1">
      <c r="B69" s="4" t="inlineStr">
        <is>
          <t>603267</t>
        </is>
      </c>
      <c r="C69" s="4" t="inlineStr">
        <is>
          <t>鸿远电子</t>
        </is>
      </c>
      <c r="D69" s="5" t="inlineStr">
        <is>
          <t>商业航天：千帆星座</t>
        </is>
      </c>
      <c r="E69" s="4" t="inlineStr">
        <is>
          <t>纠错</t>
        </is>
      </c>
      <c r="F69" s="4" t="inlineStr">
        <is>
          <t>商业航天</t>
        </is>
      </c>
      <c r="G69" s="5" t="inlineStr">
        <is>
          <t>星载电子与核心元器件</t>
        </is>
      </c>
      <c r="H69" s="4" t="inlineStr">
        <is>
          <t>相关</t>
        </is>
      </c>
      <c r="I69" s="5" t="inlineStr">
        <is>
          <t>公司自产高可靠多层瓷介电容器、滤波器、微波模块和集成电路等电子元器件，2025年报明确支架电容器、单层电容器进入某商业航天总体单位合格供应商体系，具有具体产品和商业客户准入依据，不是仅凭“千帆星座”或军用MLCC标签保留。2025年自产电子元器件收入10.8820亿元、代理产品6.9010亿元，其中高可靠瓷介电容器收入8.4626亿元，但自产收入还覆盖航空、兵器、船舶和其他高可靠领域，商业航天收入未独立拆分，进入合格供应商体系也不能等同全部批量收入，故由旧核心下调为相关。旧“千帆星座”是项目概念，按实质纠正为星载电子与核心元器件，军工标签独立。</t>
        </is>
      </c>
      <c r="J69" s="4" t="inlineStr">
        <is>
          <t>北京元六鸿远电子科技股份有限公司2025年年度报告</t>
        </is>
      </c>
      <c r="K69" s="4" t="inlineStr">
        <is>
          <t>2026-03-28</t>
        </is>
      </c>
      <c r="L69" s="5" t="inlineStr">
        <is>
          <t>iFinD ifind_get_stock_info + ifind_get_stock_business_segmentation (as of 2026-10-27)；北京元六鸿远电子科技股份有限公司2025年年度报告</t>
        </is>
      </c>
      <c r="M69" s="6" t="inlineStr">
        <is>
          <t>https://static.cninfo.com.cn/finalpage/2026-03-28/1225046338.PDF</t>
        </is>
      </c>
    </row>
    <row r="70" ht="104" customHeight="1">
      <c r="B70" s="7" t="inlineStr">
        <is>
          <t>603305</t>
        </is>
      </c>
      <c r="C70" s="7" t="inlineStr">
        <is>
          <t>旭升集团</t>
        </is>
      </c>
      <c r="D70" s="8" t="inlineStr">
        <is>
          <t>商业航天：spacex-供应商</t>
        </is>
      </c>
      <c r="E70" s="7" t="inlineStr">
        <is>
          <t>纠错</t>
        </is>
      </c>
      <c r="F70" s="7" t="inlineStr">
        <is>
          <t>商业航天</t>
        </is>
      </c>
      <c r="G70" s="8" t="inlineStr">
        <is>
          <t>卫星通信终端与天线</t>
        </is>
      </c>
      <c r="H70" s="7" t="inlineStr">
        <is>
          <t>相关</t>
        </is>
      </c>
      <c r="I70" s="8" t="inlineStr">
        <is>
          <t>公司掌握压铸、锻造和挤出等铝合金成型工艺，行业研究及供应链资料明确其已供应SpaceX星链地面接收终端的铝合金壳体、压铸件和支架，属于已实际供货的卫星地面终端结构件，而非新能源汽车轻量化能力向航天的潜在外推。2025年汽车类产品收入36.0801亿元、储能类5.6894亿元、模具类1.3286亿元，铝压铸行业收入43.9076亿元，年报未单独披露SpaceX或卫星终端收入，汽车与储能仍为主体，故只能列相关，不能据个别未经公司确认的收入传闻判核心。旧“spacex-供应商”未映射产品，纠正为卫星通信终端与天线；卫星散热件送样等潜在业务不作为保留依据。</t>
        </is>
      </c>
      <c r="J70" s="7" t="inlineStr">
        <is>
          <t>旭升集团深度跟踪报告：打造铝合金工艺平台，发展进入新篇章</t>
        </is>
      </c>
      <c r="K70" s="7" t="inlineStr">
        <is>
          <t>2023-12-18</t>
        </is>
      </c>
      <c r="L70" s="8" t="inlineStr">
        <is>
          <t>iFinD ifind_get_stock_info + ifind_get_stock_business_segmentation (as of 2026-10-27)；旭升集团深度跟踪报告：打造铝合金工艺平台，发展进入新篇章</t>
        </is>
      </c>
      <c r="M70" s="9" t="inlineStr">
        <is>
          <t>https://news.futunn.com/post/35574718/xusheng-group-603305-in-depth-tracking-report-building-an-aluminum</t>
        </is>
      </c>
    </row>
    <row r="71" ht="104" customHeight="1">
      <c r="B71" s="4" t="inlineStr">
        <is>
          <t>603601</t>
        </is>
      </c>
      <c r="C71" s="4" t="inlineStr">
        <is>
          <t>再升科技</t>
        </is>
      </c>
      <c r="D71" s="5" t="inlineStr">
        <is>
          <t>商业航天：spacex-参股</t>
        </is>
      </c>
      <c r="E71" s="4" t="inlineStr">
        <is>
          <t>纠错</t>
        </is>
      </c>
      <c r="F71" s="4" t="inlineStr">
        <is>
          <t>商业航天</t>
        </is>
      </c>
      <c r="G71" s="5" t="inlineStr">
        <is>
          <t>航天材料与增材制造</t>
        </is>
      </c>
      <c r="H71" s="4" t="inlineStr">
        <is>
          <t>相关</t>
        </is>
      </c>
      <c r="I71" s="5" t="inlineStr">
        <is>
          <t>公司真实产品是以微纤维玻璃棉为基础的干净空气材料和高效节能材料，其中高硅氧纤维产品用于航天隔热防护；公司公告核实自2020年起向国际某知名航天公司直接供应该产品，针对市场讨论的SpaceX供货事项作出回应，因此存在实际材料供货而非参股。2025年高效节能材料收入6.7058亿元、干净空气材料4.3641亿元、无尘空调1.4377亿元，但航空航天用高效节能材料收入仅约占总营收0.66%，其中该航天客户产品占比更低且暂无在手订单，故只能列相关。旧“spacex-参股”明显错误，应改为高硅氧纤维对应的航天材料与增材制造，不把半导体洁净室或普通滤材算入商业航天。</t>
        </is>
      </c>
      <c r="J71" s="4" t="inlineStr">
        <is>
          <t>再升科技：用于航空航天领域产品收入占比0.66%，高硅氧纤维产品暂无在手订单</t>
        </is>
      </c>
      <c r="K71" s="4" t="inlineStr">
        <is>
          <t>2026-05-28</t>
        </is>
      </c>
      <c r="L71" s="5" t="inlineStr">
        <is>
          <t>iFinD ifind_get_stock_info + ifind_get_stock_business_segmentation (as of 2026-10-27)；再升科技：用于航空航天领域产品收入占比0.66%，高硅氧纤维产品暂无在手订单</t>
        </is>
      </c>
      <c r="M71" s="6" t="inlineStr">
        <is>
          <t>https://stock.10jqka.com.cn/20260528/c677049029.shtml</t>
        </is>
      </c>
    </row>
    <row r="72" ht="104" customHeight="1">
      <c r="B72" s="7" t="inlineStr">
        <is>
          <t>603679</t>
        </is>
      </c>
      <c r="C72" s="7" t="inlineStr">
        <is>
          <t>华体科技</t>
        </is>
      </c>
      <c r="D72" s="8" t="inlineStr">
        <is>
          <t>商业航天：卫星</t>
        </is>
      </c>
      <c r="E72" s="7" t="inlineStr">
        <is>
          <t>纠错</t>
        </is>
      </c>
      <c r="F72" s="7" t="inlineStr">
        <is>
          <t>商业航天</t>
        </is>
      </c>
      <c r="G72" s="8" t="inlineStr">
        <is>
          <t>商业航天股权与产业投资</t>
        </is>
      </c>
      <c r="H72" s="7" t="inlineStr">
        <is>
          <t>相关</t>
        </is>
      </c>
      <c r="I72" s="8" t="inlineStr">
        <is>
          <t>公司本体主营城市照明方案、智慧路灯、光储超充和软件平台，2025年城市照明收入3.2787亿元、新能源收入1.3231亿元，未直接形成卫星制造或运营收入，公司也曾公告不直接涉及商业航天经营，因此旧“卫星”不能保留。另一方面，定期报告将眉山环天智慧科技股份有限公司列为联营企业，公开持股约12.96%，环天智慧从事遥感卫星星座运营及星地一体化智慧城市服务，属于真实参股关系，符合仅能列相关的股权类情形。故不能因直接业务澄清而完全摘除，也不能把被投企业卫星收入计入上市公司主营；应把旧“卫星”纠正为商业航天股权与产业投资，智慧灯杆和低空标签独立处理。</t>
        </is>
      </c>
      <c r="J72" s="7" t="inlineStr">
        <is>
          <t>四川华体照明科技股份有限公司2026年半年度报告</t>
        </is>
      </c>
      <c r="K72" s="7" t="inlineStr">
        <is>
          <t>2026-08-25</t>
        </is>
      </c>
      <c r="L72" s="8" t="inlineStr">
        <is>
          <t>iFinD ifind_get_stock_info + ifind_get_stock_business_segmentation (as of 2026-10-27)；四川华体照明科技股份有限公司2026年半年度报告</t>
        </is>
      </c>
      <c r="M72" s="9" t="inlineStr">
        <is>
          <t>https://vip.stock.finance.sina.com.cn/corp/view/vCB_AllBulletinDetail.php?stockid=603679&amp;id=12523408</t>
        </is>
      </c>
    </row>
    <row r="73" ht="104" customHeight="1">
      <c r="B73" s="4" t="inlineStr">
        <is>
          <t>603809</t>
        </is>
      </c>
      <c r="C73" s="4" t="inlineStr">
        <is>
          <t>豪能股份</t>
        </is>
      </c>
      <c r="D73" s="5" t="inlineStr">
        <is>
          <t>商业航天：火箭</t>
        </is>
      </c>
      <c r="E73" s="4" t="inlineStr">
        <is>
          <t>纠错</t>
        </is>
      </c>
      <c r="F73" s="4" t="inlineStr">
        <is>
          <t>商业航天</t>
        </is>
      </c>
      <c r="G73" s="5" t="inlineStr">
        <is>
          <t>火箭结构与紧固件、火箭推进与流体控制</t>
        </is>
      </c>
      <c r="H73" s="4" t="inlineStr">
        <is>
          <t>相关</t>
        </is>
      </c>
      <c r="I73" s="5" t="inlineStr">
        <is>
          <t>公司2025年航空零部件收入2.6308亿元、占营业收入9.7821%，主要对应军机、民机和无人机等业务，不能将其当作商业航天收入。引用关系上，2025年年报用于核验上述航空收入规模及商业航天收入未单列的财务边界；2026年1月12日发布的股票交易风险提示公告用于补充商业航天实际应用口径，公告明确航天零部件包括阀门和钣金等，部分产品已有应用于商业航天领域，但收入规模极小且对主营业务收入不构成重大影响，二者相互补充而非相互矛盾。2025年12月31日互动答复进一步列出高端特种阀门、管路、箭体结构钣金及连接件，与蓝箭等头部企业开展交流合作，部分项目完成定点。恢复商业航天标签的主要依据是公司公告明确已有商业航天应用及收入，而非仅凭交流或合作预期。鉴于商业航天收入极小、未单列，现阶段列相关而非核心；pairs设置为“火箭结构与紧固件”“火箭推进与流体控制”，不增加卫星结构与机构，本项不处理军工标签。</t>
        </is>
      </c>
      <c r="J73" s="4" t="inlineStr">
        <is>
          <t>成都豪能科技股份有限公司股票交易风险提示公告</t>
        </is>
      </c>
      <c r="K73" s="4" t="inlineStr">
        <is>
          <t>2026-01-12</t>
        </is>
      </c>
      <c r="L73" s="5" t="inlineStr">
        <is>
          <t>iFinD ifind_get_stock_info + ifind_get_stock_business_segmentation (as of 2026-10-27)；成都豪能科技股份有限公司股票交易风险提示公告</t>
        </is>
      </c>
      <c r="M73" s="6" t="inlineStr">
        <is>
          <t>https://data.eastmoney.com/notices/detail/603809/AN202601121816949364.html</t>
        </is>
      </c>
    </row>
    <row r="74" ht="104" customHeight="1">
      <c r="B74" s="7" t="inlineStr">
        <is>
          <t>605090</t>
        </is>
      </c>
      <c r="C74" s="7" t="inlineStr">
        <is>
          <t>九丰能源</t>
        </is>
      </c>
      <c r="D74" s="8" t="inlineStr">
        <is>
          <t>商业航天：火箭</t>
        </is>
      </c>
      <c r="E74" s="7" t="inlineStr">
        <is>
          <t>纠错</t>
        </is>
      </c>
      <c r="F74" s="7" t="inlineStr">
        <is>
          <t>商业航天</t>
        </is>
      </c>
      <c r="G74" s="8" t="inlineStr">
        <is>
          <t>发射场与地面保障</t>
        </is>
      </c>
      <c r="H74" s="7" t="inlineStr">
        <is>
          <t>相关</t>
        </is>
      </c>
      <c r="I74" s="8" t="inlineStr">
        <is>
          <t>海南商业航天发射场特燃特气一期已投运，2025年连续9次为发射提供液氢、液氧、液氮和氦气保障，属于发射场地面保障而非火箭制造。2025年特种气体收入1.4509亿元，占营业收入0.7158%，该口径还包含非航天业务，商业航天收入未独立拆分，不能据此认定主营或重要收入。因有明确投运设施和连续发射服务记录，保留为相关；将旧“火箭”纠正为“发射场与地面保障”，不把通用气体供应或央企属性作为核心依据。</t>
        </is>
      </c>
      <c r="J74" s="7" t="inlineStr">
        <is>
          <t>九丰能源：2025年年度报告</t>
        </is>
      </c>
      <c r="K74" s="7" t="inlineStr">
        <is>
          <t>2026-04-24</t>
        </is>
      </c>
      <c r="L74" s="8" t="inlineStr">
        <is>
          <t>iFinD ifind_get_stock_info + ifind_get_stock_business_segmentation (as of 2026-10-27)；九丰能源：2025年年度报告</t>
        </is>
      </c>
      <c r="M74" s="9" t="inlineStr">
        <is>
          <t>https://money.finance.sina.com.cn/corp/view/vCB_AllBulletinDetail.php?stockid=605090&amp;id=12159866</t>
        </is>
      </c>
    </row>
    <row r="75" ht="104" customHeight="1">
      <c r="B75" s="4" t="inlineStr">
        <is>
          <t>605123</t>
        </is>
      </c>
      <c r="C75" s="4" t="inlineStr">
        <is>
          <t>派克新材</t>
        </is>
      </c>
      <c r="D75" s="5" t="inlineStr">
        <is>
          <t>商业航天：spacex-潜在供应商</t>
        </is>
      </c>
      <c r="E75" s="4" t="inlineStr">
        <is>
          <t>纠错</t>
        </is>
      </c>
      <c r="F75" s="4" t="inlineStr">
        <is>
          <t>商业航天</t>
        </is>
      </c>
      <c r="G75" s="5" t="inlineStr">
        <is>
          <t>火箭结构与紧固件、火箭总体与动力、卫星结构与机构</t>
        </is>
      </c>
      <c r="H75" s="4" t="inlineStr">
        <is>
          <t>核心</t>
        </is>
      </c>
      <c r="I75" s="5" t="inlineStr">
        <is>
          <t>公司实际为蓝箭提供箭体结构件和发动机锻件，商业伙伴还包括星际荣耀、天兵、中科宇航等，产品直接进入商业火箭结构和动力系统，并具有锻件规模化制造属性。2025年航空航天锻件收入9.0409亿元，约占25.52%，商业航天未单独拆分，且该口径还含航空及其他航天业务，不能全部视为商业航天；但真实客户、明确产品和批量交付足以支持核心判定。旧“spacex-潜在供应商”没有可靠实际供货证据，改按国内已落地业务保留，并补充卫星结构相关概念。</t>
        </is>
      </c>
      <c r="J75" s="4" t="inlineStr">
        <is>
          <t>无锡派克新材料科技股份有限公司2025年年度报告</t>
        </is>
      </c>
      <c r="K75" s="4" t="inlineStr">
        <is>
          <t>2026-03-18</t>
        </is>
      </c>
      <c r="L75" s="5" t="inlineStr">
        <is>
          <t>iFinD ifind_get_stock_info + ifind_get_stock_business_segmentation (as of 2026-10-27)；无锡派克新材料科技股份有限公司2025年年度报告</t>
        </is>
      </c>
      <c r="M75" s="6" t="inlineStr">
        <is>
          <t>http://static.cninfo.com.cn/finalpage/2026-03-18/1225014158.PDF</t>
        </is>
      </c>
    </row>
    <row r="76" ht="104" customHeight="1">
      <c r="B76" s="7" t="inlineStr">
        <is>
          <t>688102</t>
        </is>
      </c>
      <c r="C76" s="7" t="inlineStr">
        <is>
          <t>斯瑞新材</t>
        </is>
      </c>
      <c r="D76" s="8" t="inlineStr">
        <is>
          <t>商业航天：spacex-供应商</t>
        </is>
      </c>
      <c r="E76" s="7" t="inlineStr">
        <is>
          <t>纠错</t>
        </is>
      </c>
      <c r="F76" s="7" t="inlineStr">
        <is>
          <t>商业航天</t>
        </is>
      </c>
      <c r="G76" s="8" t="inlineStr">
        <is>
          <t>火箭总体与动力、航天材料与增材制造</t>
        </is>
      </c>
      <c r="H76" s="7" t="inlineStr">
        <is>
          <t>相关</t>
        </is>
      </c>
      <c r="I76" s="8" t="inlineStr">
        <is>
          <t>公司液体火箭发动机推力室铜合金内壁已用于蓝箭、九州云箭、深蓝航天等客户，属于火箭发动机关键材料和部件，具备真实航天应用及客户基础。2025全年该业务收入未独立拆分，已披露的2025年上半年收入为2328.97万元，2024全年为3016.22万元，规模仍较小，尚不足以认定为主营或重要收入，因此判为相关而非核心。旧“spacex-供应商”未获实际供货证据，改按国内商业火箭客户和已验证产品纠正，不能以潜在供应关系保留。</t>
        </is>
      </c>
      <c r="J76" s="7" t="inlineStr">
        <is>
          <t>斯瑞新材：客户覆盖蓝箭航天、九州云箭等</t>
        </is>
      </c>
      <c r="K76" s="7" t="inlineStr">
        <is>
          <t>2025-12-18</t>
        </is>
      </c>
      <c r="L76" s="8" t="inlineStr">
        <is>
          <t>iFinD ifind_get_stock_info + ifind_get_stock_business_segmentation (as of 2026-10-27)；斯瑞新材：客户覆盖蓝箭航天、九州云箭等</t>
        </is>
      </c>
      <c r="M76" s="9" t="inlineStr">
        <is>
          <t>https://www.cls.cn/detail/2233677</t>
        </is>
      </c>
    </row>
    <row r="77" ht="104" customHeight="1">
      <c r="B77" s="4" t="inlineStr">
        <is>
          <t>688153</t>
        </is>
      </c>
      <c r="C77" s="4" t="inlineStr">
        <is>
          <t>唯捷创芯</t>
        </is>
      </c>
      <c r="D77" s="5" t="inlineStr">
        <is>
          <t>商业航天：卫星-地面设备</t>
        </is>
      </c>
      <c r="E77" s="4" t="inlineStr">
        <is>
          <t>纠错</t>
        </is>
      </c>
      <c r="F77" s="4" t="inlineStr">
        <is>
          <t>商业航天</t>
        </is>
      </c>
      <c r="G77" s="5" t="inlineStr">
        <is>
          <t>卫星通信终端与天线</t>
        </is>
      </c>
      <c r="H77" s="4" t="inlineStr">
        <is>
          <t>相关</t>
        </is>
      </c>
      <c r="I77" s="5" t="inlineStr">
        <is>
          <t>公司卫星通信射频前端模组用于智能手机、汽车等地面终端，并已进入头部手机厂商供应链，真实定位是卫星通信终端射频配套，而不是星载载荷或卫星制造。2025年射频功放模组收入18.923亿元、接收端模组收入4.1606亿元，但卫星通信模组收入未独立拆分，不能将上述全部收入归入商业航天，也无法证明其已达到重要收入比重，故判为相关。旧“卫星-地面设备”方向基本相符，现细化为“卫星通信终端与天线”，并明确终端与星载设备的边界。</t>
        </is>
      </c>
      <c r="J77" s="4" t="inlineStr">
        <is>
          <t>唯捷创芯：2025年年度报告</t>
        </is>
      </c>
      <c r="K77" s="4" t="inlineStr">
        <is>
          <t>2026-04-28</t>
        </is>
      </c>
      <c r="L77" s="5" t="inlineStr">
        <is>
          <t>iFinD ifind_get_stock_info + ifind_get_stock_business_segmentation (as of 2026-10-27)；唯捷创芯：2025年年度报告</t>
        </is>
      </c>
      <c r="M77" s="6" t="inlineStr">
        <is>
          <t>https://money.finance.sina.com.cn/corp/view/vCB_AllBulletinDetail.php?stockid=688153&amp;id=12218471</t>
        </is>
      </c>
    </row>
    <row r="78" ht="104" customHeight="1">
      <c r="B78" s="7" t="inlineStr">
        <is>
          <t>688311</t>
        </is>
      </c>
      <c r="C78" s="7" t="inlineStr">
        <is>
          <t>盟升电子</t>
        </is>
      </c>
      <c r="D78" s="8" t="inlineStr">
        <is>
          <t>商业航天：卫星-地面设备</t>
        </is>
      </c>
      <c r="E78" s="7" t="inlineStr">
        <is>
          <t>纠错</t>
        </is>
      </c>
      <c r="F78" s="7" t="inlineStr">
        <is>
          <t>商业航天</t>
        </is>
      </c>
      <c r="G78" s="8" t="inlineStr">
        <is>
          <t>卫星通信终端与天线</t>
        </is>
      </c>
      <c r="H78" s="7" t="inlineStr">
        <is>
          <t>核心</t>
        </is>
      </c>
      <c r="I78" s="8" t="inlineStr">
        <is>
          <t>公司卫星互联网相控阵天线及终端已实现多批次交付，面向卫星通信提供实际产品和服务，业务链条与商业卫星互联网的地面终端直接对应。2025年卫通系列收入0.7749亿元，占营业收入14.7576%，公司后续口径为占主营业务收入14.84%，已达到重要收入程度，因此判为核心。卫星导航收入4.4475亿元不应自动全部算作商业航天，也不在本项将军工收入混入。旧“卫星-地面设备”保留业务方向并标准化为“卫星通信终端与天线”，依据是已交付终端及其明确收入，而非概念联想。</t>
        </is>
      </c>
      <c r="J78" s="7" t="inlineStr">
        <is>
          <t>盟升电子：2025年度，公司卫星通信系列产品占主营业务收入14.84%</t>
        </is>
      </c>
      <c r="K78" s="7" t="inlineStr">
        <is>
          <t>2026-05-11</t>
        </is>
      </c>
      <c r="L78" s="8" t="inlineStr">
        <is>
          <t>iFinD ifind_get_stock_info + ifind_get_stock_business_segmentation (as of 2026-10-27)；盟升电子：2025年度，公司卫星通信系列产品占主营业务收入14.84%</t>
        </is>
      </c>
      <c r="M78" s="9" t="inlineStr">
        <is>
          <t>https://www.sohu.com/a/1021082996_639898</t>
        </is>
      </c>
    </row>
    <row r="79" ht="104" customHeight="1">
      <c r="B79" s="4" t="inlineStr">
        <is>
          <t>688333</t>
        </is>
      </c>
      <c r="C79" s="4" t="inlineStr">
        <is>
          <t>铂力特</t>
        </is>
      </c>
      <c r="D79" s="5" t="inlineStr">
        <is>
          <t>商业航天：spacex-潜在供应商</t>
        </is>
      </c>
      <c r="E79" s="4" t="inlineStr">
        <is>
          <t>纠错</t>
        </is>
      </c>
      <c r="F79" s="4" t="inlineStr">
        <is>
          <t>商业航天</t>
        </is>
      </c>
      <c r="G79" s="5" t="inlineStr">
        <is>
          <t>航天材料与增材制造、火箭结构与紧固件、火箭总体与动力</t>
        </is>
      </c>
      <c r="H79" s="4" t="inlineStr">
        <is>
          <t>核心</t>
        </is>
      </c>
      <c r="I79" s="5" t="inlineStr">
        <is>
          <t>公司以金属3D打印提供箭体结构、格栅舵和发动机零件等，已助力蓝箭、东方空间、九州云箭、星际荣耀等发射或飞行，多个商业航天项目进入批产，属于规模化核心制造能力。2025年航空航天收入8.8326亿元，占营业收入47.7009%，但该口径包含航空和军工，商业航天收入未独立拆分，不能把全部航空航天收入等同于商业航天；核心判断依据是明确产品和批量项目。旧“spacex-潜在供应商”删除，改按国内真实客户及增材制造产品保留。</t>
        </is>
      </c>
      <c r="J79" s="4" t="inlineStr">
        <is>
          <t>西安铂力特增材技术股份有限公司2025年年度报告</t>
        </is>
      </c>
      <c r="K79" s="4" t="inlineStr">
        <is>
          <t>2026-04-30</t>
        </is>
      </c>
      <c r="L79" s="5" t="inlineStr">
        <is>
          <t>iFinD ifind_get_stock_info + ifind_get_stock_business_segmentation (as of 2026-10-27)；西安铂力特增材技术股份有限公司2025年年度报告</t>
        </is>
      </c>
      <c r="M79" s="6" t="inlineStr">
        <is>
          <t>http://static.cninfo.com.cn/finalpage/2026-04-30/1225265594.PDF</t>
        </is>
      </c>
    </row>
    <row r="80" ht="104" customHeight="1">
      <c r="B80" s="7" t="inlineStr">
        <is>
          <t>688375</t>
        </is>
      </c>
      <c r="C80" s="7" t="inlineStr">
        <is>
          <t>国博电子</t>
        </is>
      </c>
      <c r="D80" s="8" t="inlineStr">
        <is>
          <t>商业航天：卫星-有效载荷</t>
        </is>
      </c>
      <c r="E80" s="7" t="inlineStr">
        <is>
          <t>纠错</t>
        </is>
      </c>
      <c r="F80" s="7" t="inlineStr">
        <is>
          <t>商业航天</t>
        </is>
      </c>
      <c r="G80" s="8" t="inlineStr">
        <is>
          <t>卫星载荷-通信与转发、星载电子与核心元器件</t>
        </is>
      </c>
      <c r="H80" s="7" t="inlineStr">
        <is>
          <t>核心</t>
        </is>
      </c>
      <c r="I80" s="8" t="inlineStr">
        <is>
          <t>公司多款低轨卫星及商业航天T/R组件已批量交付，并成为2025年主要收入来源之一，产品对应卫星通信载荷的收发和星载射频电子环节，具有明确批产证据。2025年T/R组件和射频模块合计收入21.0821亿元，约占88.36%，但其中还包括雷达等业务，商业航天收入未单列，不能将全部收入归入商业航天；核心依据是批量交付和主要收入来源表述。旧“卫星-有效载荷”保留并标准化为通信载荷及星载电子概念，军工雷达标签不在本项处理。</t>
        </is>
      </c>
      <c r="J80" s="7" t="inlineStr">
        <is>
          <t>南京国博电子股份有限公司2025年年度报告摘要</t>
        </is>
      </c>
      <c r="K80" s="7" t="inlineStr">
        <is>
          <t>2026-04-10</t>
        </is>
      </c>
      <c r="L80" s="8" t="inlineStr">
        <is>
          <t>iFinD ifind_get_stock_info + ifind_get_stock_business_segmentation (as of 2026-10-27)；南京国博电子股份有限公司2025年年度报告摘要</t>
        </is>
      </c>
      <c r="M80" s="9" t="inlineStr">
        <is>
          <t>https://static.cninfo.com.cn/finalpage/2026-04-10/1225090341.PDF</t>
        </is>
      </c>
    </row>
    <row r="81" ht="104" customHeight="1">
      <c r="B81" s="4" t="inlineStr">
        <is>
          <t>688387</t>
        </is>
      </c>
      <c r="C81" s="4" t="inlineStr">
        <is>
          <t>信科移动-U</t>
        </is>
      </c>
      <c r="D81" s="5" t="inlineStr">
        <is>
          <t>商业航天：卫星-有效载荷</t>
        </is>
      </c>
      <c r="E81" s="4" t="inlineStr">
        <is>
          <t>纠错</t>
        </is>
      </c>
      <c r="F81" s="4" t="inlineStr">
        <is>
          <t>商业航天</t>
        </is>
      </c>
      <c r="G81" s="5" t="inlineStr">
        <is>
          <t>卫星载荷-通信与转发、卫星互联网网络与系统、卫星通信终端与天线</t>
        </is>
      </c>
      <c r="H81" s="4" t="inlineStr">
        <is>
          <t>相关</t>
        </is>
      </c>
      <c r="I81" s="5" t="inlineStr">
        <is>
          <t>公司已布局星载基站、星载相控阵天线、地面信关站、核心网和专用终端，并实现商用落地，覆盖卫星互联网星载、网络和地面终端多个环节，属于真实产品与系统业务。2025年通信行业收入61.2722亿元，但卫星互联网业务仍处投入期，卫星收入未独立拆分，不能按通信行业总收入或产业前景认定核心，故判为相关。旧“卫星-有效载荷”过于狭窄，现按已披露的实际全链条扩展为星载通信、网络系统和终端天线，避免只保留单一载荷标签。</t>
        </is>
      </c>
      <c r="J81" s="4" t="inlineStr">
        <is>
          <t>中信科移动通信技术股份有限公司2025年年度报告</t>
        </is>
      </c>
      <c r="K81" s="4" t="inlineStr">
        <is>
          <t>2026-04-24</t>
        </is>
      </c>
      <c r="L81" s="5" t="inlineStr">
        <is>
          <t>iFinD ifind_get_stock_info + ifind_get_stock_business_segmentation (as of 2026-10-27)；中信科移动通信技术股份有限公司2025年年度报告</t>
        </is>
      </c>
      <c r="M81" s="6" t="inlineStr">
        <is>
          <t>http://dataclouds.cninfo.com.cn/shgonggao/hsomarket/2026/20260424/ded8f9db3b8349449cb838714e0ae304.PDF</t>
        </is>
      </c>
    </row>
    <row r="82" ht="104" customHeight="1">
      <c r="B82" s="7" t="inlineStr">
        <is>
          <t>688418</t>
        </is>
      </c>
      <c r="C82" s="7" t="inlineStr">
        <is>
          <t>震有科技</t>
        </is>
      </c>
      <c r="D82" s="8" t="inlineStr">
        <is>
          <t>商业航天：卫星-地面设备</t>
        </is>
      </c>
      <c r="E82" s="7" t="inlineStr">
        <is>
          <t>纠错</t>
        </is>
      </c>
      <c r="F82" s="7" t="inlineStr">
        <is>
          <t>商业航天</t>
        </is>
      </c>
      <c r="G82" s="8" t="inlineStr">
        <is>
          <t>卫星互联网网络与系统</t>
        </is>
      </c>
      <c r="H82" s="7" t="inlineStr">
        <is>
          <t>相关</t>
        </is>
      </c>
      <c r="I82" s="8" t="inlineStr">
        <is>
          <t>公司真实业务包括卫星核心网、星载核心网和星地融合系统，已有天通一号扩容等订单，提供的是卫星互联网网络控制与通信系统，而非单纯地面硬件。2025年核心网络系统收入1.3607亿元，但该口径同时包含地面公网和专网，卫星核心网收入未独立拆分，无法确认商业航天已达到重要收入比重，因此保留为相关。旧“卫星-地面设备”没有准确反映产品属性，现纠正为“卫星互联网网络与系统”；订单和系统落地是保留依据，不把一般通信网络收入全部算入商业航天。</t>
        </is>
      </c>
      <c r="J82" s="7" t="inlineStr">
        <is>
          <t>震有科技：2025年年度报告</t>
        </is>
      </c>
      <c r="K82" s="7" t="inlineStr">
        <is>
          <t>2026-04-24</t>
        </is>
      </c>
      <c r="L82" s="8" t="inlineStr">
        <is>
          <t>iFinD ifind_get_stock_info + ifind_get_stock_business_segmentation (as of 2026-10-27)；震有科技：2025年年度报告</t>
        </is>
      </c>
      <c r="M82" s="9" t="inlineStr">
        <is>
          <t>https://money.finance.sina.com.cn/corp/view/vCB_AllBulletinDetail.php?stockid=688418&amp;id=12171451</t>
        </is>
      </c>
    </row>
    <row r="83" ht="104" customHeight="1">
      <c r="B83" s="4" t="inlineStr">
        <is>
          <t>688516</t>
        </is>
      </c>
      <c r="C83" s="4" t="inlineStr">
        <is>
          <t>奥特维</t>
        </is>
      </c>
      <c r="D83" s="5" t="inlineStr">
        <is>
          <t>商业航天：spacex-潜在供应商-储能</t>
        </is>
      </c>
      <c r="E83" s="4" t="inlineStr">
        <is>
          <t>摘除</t>
        </is>
      </c>
      <c r="F83" s="4" t="inlineStr">
        <is>
          <t>—</t>
        </is>
      </c>
      <c r="G83" s="5" t="inlineStr">
        <is>
          <t>—</t>
        </is>
      </c>
      <c r="H83" s="4" t="inlineStr">
        <is>
          <t>摘除</t>
        </is>
      </c>
      <c r="I83" s="5" t="inlineStr">
        <is>
          <t>公司2025年光伏设备收入44.4357亿元、锂电及储能收入5.4717亿元、半导体收入1.46亿元，主业是光伏、储能、半导体封测和光通信检测等设备。现有核验材料没有可确认的商业航天订单、航天客户交付或独立航天收入，也没有SpaceX实际供货证据。太空光伏设备、储能设备或通用检测设备不自动等于商业航天，不能以产品理论上可用于航天或潜在供应预期替代真实业务证据。因缺少实际产品应用、订单和收入支撑，故摘除旧“spacex-潜在供应商-储能”标签，不将其硬归入火箭或卫星概念。</t>
        </is>
      </c>
      <c r="J83" s="4" t="inlineStr">
        <is>
          <t>奥特维：2025年年度报告</t>
        </is>
      </c>
      <c r="K83" s="4" t="inlineStr">
        <is>
          <t>2026-04-23</t>
        </is>
      </c>
      <c r="L83" s="5" t="inlineStr">
        <is>
          <t>iFinD ifind_get_stock_info + ifind_get_stock_business_segmentation (as of 2026-10-27)；奥特维：2025年年度报告</t>
        </is>
      </c>
      <c r="M83" s="6" t="inlineStr">
        <is>
          <t>http://money.finance.sina.com.cn/corp/view/vCB_AllBulletinDetail.php?stockid=688516&amp;id=12141255</t>
        </is>
      </c>
    </row>
    <row r="84" ht="104" customHeight="1">
      <c r="B84" s="7" t="inlineStr">
        <is>
          <t>688523</t>
        </is>
      </c>
      <c r="C84" s="7" t="inlineStr">
        <is>
          <t>航天环宇</t>
        </is>
      </c>
      <c r="D84" s="8" t="inlineStr">
        <is>
          <t>商业航天：卫星-地面设备</t>
        </is>
      </c>
      <c r="E84" s="7" t="inlineStr">
        <is>
          <t>纠错</t>
        </is>
      </c>
      <c r="F84" s="7" t="inlineStr">
        <is>
          <t>商业航天</t>
        </is>
      </c>
      <c r="G84" s="8" t="inlineStr">
        <is>
          <t>卫星结构与机构、卫星电源与太阳翼、地面站与测运控</t>
        </is>
      </c>
      <c r="H84" s="7" t="inlineStr">
        <is>
          <t>核心</t>
        </is>
      </c>
      <c r="I84" s="8" t="inlineStr">
        <is>
          <t>公司实际提供星体结构、太阳翼基板、星载及地面站天线，以及卫星通信测控测试设备，覆盖卫星结构机构、太阳翼配套和地面测控环节，产品与卫星研制及运行直接相关。2025年宇航及通信产品收入1.8601亿元，约占40.6%，商业航天收入虽未单独拆分，但已形成较大规模的宇航及通信核心产品收入，符合核心判定。旧“卫星-地面设备、太阳翼结构”过于粗略，现拆分为“卫星结构与机构”“卫星电源与太阳翼”“地面站与测运控”，不把全部收入简单等同于商业航天。</t>
        </is>
      </c>
      <c r="J84" s="7" t="inlineStr">
        <is>
          <t>航天环宇：2025年年度报告</t>
        </is>
      </c>
      <c r="K84" s="7" t="inlineStr">
        <is>
          <t>2026-04-25</t>
        </is>
      </c>
      <c r="L84" s="8" t="inlineStr">
        <is>
          <t>iFinD ifind_get_stock_info + ifind_get_stock_business_segmentation (as of 2026-10-27)；航天环宇：2025年年度报告</t>
        </is>
      </c>
      <c r="M84" s="9" t="inlineStr">
        <is>
          <t>http://money.finance.sina.com.cn/corp/view/vCB_AllBulletinDetail.php?stockid=688523&amp;id=12192611</t>
        </is>
      </c>
    </row>
    <row r="85" ht="104" customHeight="1">
      <c r="B85" s="4" t="inlineStr">
        <is>
          <t>688539</t>
        </is>
      </c>
      <c r="C85" s="4" t="inlineStr">
        <is>
          <t>高华科技</t>
        </is>
      </c>
      <c r="D85" s="5" t="inlineStr">
        <is>
          <t>商业航天：火箭</t>
        </is>
      </c>
      <c r="E85" s="4" t="inlineStr">
        <is>
          <t>纠错</t>
        </is>
      </c>
      <c r="F85" s="4" t="inlineStr">
        <is>
          <t>商业航天</t>
        </is>
      </c>
      <c r="G85" s="5" t="inlineStr">
        <is>
          <t>航天电子与测控组件</t>
        </is>
      </c>
      <c r="H85" s="4" t="inlineStr">
        <is>
          <t>相关</t>
        </is>
      </c>
      <c r="I85" s="5" t="inlineStr">
        <is>
          <t>公司高可靠传感器、采编器、无线传感器和传感器网络可用于火箭发动机、遥测、地面测试及发射场，并已与蓝箭、中科宇航、星河动力、天兵等开展合作，具备明确的航天测控应用和客户基础。2025年高可靠传感器收入3.1699亿元、网络系统收入0.7183亿元、芯片收入0.0642亿元，但这些口径包含非商业航天应用，商业航天收入未独立拆分，不能全部归入，故判为相关。旧“火箭”表述过泛，现细化为“航天电子与测控组件”，保留真实产品而非按概念或合作想象升级。</t>
        </is>
      </c>
      <c r="J85" s="4" t="inlineStr">
        <is>
          <t>南京高华科技股份有限公司2025年年度报告</t>
        </is>
      </c>
      <c r="K85" s="4" t="inlineStr">
        <is>
          <t>2026-04-25</t>
        </is>
      </c>
      <c r="L85" s="5" t="inlineStr">
        <is>
          <t>iFinD ifind_get_stock_info + ifind_get_stock_business_segmentation (as of 2026-10-27)；南京高华科技股份有限公司2025年年度报告</t>
        </is>
      </c>
      <c r="M85" s="6" t="inlineStr">
        <is>
          <t>http://file.finance.sina.com.cn/211.154.219.97:9494/MRGG/CNSESH_STOCK/2026/2026-4/2026-04-25/12185274.PDF</t>
        </is>
      </c>
    </row>
    <row r="86" ht="104" customHeight="1">
      <c r="B86" s="7" t="inlineStr">
        <is>
          <t>688568</t>
        </is>
      </c>
      <c r="C86" s="7" t="inlineStr">
        <is>
          <t>中科星图</t>
        </is>
      </c>
      <c r="D86" s="8" t="inlineStr">
        <is>
          <t>商业航天：卫星</t>
        </is>
      </c>
      <c r="E86" s="7" t="inlineStr">
        <is>
          <t>纠错</t>
        </is>
      </c>
      <c r="F86" s="7" t="inlineStr">
        <is>
          <t>商业航天</t>
        </is>
      </c>
      <c r="G86" s="8" t="inlineStr">
        <is>
          <t>地面站与测运控、卫星数据与遥感应用</t>
        </is>
      </c>
      <c r="H86" s="7" t="inlineStr">
        <is>
          <t>核心</t>
        </is>
      </c>
      <c r="I86" s="8" t="inlineStr">
        <is>
          <t>公司以GEOVIS数字地球、商业航天电子装备、测运控和太空管理形成实际业务，既提供地面测运控系统，也提供卫星数据处理与遥感应用服务。2025年商业航天收入3.8329亿元，占营业收入14.3194%，为公司独立披露的重要收入，达到核心判定标准；另有民用地理信息收入14.5078亿元，不能全部算作商业航天。旧“卫星”标签过于宽泛，现按真实业务纠正为“地面站与测运控”和“卫星数据与遥感应用”，核心依据是独立收入披露及已有系统服务，而非泛化的卫星概念。</t>
        </is>
      </c>
      <c r="J86" s="7" t="inlineStr">
        <is>
          <t>中科星图：2025年年度报告</t>
        </is>
      </c>
      <c r="K86" s="7" t="inlineStr">
        <is>
          <t>2026-04-15</t>
        </is>
      </c>
      <c r="L86" s="8" t="inlineStr">
        <is>
          <t>iFinD ifind_get_stock_info + ifind_get_stock_business_segmentation (as of 2026-10-27)；中科星图：2025年年度报告</t>
        </is>
      </c>
      <c r="M86" s="9" t="inlineStr">
        <is>
          <t>http://money.finance.sina.com.cn/corp/view/vCB_AllBulletinDetail.php?stockid=688568&amp;id=12090946</t>
        </is>
      </c>
    </row>
    <row r="87" ht="104" customHeight="1">
      <c r="B87" s="4" t="inlineStr">
        <is>
          <t>688610</t>
        </is>
      </c>
      <c r="C87" s="4" t="inlineStr">
        <is>
          <t>埃科光电</t>
        </is>
      </c>
      <c r="D87" s="5" t="inlineStr">
        <is>
          <t>商业航天：spacex-潜在供应商</t>
        </is>
      </c>
      <c r="E87" s="4" t="inlineStr">
        <is>
          <t>摘除</t>
        </is>
      </c>
      <c r="F87" s="4" t="inlineStr">
        <is>
          <t>—</t>
        </is>
      </c>
      <c r="G87" s="5" t="inlineStr">
        <is>
          <t>—</t>
        </is>
      </c>
      <c r="H87" s="4" t="inlineStr">
        <is>
          <t>摘除</t>
        </is>
      </c>
      <c r="I87" s="5" t="inlineStr">
        <is>
          <t>公司主要提供工业线扫、面扫相机、采集卡和智能光学单元，应用于PCB、显示、新能源、半导体和生物医疗等工业检测场景。2025年电子制造收入1.4371亿元、新型显示收入1.0216亿元、新能源收入0.8010亿元，未见商业航天独立收入，也没有可核验的SpaceX实际供货或商业航天订单证据。通用工业相机可以用于某些航天检测，并不意味着公司已经成为航天供应商，不能据此推断商业航天业务。因真实产品、客户和收入均未形成商业航天闭环，故摘除旧“spacex-潜在供应商”标签，不保留泛化的航天配套概念。</t>
        </is>
      </c>
      <c r="J87" s="4" t="inlineStr">
        <is>
          <t>合肥埃科光电科技股份有限公司2025年年度报告</t>
        </is>
      </c>
      <c r="K87" s="4" t="inlineStr">
        <is>
          <t>2026-03-31</t>
        </is>
      </c>
      <c r="L87" s="5" t="inlineStr">
        <is>
          <t>iFinD ifind_get_stock_info + ifind_get_stock_business_segmentation (as of 2026-10-27)；合肥埃科光电科技股份有限公司2025年年度报告</t>
        </is>
      </c>
      <c r="M87" s="6" t="inlineStr">
        <is>
          <t>https://static.cninfo.com.cn/finalpage/2026-03-31/1225059687.PDF</t>
        </is>
      </c>
    </row>
    <row r="88" ht="104" customHeight="1">
      <c r="B88" s="7" t="inlineStr">
        <is>
          <t>688682</t>
        </is>
      </c>
      <c r="C88" s="7" t="inlineStr">
        <is>
          <t>霍莱沃</t>
        </is>
      </c>
      <c r="D88" s="8" t="inlineStr">
        <is>
          <t>商业航天：卫星-有效载荷</t>
        </is>
      </c>
      <c r="E88" s="7" t="inlineStr">
        <is>
          <t>纠错</t>
        </is>
      </c>
      <c r="F88" s="7" t="inlineStr">
        <is>
          <t>商业航天</t>
        </is>
      </c>
      <c r="G88" s="8" t="inlineStr">
        <is>
          <t>环境试验与检测服务</t>
        </is>
      </c>
      <c r="H88" s="7" t="inlineStr">
        <is>
          <t>相关</t>
        </is>
      </c>
      <c r="I88" s="8" t="inlineStr">
        <is>
          <t>公司实际提供卫星电磁测量、相控阵校准测量及仿真验证系统，服务于卫星和相控阵产品的测试验证，不是卫星载荷本体。2025年商业航天订单高速增长，电磁测量系统总收入2.6284亿元，但该收入还包括雷达等其他测试业务，商业卫星收入未独立拆分，无法证明商业航天已成为主营或重要收入，因此判为相关。旧“卫星-有效载荷”会误导为星载设备制造，现纠正为“环境试验与检测服务”；保留依据是明确测试系统和订单增长，而非把全部电磁测量收入归入商业航天。</t>
        </is>
      </c>
      <c r="J88" s="7" t="inlineStr">
        <is>
          <t>上海霍莱沃电子系统技术股份有限公司2025年年度报告</t>
        </is>
      </c>
      <c r="K88" s="7" t="inlineStr">
        <is>
          <t>2026-04-15</t>
        </is>
      </c>
      <c r="L88" s="8" t="inlineStr">
        <is>
          <t>iFinD ifind_get_stock_info + ifind_get_stock_business_segmentation (as of 2026-10-27)；上海霍莱沃电子系统技术股份有限公司2025年年度报告</t>
        </is>
      </c>
      <c r="M88" s="9" t="inlineStr">
        <is>
          <t>https://static.cninfo.com.cn/finalpage/2026-04-15/1225104146.PDF</t>
        </is>
      </c>
    </row>
    <row r="89" ht="104" customHeight="1">
      <c r="B89" s="4" t="inlineStr">
        <is>
          <t>688776</t>
        </is>
      </c>
      <c r="C89" s="4" t="inlineStr">
        <is>
          <t>国光电气</t>
        </is>
      </c>
      <c r="D89" s="5" t="inlineStr">
        <is>
          <t>商业航天：卫星-有效载荷</t>
        </is>
      </c>
      <c r="E89" s="4" t="inlineStr">
        <is>
          <t>纠错</t>
        </is>
      </c>
      <c r="F89" s="4" t="inlineStr">
        <is>
          <t>商业航天</t>
        </is>
      </c>
      <c r="G89" s="5" t="inlineStr">
        <is>
          <t>卫星平台与核心分系统、卫星载荷-通信与转发</t>
        </is>
      </c>
      <c r="H89" s="4" t="inlineStr">
        <is>
          <t>相关</t>
        </is>
      </c>
      <c r="I89" s="5" t="inlineStr">
        <is>
          <t>公司霍尔电推进器空心阴极等核心部件已在商业航天小卫星领域小批量销售，空间行波管可用于卫星通信，分别对应卫星平台电推进分系统和通信载荷。2025年微波器件收入1.5093亿元，占营业收入54.5964%，但主要按军工电子披露，商业航天收入未独立拆分，且相关部件仍是小批量，不能将军品收入全部算成商业航天，故由旧核心降为相关。旧“卫星-有效载荷”覆盖不全，现补充“卫星平台与核心分系统”，保留真实产品和销售证据，不以军品或央企属性替代商业航天判断。</t>
        </is>
      </c>
      <c r="J89" s="4" t="inlineStr">
        <is>
          <t>成都国光电气股份有限公司关于2025年年报问询回复的公告</t>
        </is>
      </c>
      <c r="K89" s="4" t="inlineStr">
        <is>
          <t>2026-07-16</t>
        </is>
      </c>
      <c r="L89" s="5" t="inlineStr">
        <is>
          <t>iFinD ifind_get_stock_info + ifind_get_stock_business_segmentation (as of 2026-10-27)；成都国光电气股份有限公司关于2025年年报问询回复的公告</t>
        </is>
      </c>
      <c r="M89" s="6" t="inlineStr">
        <is>
          <t>https://static.cninfo.com.cn/finalpage/2026-07-16/1225426833.PDF</t>
        </is>
      </c>
    </row>
    <row r="90" ht="104" customHeight="1">
      <c r="B90" s="7" t="inlineStr">
        <is>
          <t>920116</t>
        </is>
      </c>
      <c r="C90" s="7" t="inlineStr">
        <is>
          <t>星图测控</t>
        </is>
      </c>
      <c r="D90" s="8" t="inlineStr">
        <is>
          <t>商业航天：卫星-地面设备（测运控）</t>
        </is>
      </c>
      <c r="E90" s="7" t="inlineStr">
        <is>
          <t>纠错</t>
        </is>
      </c>
      <c r="F90" s="7" t="inlineStr">
        <is>
          <t>商业航天</t>
        </is>
      </c>
      <c r="G90" s="8" t="inlineStr">
        <is>
          <t>地面站与测运控</t>
        </is>
      </c>
      <c r="H90" s="7" t="inlineStr">
        <is>
          <t>核心</t>
        </is>
      </c>
      <c r="I90" s="8" t="inlineStr">
        <is>
          <t>公司洞察者系列提供航天测控管理、数字仿真、太空态势感知和卫星在轨服务，直接服务卫星及商业航天器的地面测运控和在轨管理。2025年技术开发与服务收入2.4532亿元、系统集成收入0.4415亿元、测控地面系统收入0.1742亿元、软件收入0.1435亿元，其中商业航天收入约1.25亿元、约占40%，已形成重要收入规模，因此判为核心。旧“卫星-地面设备（测运控）”保留业务实质并标准化为“地面站与测运控”，依据是明确产品、服务和商业航天收入，而不是将所有软件或系统集成收入泛化为航天。</t>
        </is>
      </c>
      <c r="J90" s="7" t="inlineStr">
        <is>
          <t>星图测控：2025年年度报告</t>
        </is>
      </c>
      <c r="K90" s="7" t="inlineStr">
        <is>
          <t>2026-03-20</t>
        </is>
      </c>
      <c r="L90" s="8" t="inlineStr">
        <is>
          <t>iFinD ifind_get_stock_info + ifind_get_stock_business_segmentation (as of 2026-10-27)；星图测控：2025年年度报告</t>
        </is>
      </c>
      <c r="M90" s="9" t="inlineStr">
        <is>
          <t>http://vip.stock.finance.sina.com.cn/corp/view/vCB_AllBulletinDetail.php?stockid=920116&amp;id=12009108</t>
        </is>
      </c>
    </row>
    <row r="91" ht="104" customHeight="1">
      <c r="B91" s="4" t="inlineStr">
        <is>
          <t>920169</t>
        </is>
      </c>
      <c r="C91" s="4" t="inlineStr">
        <is>
          <t>七丰精工</t>
        </is>
      </c>
      <c r="D91" s="5" t="inlineStr">
        <is>
          <t>商业航天：火箭-紧固件</t>
        </is>
      </c>
      <c r="E91" s="4" t="inlineStr">
        <is>
          <t>纠错</t>
        </is>
      </c>
      <c r="F91" s="4" t="inlineStr">
        <is>
          <t>商业航天</t>
        </is>
      </c>
      <c r="G91" s="5" t="inlineStr">
        <is>
          <t>火箭结构与紧固件</t>
        </is>
      </c>
      <c r="H91" s="4" t="inlineStr">
        <is>
          <t>相关</t>
        </is>
      </c>
      <c r="I91" s="5" t="inlineStr">
        <is>
          <t>公司为蓝箭航天提供标准紧固件和定制紧固件，是其合格供应商，并获得2025年蓝箭服务之星，存在明确客户、产品和供货关系，产品可归入火箭结构紧固配套。2025年紧固件收入1.9001亿元，但还包括轨道交通、航空等领域，商业火箭收入未独立拆分，无法确认商业航天已达到重要收入比重，因此判为相关而非核心。旧“火箭-紧固件”保留正确方向并标准化为“火箭结构与紧固件”，不采用传闻中的SpaceX或千帆供货关系，也不因供应商身份夸大收入贡献。</t>
        </is>
      </c>
      <c r="J91" s="4" t="inlineStr">
        <is>
          <t>七丰精工：为蓝箭航天提供标准紧固件和定制紧固件</t>
        </is>
      </c>
      <c r="K91" s="4" t="inlineStr">
        <is>
          <t>2026-08-19</t>
        </is>
      </c>
      <c r="L91" s="5" t="inlineStr">
        <is>
          <t>iFinD ifind_get_stock_info + ifind_get_stock_business_segmentation (as of 2026-10-27)；七丰精工：为蓝箭航天提供标准紧固件和定制紧固件</t>
        </is>
      </c>
      <c r="M91" s="6" t="inlineStr">
        <is>
          <t>https://news.10jqka.com.cn/20260819/c679079636.shtml</t>
        </is>
      </c>
    </row>
    <row r="92" ht="104" customHeight="1">
      <c r="B92" s="7" t="inlineStr">
        <is>
          <t>920640</t>
        </is>
      </c>
      <c r="C92" s="7" t="inlineStr">
        <is>
          <t>富士达</t>
        </is>
      </c>
      <c r="D92" s="8" t="inlineStr">
        <is>
          <t>商业航天：卫星-有效载荷</t>
        </is>
      </c>
      <c r="E92" s="7" t="inlineStr">
        <is>
          <t>纠错</t>
        </is>
      </c>
      <c r="F92" s="7" t="inlineStr">
        <is>
          <t>商业航天</t>
        </is>
      </c>
      <c r="G92" s="8" t="inlineStr">
        <is>
          <t>星载电子与核心元器件</t>
        </is>
      </c>
      <c r="H92" s="7" t="inlineStr">
        <is>
          <t>相关</t>
        </is>
      </c>
      <c r="I92" s="8" t="inlineStr">
        <is>
          <t>公司射频同轴连接器、电缆组件、微波器件和天线阵面可用于低轨商业卫星，并已有商业卫星批量订单，真实定位是星载射频互连和核心元器件配套。2025年电缆组件收入4.7855亿元、连接器收入3.9122亿元，但防务、宇航和民用通信业务混合，商业航天收入未独立拆分，不能据此认定主营或重要收入，故由旧核心降为相关。旧“卫星-有效载荷”不够准确，现纠正为“星载电子与核心元器件”；保留依据是实际批量订单和产品，而不是仅凭千帆概念或潜在供应关系。</t>
        </is>
      </c>
      <c r="J92" s="7" t="inlineStr">
        <is>
          <t>富士达：2025年年度报告</t>
        </is>
      </c>
      <c r="K92" s="7" t="inlineStr">
        <is>
          <t>2026-03-27</t>
        </is>
      </c>
      <c r="L92" s="8" t="inlineStr">
        <is>
          <t>iFinD ifind_get_stock_info + ifind_get_stock_business_segmentation (as of 2026-10-27)；富士达：2025年年度报告</t>
        </is>
      </c>
      <c r="M92" s="9" t="inlineStr">
        <is>
          <t>http://vip.stock.finance.sina.com.cn/corp/view/vCB_AllBulletinDetail.php?stockid=920640&amp;id=12029879</t>
        </is>
      </c>
    </row>
    <row r="93" ht="104" customHeight="1">
      <c r="B93" s="4" t="inlineStr">
        <is>
          <t>002512</t>
        </is>
      </c>
      <c r="C93" s="4" t="inlineStr">
        <is>
          <t>达华智能</t>
        </is>
      </c>
      <c r="D93" s="5" t="inlineStr">
        <is>
          <t>商业航天：卫星</t>
        </is>
      </c>
      <c r="E93" s="4" t="inlineStr">
        <is>
          <t>纠错</t>
        </is>
      </c>
      <c r="F93" s="4" t="inlineStr">
        <is>
          <t>商业航天</t>
        </is>
      </c>
      <c r="G93" s="5" t="inlineStr">
        <is>
          <t>卫星通信终端与天线、卫星运营与通信服务</t>
        </is>
      </c>
      <c r="H93" s="4" t="inlineStr">
        <is>
          <t>相关</t>
        </is>
      </c>
      <c r="I93" s="5" t="inlineStr">
        <is>
          <t>公司自主规模化生产卫星终端，面向海洋、陆地和应急场景提供“卫星+”方案及卫星通信运营服务，具备真实终端产品和运营服务链条。2025年电视机主板及机顶盒收入15.5024亿元、系统集成收入2.4760亿元，卫星终端和卫星运营收入未独立拆分，无法证明商业航天已构成重要收入，因此判为相关而非核心。旧“卫星”标签过于笼统，现细化为“卫星通信终端与天线”和“卫星运营与通信服务”，同时不把电视机主板、一般系统集成或概念规划收入直接归入商业航天。</t>
        </is>
      </c>
      <c r="J93" s="4" t="inlineStr">
        <is>
          <t>福州达华智能科技股份有限公司2025年年度报告摘要</t>
        </is>
      </c>
      <c r="K93" s="4" t="inlineStr">
        <is>
          <t>2026-04-29</t>
        </is>
      </c>
      <c r="L93" s="5" t="inlineStr">
        <is>
          <t>iFinD ifind_get_stock_info + ifind_get_stock_business_segmentation (as of 2026-10-27)；福州达华智能科技股份有限公司2025年年度报告摘要</t>
        </is>
      </c>
      <c r="M93" s="6" t="inlineStr">
        <is>
          <t>http://static.cninfo.com.cn/finalpage/2026-04-29/1225244645.PDF</t>
        </is>
      </c>
    </row>
    <row r="94" ht="104" customHeight="1">
      <c r="B94" s="7" t="inlineStr">
        <is>
          <t>688066</t>
        </is>
      </c>
      <c r="C94" s="7" t="inlineStr">
        <is>
          <t>航天宏图</t>
        </is>
      </c>
      <c r="D94" s="8" t="inlineStr">
        <is>
          <t>商业航天：卫星</t>
        </is>
      </c>
      <c r="E94" s="7" t="inlineStr">
        <is>
          <t>纠错</t>
        </is>
      </c>
      <c r="F94" s="7" t="inlineStr">
        <is>
          <t>商业航天</t>
        </is>
      </c>
      <c r="G94" s="8" t="inlineStr">
        <is>
          <t>卫星数据与遥感应用</t>
        </is>
      </c>
      <c r="H94" s="7" t="inlineStr">
        <is>
          <t>核心</t>
        </is>
      </c>
      <c r="I94" s="8" t="inlineStr">
        <is>
          <t>公司以PIE软件、系统设计开发、遥感数据分析和女娲星座运营形成主营业务，直接提供卫星数据处理、遥感应用和星座运营服务，商业航天业务与主营收入高度对应。2025年卫星应用收入4.4781亿元，占营业收入100%，其中数据分析应用收入1.8592亿元、系统设计开发收入2.5859亿元，收入规模和产品闭环均支持核心判定。旧“卫星”标签过于宽泛，现纠正为“卫星数据与遥感应用”，明确公司优势在数据软件、应用和运营，不将其泛化为卫星总体制造或火箭业务。</t>
        </is>
      </c>
      <c r="J94" s="7" t="inlineStr">
        <is>
          <t>航天宏图信息技术股份有限公司2025年年度报告</t>
        </is>
      </c>
      <c r="K94" s="7" t="inlineStr">
        <is>
          <t>2026-04-30</t>
        </is>
      </c>
      <c r="L94" s="8" t="inlineStr">
        <is>
          <t>iFinD ifind_get_stock_info + ifind_get_stock_business_segmentation (as of 2026-10-27)；航天宏图信息技术股份有限公司2025年年度报告</t>
        </is>
      </c>
      <c r="M94" s="9" t="inlineStr">
        <is>
          <t>https://static.cninfo.com.cn/finalpage/2026-04-30/1225265967.PDF</t>
        </is>
      </c>
    </row>
  </sheetData>
  <autoFilter ref="B4:M94"/>
  <mergeCells count="2">
    <mergeCell ref="B3:M3"/>
    <mergeCell ref="B2:M2"/>
  </mergeCell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B2:M7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40" customWidth="1" min="4" max="4"/>
    <col width="10" customWidth="1" min="5" max="5"/>
    <col width="16" customWidth="1" min="6" max="6"/>
    <col width="60" customWidth="1" min="7" max="7"/>
    <col width="10" customWidth="1" min="8" max="8"/>
    <col width="125" customWidth="1" min="9" max="9"/>
    <col width="52" customWidth="1" min="10" max="10"/>
    <col width="14" customWidth="1" min="11" max="11"/>
    <col width="62" customWidth="1" min="12" max="12"/>
    <col width="82" customWidth="1" min="13" max="13"/>
  </cols>
  <sheetData>
    <row r="2" ht="32" customHeight="1">
      <c r="B2" s="1" t="inlineStr">
        <is>
          <t>商业航天 · 清洗后74只股池</t>
        </is>
      </c>
    </row>
    <row r="3">
      <c r="B3" s="2" t="inlineStr">
        <is>
          <t>核心14只、相关60只；按卫星、火箭、地面系统、运营服务和产业配套细化为23个二级概念。</t>
        </is>
      </c>
    </row>
    <row r="4">
      <c r="B4" s="3" t="inlineStr">
        <is>
          <t>代码</t>
        </is>
      </c>
      <c r="C4" s="3" t="inlineStr">
        <is>
          <t>名称</t>
        </is>
      </c>
      <c r="D4" s="3" t="inlineStr">
        <is>
          <t>旧商业航天概念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104" customHeight="1">
      <c r="B5" s="4" t="inlineStr">
        <is>
          <t>000547</t>
        </is>
      </c>
      <c r="C5" s="4" t="inlineStr">
        <is>
          <t>航天发展</t>
        </is>
      </c>
      <c r="D5" s="5" t="inlineStr">
        <is>
          <t>商业航天：国家队</t>
        </is>
      </c>
      <c r="E5" s="4" t="inlineStr">
        <is>
          <t>纠错</t>
        </is>
      </c>
      <c r="F5" s="4" t="inlineStr">
        <is>
          <t>商业航天</t>
        </is>
      </c>
      <c r="G5" s="5" t="inlineStr">
        <is>
          <t>卫星数据与遥感应用</t>
        </is>
      </c>
      <c r="H5" s="4" t="inlineStr">
        <is>
          <t>相关</t>
        </is>
      </c>
      <c r="I5" s="5" t="inlineStr">
        <is>
          <t>公司真实可核验的商业航天业务不是凭央企或航天科工背景推定，而是天目一号商业低轨气象星座的建设运营及空间信息应用：星座已形成探测能力，并向中国气象局实时推送数据，属于卫星数据生产、传输与应用服务。2025年空间信息应用类产品收入仅0.061亿元，且年报未把其中商业气象数据运营收入进一步单独拆分，相对公司整体收入体量很小，不能据此认定商业航天已成为核心主业。因此将旧“国家队”和“核心”纠正为“卫星数据与遥感应用、相关”，保留依据是实际星座运营与气象数据交付，而非军工电子对抗、蓝军仿真或军品收入；这些军工业务不计入本次商业航天定级。</t>
        </is>
      </c>
      <c r="J5" s="4" t="inlineStr">
        <is>
          <t>航天发展：2025年年度报告</t>
        </is>
      </c>
      <c r="K5" s="4" t="inlineStr">
        <is>
          <t>2026-04-29</t>
        </is>
      </c>
      <c r="L5" s="5" t="inlineStr">
        <is>
          <t>iFinD ifind_get_stock_info + ifind_get_stock_business_segmentation (as of 2026-10-27)；航天发展：2025年年度报告</t>
        </is>
      </c>
      <c r="M5" s="6" t="inlineStr">
        <is>
          <t>https://money.finance.sina.com.cn/corp/view/vCB_AllBulletinDetail.php?stockid=000547&amp;id=12268512</t>
        </is>
      </c>
    </row>
    <row r="6" ht="104" customHeight="1">
      <c r="B6" s="7" t="inlineStr">
        <is>
          <t>000901</t>
        </is>
      </c>
      <c r="C6" s="7" t="inlineStr">
        <is>
          <t>航天科技</t>
        </is>
      </c>
      <c r="D6" s="8" t="inlineStr">
        <is>
          <t>商业航天：国家队</t>
        </is>
      </c>
      <c r="E6" s="7" t="inlineStr">
        <is>
          <t>纠错</t>
        </is>
      </c>
      <c r="F6" s="7" t="inlineStr">
        <is>
          <t>商业航天</t>
        </is>
      </c>
      <c r="G6" s="8" t="inlineStr">
        <is>
          <t>火箭结构与紧固件、环境试验与检测服务</t>
        </is>
      </c>
      <c r="H6" s="7" t="inlineStr">
        <is>
          <t>相关</t>
        </is>
      </c>
      <c r="I6" s="8" t="inlineStr">
        <is>
          <t>公司航天应用产品包括发动机及舵机零部件、伺服装配、航天电缆等精密制造产品，并提供雷电、静电及环境可靠性测试服务；年报还明确精密制造正向商业航天业务领域延伸，故可按真实产品与试验能力保留，而不是沿用央企“国家队”身份。2025年航天产品收入8.7787亿元、占15.8971%，汽车电子仪表收入42.4814亿元，收入仍以汽车电子为主；上述航天产品还包含军品和重大工程配套，年报没有独立拆分商业航天收入，不能把8.7787亿元全部算作商业航天。综合实际延伸方向与收入不可拆分情况，旧标签纠正为火箭结构零部件和环境试验检测，并审慎定为相关而非核心。</t>
        </is>
      </c>
      <c r="J6" s="7" t="inlineStr">
        <is>
          <t>航天科技：2025年年度报告</t>
        </is>
      </c>
      <c r="K6" s="7" t="inlineStr">
        <is>
          <t>2026-04-29</t>
        </is>
      </c>
      <c r="L6" s="8" t="inlineStr">
        <is>
          <t>iFinD ifind_get_stock_info + ifind_get_stock_business_segmentation (as of 2026-10-27)；航天科技：2025年年度报告</t>
        </is>
      </c>
      <c r="M6" s="9" t="inlineStr">
        <is>
          <t>https://money.finance.sina.com.cn/corp/view/vCB_AllBulletinDetail.php?stockid=000901&amp;id=12247738</t>
        </is>
      </c>
    </row>
    <row r="7" ht="104" customHeight="1">
      <c r="B7" s="4" t="inlineStr">
        <is>
          <t>001270</t>
        </is>
      </c>
      <c r="C7" s="4" t="inlineStr">
        <is>
          <t>铖昌科技</t>
        </is>
      </c>
      <c r="D7" s="5" t="inlineStr">
        <is>
          <t>商业航天：卫星-有效载荷</t>
        </is>
      </c>
      <c r="E7" s="4" t="inlineStr">
        <is>
          <t>纠错</t>
        </is>
      </c>
      <c r="F7" s="4" t="inlineStr">
        <is>
          <t>商业航天</t>
        </is>
      </c>
      <c r="G7" s="5" t="inlineStr">
        <is>
          <t>星载射频与微波芯片</t>
        </is>
      </c>
      <c r="H7" s="4" t="inlineStr">
        <is>
          <t>核心</t>
        </is>
      </c>
      <c r="I7" s="5" t="inlineStr">
        <is>
          <t>公司主营微波毫米波模拟相控阵T/R芯片，星载产品已在卫星中批量应用，低轨卫星通信领域产品持续交付，属于直接决定相控阵载荷收发能力的星载射频核心元器件，并非仅凭通用芯片理论上可以用于卫星而映射。2025年相控阵T/R芯片收入4.0371亿元，占营业收入99.78%，集成电路行业收入4.0462亿元；年报未把星载、低轨卫星通信与其他雷达应用收入逐项拆分，因此不能把全部T/R芯片收入都称为商业航天收入，但产品主业集中、星载批量应用和持续交付证据清晰。故保留核心，同时将过粗的旧“卫星-有效载荷”收敛为“星载射频与微波芯片”，不扩写成整星或完整载荷制造。</t>
        </is>
      </c>
      <c r="J7" s="4" t="inlineStr">
        <is>
          <t>铖昌科技：2025年年度报告</t>
        </is>
      </c>
      <c r="K7" s="4" t="inlineStr">
        <is>
          <t>2026-04-17</t>
        </is>
      </c>
      <c r="L7" s="5" t="inlineStr">
        <is>
          <t>iFinD ifind_get_stock_info + ifind_get_stock_business_segmentation (as of 2026-10-27)；铖昌科技：2025年年度报告</t>
        </is>
      </c>
      <c r="M7" s="6" t="inlineStr">
        <is>
          <t>https://money.finance.sina.com.cn/corp/view/vCB_AllBulletinDetail.php?stockid=001270&amp;id=12103041</t>
        </is>
      </c>
    </row>
    <row r="8" ht="104" customHeight="1">
      <c r="B8" s="7" t="inlineStr">
        <is>
          <t>002025</t>
        </is>
      </c>
      <c r="C8" s="7" t="inlineStr">
        <is>
          <t>航天电器</t>
        </is>
      </c>
      <c r="D8" s="8" t="inlineStr">
        <is>
          <t>商业航天：国家队</t>
        </is>
      </c>
      <c r="E8" s="7" t="inlineStr">
        <is>
          <t>纠错</t>
        </is>
      </c>
      <c r="F8" s="7" t="inlineStr">
        <is>
          <t>商业航天</t>
        </is>
      </c>
      <c r="G8" s="8" t="inlineStr">
        <is>
          <t>星载电子与核心元器件、航天电子与测控组件</t>
        </is>
      </c>
      <c r="H8" s="7" t="inlineStr">
        <is>
          <t>相关</t>
        </is>
      </c>
      <c r="I8" s="8" t="inlineStr">
        <is>
          <t>公司高端连接器、线缆组件、微特电机、控制组件及继电器已形成航天工程配套，年报还披露商业航天领域订货和收入增长，说明存在真实商业客户与产品交付，而非仅因航天央企身份保留。2025年连接器收入39.8420亿元、电机13.5794亿元、继电器2.4040亿元，电子元器件制造业主业突出，但这些数字同时覆盖航空、兵器、舰船、防务装备及其他民用市场，年报没有独立拆分商业航天收入，不能把军品或全部航天工程配套收入自动归入商业航天。基于商业订货增长已明确、具体规模尚不可辨认，将旧“国家队、核心”纠正为星载电子核心元器件及航天电子测控组件，并下调为相关。</t>
        </is>
      </c>
      <c r="J8" s="7" t="inlineStr">
        <is>
          <t>航天电器：2025年年度报告</t>
        </is>
      </c>
      <c r="K8" s="7" t="inlineStr">
        <is>
          <t>2026-03-31</t>
        </is>
      </c>
      <c r="L8" s="8" t="inlineStr">
        <is>
          <t>iFinD ifind_get_stock_info + ifind_get_stock_business_segmentation (as of 2026-10-27)；航天电器：2025年年度报告</t>
        </is>
      </c>
      <c r="M8" s="9" t="inlineStr">
        <is>
          <t>https://money.finance.sina.com.cn/corp/view/vCB_AllBulletinDetail.php?stockid=002025&amp;id=12040181</t>
        </is>
      </c>
    </row>
    <row r="9" ht="104" customHeight="1">
      <c r="B9" s="4" t="inlineStr">
        <is>
          <t>002046</t>
        </is>
      </c>
      <c r="C9" s="4" t="inlineStr">
        <is>
          <t>国机精工</t>
        </is>
      </c>
      <c r="D9" s="5" t="inlineStr">
        <is>
          <t>商业航天：火箭</t>
        </is>
      </c>
      <c r="E9" s="4" t="inlineStr">
        <is>
          <t>纠错</t>
        </is>
      </c>
      <c r="F9" s="4" t="inlineStr">
        <is>
          <t>商业航天</t>
        </is>
      </c>
      <c r="G9" s="5" t="inlineStr">
        <is>
          <t>商业航天配套-通用零部件</t>
        </is>
      </c>
      <c r="H9" s="4" t="inlineStr">
        <is>
          <t>相关</t>
        </is>
      </c>
      <c r="I9" s="5" t="inlineStr">
        <is>
          <t>公司特种轴承已有卫星、飞船和运载火箭等实际应用，产品属于旋转与运动机构所需的专用轴承配套；年报判断商业航天常态化发展将带来增量需求，保留依据是既有航天轴承产品和供货基础，而不是把全部轴承业务想象成火箭业务。2025年特种及精密轴承收入13.2822亿元，轴承行业收入15.2572亿元，但该口径还包括风电、机床、精密加工等大量非航天用途，商业航天收入、订单及客户占比均未独立披露，无法量化航天贡献。因而将旧泛化的“火箭”标签纠正为“商业航天配套-通用零部件”，定为相关，不据此宣称公司从事火箭总体、发动机或结构制造，也不把全部特种轴承收入算作商业航天。</t>
        </is>
      </c>
      <c r="J9" s="4" t="inlineStr">
        <is>
          <t>国机精工：2025年年度报告摘要</t>
        </is>
      </c>
      <c r="K9" s="4" t="inlineStr">
        <is>
          <t>2026-04-14</t>
        </is>
      </c>
      <c r="L9" s="5" t="inlineStr">
        <is>
          <t>iFinD ifind_get_stock_info + ifind_get_stock_business_segmentation (as of 2026-10-27)；国机精工：2025年年度报告摘要</t>
        </is>
      </c>
      <c r="M9" s="6" t="inlineStr">
        <is>
          <t>https://static.cninfo.com.cn/finalpage/2026-04-14/1225098549.PDF</t>
        </is>
      </c>
    </row>
    <row r="10" ht="104" customHeight="1">
      <c r="B10" s="7" t="inlineStr">
        <is>
          <t>002115</t>
        </is>
      </c>
      <c r="C10" s="7" t="inlineStr">
        <is>
          <t>三维通信</t>
        </is>
      </c>
      <c r="D10" s="8" t="inlineStr">
        <is>
          <t>商业航天：卫星</t>
        </is>
      </c>
      <c r="E10" s="7" t="inlineStr">
        <is>
          <t>纠错</t>
        </is>
      </c>
      <c r="F10" s="7" t="inlineStr">
        <is>
          <t>商业航天</t>
        </is>
      </c>
      <c r="G10" s="8" t="inlineStr">
        <is>
          <t>卫星运营与通信服务</t>
        </is>
      </c>
      <c r="H10" s="7" t="inlineStr">
        <is>
          <t>相关</t>
        </is>
      </c>
      <c r="I10" s="8" t="inlineStr">
        <is>
          <t>公司通过子公司海卫通提供商船卫星通信服务，真实产品包括VSAT动中通、船端通信设备、高中低轨卫星宽带接入及船岸云服务，并以持续通信运营服务形成收入，属于卫星运营与通信服务而非单纯天线制造或概念性边缘计算。2025年卫星通信业务收入1.9217亿元，相关业务净利润约4405万元；同期互联网营销收入110.3001亿元，通信技术服务行业收入3.6402亿元，说明卫星业务真实但相对整体规模较小。卫星通信收入已有独立产品口径，不过高中低轨接入和船岸云服务等细分收入未再拆分。故将旧泛“卫星、边缘”纠正为“卫星运营与通信服务、相关”，不按核心处理，也不把互联网广告收入混入商业航天。</t>
        </is>
      </c>
      <c r="J10" s="7" t="inlineStr">
        <is>
          <t>三维通信：投资者关系活动记录表</t>
        </is>
      </c>
      <c r="K10" s="7" t="inlineStr">
        <is>
          <t>2026-04-29</t>
        </is>
      </c>
      <c r="L10" s="8" t="inlineStr">
        <is>
          <t>iFinD ifind_get_stock_info + ifind_get_stock_business_segmentation (as of 2026-10-27)；三维通信：投资者关系活动记录表</t>
        </is>
      </c>
      <c r="M10" s="9" t="inlineStr">
        <is>
          <t>https://pdf.dfcfw.com/pdf/H2_AN202604291821736545_1.pdf</t>
        </is>
      </c>
    </row>
    <row r="11" ht="104" customHeight="1">
      <c r="B11" s="4" t="inlineStr">
        <is>
          <t>002149</t>
        </is>
      </c>
      <c r="C11" s="4" t="inlineStr">
        <is>
          <t>西部材料</t>
        </is>
      </c>
      <c r="D11" s="5" t="inlineStr">
        <is>
          <t>商业航天：spacex-供应商</t>
        </is>
      </c>
      <c r="E11" s="4" t="inlineStr">
        <is>
          <t>纠错</t>
        </is>
      </c>
      <c r="F11" s="4" t="inlineStr">
        <is>
          <t>商业航天</t>
        </is>
      </c>
      <c r="G11" s="5" t="inlineStr">
        <is>
          <t>航天材料与增材制造</t>
        </is>
      </c>
      <c r="H11" s="4" t="inlineStr">
        <is>
          <t>相关</t>
        </is>
      </c>
      <c r="I11" s="5" t="inlineStr">
        <is>
          <t>公司真实航天产品包括用于液体火箭发动机的高温铌合金，以及配套重大航天工程的钨铜、TZM等稀有金属材料和组件，具备明确航天应用基础，可按航天材料环节保留。2025年钛制品收入22.0974亿元、其他金属产品8.6894亿元，稀有金属压延加工收入合计32.3054亿元，但这些收入还覆盖化工、核电、舰船及其他工业用途，商业航天收入没有独立拆分，不能将钛制品或全部稀有金属收入归入商业航天。公司正式披露亦未确认SpaceX实际供货，因此旧“spacex-供应商”不能以客户传闻保留，应纠正为可核验的“航天材料与增材制造”，并因具体商业航天贡献不明而定为相关，不扩写为SpaceX供应商。</t>
        </is>
      </c>
      <c r="J11" s="4" t="inlineStr">
        <is>
          <t>西部材料：2025年年度报告</t>
        </is>
      </c>
      <c r="K11" s="4" t="inlineStr">
        <is>
          <t>2026-04-28</t>
        </is>
      </c>
      <c r="L11" s="5" t="inlineStr">
        <is>
          <t>iFinD ifind_get_stock_info + ifind_get_stock_business_segmentation (as of 2026-10-27)；西部材料：2025年年度报告</t>
        </is>
      </c>
      <c r="M11" s="6" t="inlineStr">
        <is>
          <t>https://money.finance.sina.com.cn/corp/view/vCB_AllBulletinDetail.php?stockid=002149&amp;id=12229670</t>
        </is>
      </c>
    </row>
    <row r="12" ht="104" customHeight="1">
      <c r="B12" s="7" t="inlineStr">
        <is>
          <t>002413</t>
        </is>
      </c>
      <c r="C12" s="7" t="inlineStr">
        <is>
          <t>雷科防务</t>
        </is>
      </c>
      <c r="D12" s="8" t="inlineStr">
        <is>
          <t>商业航天：卫星-有效载荷</t>
        </is>
      </c>
      <c r="E12" s="7" t="inlineStr">
        <is>
          <t>纠错</t>
        </is>
      </c>
      <c r="F12" s="7" t="inlineStr">
        <is>
          <t>商业航天</t>
        </is>
      </c>
      <c r="G12" s="8" t="inlineStr">
        <is>
          <t>卫星载荷-遥感与探测、地面站与测运控、卫星数据与遥感应用</t>
        </is>
      </c>
      <c r="H12" s="7" t="inlineStr">
        <is>
          <t>核心</t>
        </is>
      </c>
      <c r="I12" s="8" t="inlineStr">
        <is>
          <t>公司卫星应用业务覆盖星载高性能计算与智能处理、轻小型在轨处理平台、星载滤波器及低轨天线，相关在轨产品已有实际应用；2025年交付近20套地面处理设备，商业遥感入网检测设备部署到多个地面站，形成从星上遥感处理到地面接收处理的完整产品链。2025年卫星应用收入3.5480亿元、占24.36%，是年报独立披露的重要产品板块，但年报未继续拆分商业航天与传统航天、军品收入，不能将全部卫星应用收入等同商业航天。鉴于在轨产品、地面站部署和商业遥感检测设备均有落地，保留核心；旧“卫星-有效载荷”过粗，纠正为遥感探测载荷、地面测运控及遥感数据应用三个真实环节。</t>
        </is>
      </c>
      <c r="J12" s="7" t="inlineStr">
        <is>
          <t>雷科防务：2025年年度报告</t>
        </is>
      </c>
      <c r="K12" s="7" t="inlineStr">
        <is>
          <t>2026-04-18</t>
        </is>
      </c>
      <c r="L12" s="8" t="inlineStr">
        <is>
          <t>iFinD ifind_get_stock_info + ifind_get_stock_business_segmentation (as of 2026-10-27)；雷科防务：2025年年度报告</t>
        </is>
      </c>
      <c r="M12" s="9" t="inlineStr">
        <is>
          <t>http://money.finance.sina.com.cn/corp/view/vCB_AllBulletinDetail.php?stockid=002413&amp;id=12110187</t>
        </is>
      </c>
    </row>
    <row r="13" ht="104" customHeight="1">
      <c r="B13" s="4" t="inlineStr">
        <is>
          <t>002446</t>
        </is>
      </c>
      <c r="C13" s="4" t="inlineStr">
        <is>
          <t>盛路通信</t>
        </is>
      </c>
      <c r="D13" s="5" t="inlineStr">
        <is>
          <t>商业航天：卫星</t>
        </is>
      </c>
      <c r="E13" s="4" t="inlineStr">
        <is>
          <t>纠错</t>
        </is>
      </c>
      <c r="F13" s="4" t="inlineStr">
        <is>
          <t>商业航天</t>
        </is>
      </c>
      <c r="G13" s="5" t="inlineStr">
        <is>
          <t>卫星通信终端与天线</t>
        </is>
      </c>
      <c r="H13" s="4" t="inlineStr">
        <is>
          <t>相关</t>
        </is>
      </c>
      <c r="I13" s="5" t="inlineStr">
        <is>
          <t>公司在卫星通信方向的真实产品为Ku、Ka频段阵列天线及宽窄带射频模块，并已有商用卫星“海哨二号”等配套案例，因此不是把普通基站天线或微波器件直接想象为卫星产品。公司同时明确卫星通信业务仍处起步阶段、订单量较小；2025年通信设备收入6.6616亿元、微波电子收入5.4023亿元，其中还包含大量地面通信和军工电子业务，卫星通信收入与商业航天占比没有独立拆分，不能把上述板块收入全部归入商业航天。综合真实型号配套与订单规模有限的事实，将旧泛“卫星”收敛为“卫星通信终端与天线”，定为相关而非核心，也不将军工微波电子收入自动计入商业航天。</t>
        </is>
      </c>
      <c r="J13" s="4" t="inlineStr">
        <is>
          <t>盛路通信：关于卫星通信产品配套及订单情况的互动答复</t>
        </is>
      </c>
      <c r="K13" s="4" t="inlineStr">
        <is>
          <t>2026-05-15</t>
        </is>
      </c>
      <c r="L13" s="5" t="inlineStr">
        <is>
          <t>iFinD ifind_get_stock_info + ifind_get_stock_business_segmentation (as of 2026-10-27)；盛路通信：关于卫星通信产品配套及订单情况的互动答复</t>
        </is>
      </c>
      <c r="M13" s="6" t="inlineStr">
        <is>
          <t>https://www.sohu.com/a/1023207074_115377</t>
        </is>
      </c>
    </row>
    <row r="14" ht="104" customHeight="1">
      <c r="B14" s="7" t="inlineStr">
        <is>
          <t>002465</t>
        </is>
      </c>
      <c r="C14" s="7" t="inlineStr">
        <is>
          <t>海格通信</t>
        </is>
      </c>
      <c r="D14" s="8" t="inlineStr">
        <is>
          <t>商业航天：卫星-地面设备</t>
        </is>
      </c>
      <c r="E14" s="7" t="inlineStr">
        <is>
          <t>纠错</t>
        </is>
      </c>
      <c r="F14" s="7" t="inlineStr">
        <is>
          <t>商业航天</t>
        </is>
      </c>
      <c r="G14" s="8" t="inlineStr">
        <is>
          <t>卫星通信终端与天线、导航定位与授时服务</t>
        </is>
      </c>
      <c r="H14" s="7" t="inlineStr">
        <is>
          <t>相关</t>
        </is>
      </c>
      <c r="I14" s="8" t="inlineStr">
        <is>
          <t>公司具备卫星通信产品及北斗芯片、模块、天线、终端和系统的全链条能力，并面向民用行业提供导航定位应用，产品形态与卫星终端、导航授时服务相符。2025年无线通信收入10.9990亿元、北斗导航收入5.1539亿元，但两个口径均包含特殊机构及其他非商业航天应用，年报未独立拆分民用卫星互联网和北斗商业服务收入；卫星互联网地面终端仍有产品处于研制阶段，不能把研发储备视为规模交付。因此旧“卫星-地面设备、核心”需纠正为卫星通信终端天线与导航定位授时服务，并下调为相关。定级不采用特殊机构订单或军品收入作为商业航天证据，也不把全部无线通信收入纳入。</t>
        </is>
      </c>
      <c r="J14" s="7" t="inlineStr">
        <is>
          <t>海格通信：2025年年度报告</t>
        </is>
      </c>
      <c r="K14" s="7" t="inlineStr">
        <is>
          <t>2026-03-28</t>
        </is>
      </c>
      <c r="L14" s="8" t="inlineStr">
        <is>
          <t>iFinD ifind_get_stock_info + ifind_get_stock_business_segmentation (as of 2026-10-27)；海格通信：2025年年度报告</t>
        </is>
      </c>
      <c r="M14" s="9" t="inlineStr">
        <is>
          <t>https://money.finance.sina.com.cn/corp/view/vCB_AllBulletinDetail.php?stockid=002465&amp;id=12030570</t>
        </is>
      </c>
    </row>
    <row r="15" ht="104" customHeight="1">
      <c r="B15" s="4" t="inlineStr">
        <is>
          <t>002471</t>
        </is>
      </c>
      <c r="C15" s="4" t="inlineStr">
        <is>
          <t>中超控股</t>
        </is>
      </c>
      <c r="D15" s="5" t="inlineStr">
        <is>
          <t>商业航天：火箭</t>
        </is>
      </c>
      <c r="E15" s="4" t="inlineStr">
        <is>
          <t>纠错</t>
        </is>
      </c>
      <c r="F15" s="4" t="inlineStr">
        <is>
          <t>商业航天</t>
        </is>
      </c>
      <c r="G15" s="5" t="inlineStr">
        <is>
          <t>火箭总体与动力</t>
        </is>
      </c>
      <c r="H15" s="4" t="inlineStr">
        <is>
          <t>相关</t>
        </is>
      </c>
      <c r="I15" s="5" t="inlineStr">
        <is>
          <t>公司孙公司江苏精铸已持续向航天科工火箭、上海空间推进研究所等客户提供火箭发动机高温合金精密铸件，具体包括涡轮机匣、导向器和喷嘴等动力部件，具备真实客户、产品和持续订单，不再是电线电缆主业的概念联想。2025年精铸板块新签订单7292.41万元，而电缆行业收入50.8288亿元、电力电缆收入44.8904亿元，商业航天收入及利润没有独立拆分，且精铸订单也不能全部视为商业航天。基于火箭发动机部件供货已落地但体量较小，将旧“火箭、边缘”纠正为“火箭总体与动力、相关”；该概念仅指发动机精密铸件配套，不表示公司从事火箭总体设计或整箭制造。</t>
        </is>
      </c>
      <c r="J15" s="4" t="inlineStr">
        <is>
          <t>中超控股：2025年年度报告</t>
        </is>
      </c>
      <c r="K15" s="4" t="inlineStr">
        <is>
          <t>2026-03-31</t>
        </is>
      </c>
      <c r="L15" s="5" t="inlineStr">
        <is>
          <t>iFinD ifind_get_stock_info + ifind_get_stock_business_segmentation (as of 2026-10-27)；中超控股：2025年年度报告</t>
        </is>
      </c>
      <c r="M15" s="6" t="inlineStr">
        <is>
          <t>https://money.finance.sina.com.cn/corp/view/vCB_AllBulletinDetail.php?stockid=002471&amp;id=12037035</t>
        </is>
      </c>
    </row>
    <row r="16" ht="104" customHeight="1">
      <c r="B16" s="7" t="inlineStr">
        <is>
          <t>002519</t>
        </is>
      </c>
      <c r="C16" s="7" t="inlineStr">
        <is>
          <t>银河电子</t>
        </is>
      </c>
      <c r="D16" s="8" t="inlineStr">
        <is>
          <t>商业航天：卫星</t>
        </is>
      </c>
      <c r="E16" s="7" t="inlineStr">
        <is>
          <t>纠错</t>
        </is>
      </c>
      <c r="F16" s="7" t="inlineStr">
        <is>
          <t>商业航天</t>
        </is>
      </c>
      <c r="G16" s="8" t="inlineStr">
        <is>
          <t>卫星通信终端与天线</t>
        </is>
      </c>
      <c r="H16" s="7" t="inlineStr">
        <is>
          <t>相关</t>
        </is>
      </c>
      <c r="I16" s="8" t="inlineStr">
        <is>
          <t>公司智能终端业务中，智能增强直播卫星与地面接收双模接收机已完成设计并实现批产，终端产品还面向卫星电视运营商，属于可核验的卫星接收终端产品，而不是把普通机顶盒全部当成卫星设备。2025年智能机电产品收入2.7406亿元，其中混合包含军用特种装备、普通智能终端和卫星终端，年报未独立拆分卫星接收机收入或商业航天占比；军车供配电、综合电子信息等军工业务不能计入商业航天。基于双模卫星接收机已有批产但收入不可辨认，将旧泛“卫星、核心”纠正为“卫星通信终端与天线、相关”，不把全部智能机电收入视为卫星业务，也不沿用军品规模支持核心定级。</t>
        </is>
      </c>
      <c r="J16" s="7" t="inlineStr">
        <is>
          <t>银河电子：2025年年度报告</t>
        </is>
      </c>
      <c r="K16" s="7" t="inlineStr">
        <is>
          <t>2026-04-15</t>
        </is>
      </c>
      <c r="L16" s="8" t="inlineStr">
        <is>
          <t>iFinD ifind_get_stock_info + ifind_get_stock_business_segmentation (as of 2026-10-27)；银河电子：2025年年度报告</t>
        </is>
      </c>
      <c r="M16" s="9" t="inlineStr">
        <is>
          <t>https://money.finance.sina.com.cn/corp/view/vCB_AllBulletinDetail.php?stockid=002519&amp;id=12088084</t>
        </is>
      </c>
    </row>
    <row r="17" ht="104" customHeight="1">
      <c r="B17" s="4" t="inlineStr">
        <is>
          <t>002583</t>
        </is>
      </c>
      <c r="C17" s="4" t="inlineStr">
        <is>
          <t>海能达</t>
        </is>
      </c>
      <c r="D17" s="5" t="inlineStr">
        <is>
          <t>商业航天：卫星-地面设备</t>
        </is>
      </c>
      <c r="E17" s="4" t="inlineStr">
        <is>
          <t>纠错</t>
        </is>
      </c>
      <c r="F17" s="4" t="inlineStr">
        <is>
          <t>商业航天</t>
        </is>
      </c>
      <c r="G17" s="5" t="inlineStr">
        <is>
          <t>卫星通信终端与天线</t>
        </is>
      </c>
      <c r="H17" s="4" t="inlineStr">
        <is>
          <t>相关</t>
        </is>
      </c>
      <c r="I17" s="5" t="inlineStr">
        <is>
          <t>公司实际卫星通信产品包括LNA、LNB、BUC、天线控制器，以及车载、船载、便携和固定站等全系列终端，并已推出天通多模终端，相关产品在“一带一路”多地区实现规模销售，具备明确产品和市场交付，不是专网对讲机业务的泛化联想。2025年终端收入25.0545亿元、系统收入24.8507亿元，但口径主要还覆盖窄带专网、公专融合和指挥调度等业务，年报没有独立拆分卫星终端收入及商业航天占比，因此不能把终端板块整体视为商业航天。旧“卫星-地面设备、边缘”低估了已有产品与销售，应纠正为“卫星通信终端与天线、相关”，同时因具体收入贡献不明而不定核心。</t>
        </is>
      </c>
      <c r="J17" s="4" t="inlineStr">
        <is>
          <t>海能达：2025年年度报告</t>
        </is>
      </c>
      <c r="K17" s="4" t="inlineStr">
        <is>
          <t>2026-04-08</t>
        </is>
      </c>
      <c r="L17" s="5" t="inlineStr">
        <is>
          <t>iFinD ifind_get_stock_info + ifind_get_stock_business_segmentation (as of 2026-10-27)；海能达：2025年年度报告</t>
        </is>
      </c>
      <c r="M17" s="6" t="inlineStr">
        <is>
          <t>http://money.finance.sina.com.cn/corp/view/vCB_AllBulletinDetail.php?stockid=002583&amp;id=12067091</t>
        </is>
      </c>
    </row>
    <row r="18" ht="104" customHeight="1">
      <c r="B18" s="7" t="inlineStr">
        <is>
          <t>002600</t>
        </is>
      </c>
      <c r="C18" s="7" t="inlineStr">
        <is>
          <t>领益智造</t>
        </is>
      </c>
      <c r="D18" s="8" t="inlineStr">
        <is>
          <t>商业航天：spacex-供应商-轻量化-热控</t>
        </is>
      </c>
      <c r="E18" s="7" t="inlineStr">
        <is>
          <t>纠错</t>
        </is>
      </c>
      <c r="F18" s="7" t="inlineStr">
        <is>
          <t>商业航天</t>
        </is>
      </c>
      <c r="G18" s="8" t="inlineStr">
        <is>
          <t>卫星结构与机构</t>
        </is>
      </c>
      <c r="H18" s="7" t="inlineStr">
        <is>
          <t>相关</t>
        </is>
      </c>
      <c r="I18" s="8" t="inlineStr">
        <is>
          <t>公司公开披露依托精密结构件、功能件及系统集成能力布局商业卫星和太空算力，已进入国际龙头客户供应链，并持续推进相关项目落地，说明存在实际客户项目而非单纯规划。公司官微同时列举碳纤维等新材料结构系统能力，但具体已交付料号、订单规模和终端客户名称未正式披露，故本次仅保守映射卫星结构与机构，不确认未经公司点名的SpaceX身份。2025年AI终端收入447.9322亿元、汽车及低空经济收入29.5438亿元，商业卫星收入没有独立拆分，不能把消费电子结构件收入算入航天。旧“spacex-供应商-轻量化-热控”纠正为“卫星结构与机构、相关”，不保留客户和热控供货的确定性表述。</t>
        </is>
      </c>
      <c r="J18" s="7" t="inlineStr">
        <is>
          <t>领益智造官微：布局商业卫星和太空算力业务</t>
        </is>
      </c>
      <c r="K18" s="7" t="inlineStr">
        <is>
          <t>2026-01-12</t>
        </is>
      </c>
      <c r="L18" s="8" t="inlineStr">
        <is>
          <t>iFinD ifind_get_stock_info + ifind_get_stock_business_segmentation (as of 2026-10-27)；领益智造官微：布局商业卫星和太空算力业务</t>
        </is>
      </c>
      <c r="M18" s="9" t="inlineStr">
        <is>
          <t>https://www.sohu.com/a/975298477_115377</t>
        </is>
      </c>
    </row>
    <row r="19" ht="104" customHeight="1">
      <c r="B19" s="4" t="inlineStr">
        <is>
          <t>002792</t>
        </is>
      </c>
      <c r="C19" s="4" t="inlineStr">
        <is>
          <t>通宇通讯</t>
        </is>
      </c>
      <c r="D19" s="5" t="inlineStr">
        <is>
          <t>商业航天：spacex-参股</t>
        </is>
      </c>
      <c r="E19" s="4" t="inlineStr">
        <is>
          <t>纠错</t>
        </is>
      </c>
      <c r="F19" s="4" t="inlineStr">
        <is>
          <t>商业航天</t>
        </is>
      </c>
      <c r="G19" s="5" t="inlineStr">
        <is>
          <t>卫星通信终端与天线</t>
        </is>
      </c>
      <c r="H19" s="4" t="inlineStr">
        <is>
          <t>相关</t>
        </is>
      </c>
      <c r="I19" s="5" t="inlineStr">
        <is>
          <t>公司卫星业务的真实落点是卫星通信终端与天线，MacroWiFi产品通过SpaceX接口实现卫星直连，并已在阿联酋、印尼、马来西亚完成认证测试且取得小批量订单，这属于产品适配和商业订单证据，不是对SpaceX的股权投资。2025年卫星通讯收入0.5405亿元，而通信天线及射频器件收入10.6713亿元，卫星业务已形成收入但占整体比例有限，且未进一步拆分MacroWiFi及境外订单收入。基于实际产品、测试与小批量订单，保留为相关；旧“spacex-参股”没有股权事实依据，必须纠正为“卫星通信终端与天线”，也不把通过接口兼容星链扩写为SpaceX核心供应商或参股公司。</t>
        </is>
      </c>
      <c r="J19" s="4" t="inlineStr">
        <is>
          <t>通宇通讯：关于MacroWiFi卫星直连认证测试及订单的官方互动答复</t>
        </is>
      </c>
      <c r="K19" s="4" t="inlineStr">
        <is>
          <t>2025-10-20</t>
        </is>
      </c>
      <c r="L19" s="5" t="inlineStr">
        <is>
          <t>iFinD ifind_get_stock_info + ifind_get_stock_business_segmentation (as of 2026-10-27)；通宇通讯：关于MacroWiFi卫星直连认证测试及订单的官方互动答复</t>
        </is>
      </c>
      <c r="M19" s="6" t="inlineStr">
        <is>
          <t>https://wxly.p5w.net/question/00013789530BF39849A58AA4A91CADF5D00B</t>
        </is>
      </c>
    </row>
    <row r="20" ht="104" customHeight="1">
      <c r="B20" s="7" t="inlineStr">
        <is>
          <t>002829</t>
        </is>
      </c>
      <c r="C20" s="7" t="inlineStr">
        <is>
          <t>星网宇达</t>
        </is>
      </c>
      <c r="D20" s="8" t="inlineStr">
        <is>
          <t>商业航天：卫星-地面设备</t>
        </is>
      </c>
      <c r="E20" s="7" t="inlineStr">
        <is>
          <t>纠错</t>
        </is>
      </c>
      <c r="F20" s="7" t="inlineStr">
        <is>
          <t>商业航天</t>
        </is>
      </c>
      <c r="G20" s="8" t="inlineStr">
        <is>
          <t>卫星通信终端与天线</t>
        </is>
      </c>
      <c r="H20" s="7" t="inlineStr">
        <is>
          <t>相关</t>
        </is>
      </c>
      <c r="I20" s="8" t="inlineStr">
        <is>
          <t>公司卫星通信板块实际产品为车载、船载动中通和Ku、Ka高通量卫星通信终端，已完成交付并在规模化项目中应用，属于真实卫星通信终端业务，而非将惯性导航、无人系统或火箭回收概念混入。2025年卫星通信收入0.4661亿元、占12.33%，无人系统收入2.0535亿元、信息感知收入1.1914亿元，说明卫星通信已有独立收入但规模占比有限；该口径未再区分商业卫星与传统客户，不能将其全部视为商业航天收入。基于交付与项目应用明确、体量尚小，将旧“卫星-地面设备、核心”纠正为“卫星通信终端与天线、相关”，也不以公司惯导或无人系统业务支持商业航天核心定级。</t>
        </is>
      </c>
      <c r="J20" s="7" t="inlineStr">
        <is>
          <t>星网宇达：2025年年度报告</t>
        </is>
      </c>
      <c r="K20" s="7" t="inlineStr">
        <is>
          <t>2026-04-24</t>
        </is>
      </c>
      <c r="L20" s="8" t="inlineStr">
        <is>
          <t>iFinD ifind_get_stock_info + ifind_get_stock_business_segmentation (as of 2026-10-27)；星网宇达：2025年年度报告</t>
        </is>
      </c>
      <c r="M20" s="9" t="inlineStr">
        <is>
          <t>http://money.finance.sina.com.cn/corp/view/vCB_AllBulletinDetail.php?stockid=002829&amp;id=12172943</t>
        </is>
      </c>
    </row>
    <row r="21" ht="104" customHeight="1">
      <c r="B21" s="4" t="inlineStr">
        <is>
          <t>002865</t>
        </is>
      </c>
      <c r="C21" s="4" t="inlineStr">
        <is>
          <t>钧达股份</t>
        </is>
      </c>
      <c r="D21" s="5" t="inlineStr">
        <is>
          <t>商业航天：spacex-潜在供应商</t>
        </is>
      </c>
      <c r="E21" s="4" t="inlineStr">
        <is>
          <t>纠错</t>
        </is>
      </c>
      <c r="F21" s="4" t="inlineStr">
        <is>
          <t>商业航天</t>
        </is>
      </c>
      <c r="G21" s="5" t="inlineStr">
        <is>
          <t>商业航天股权与产业投资</t>
        </is>
      </c>
      <c r="H21" s="4" t="inlineStr">
        <is>
          <t>相关</t>
        </is>
      </c>
      <c r="I21" s="5" t="inlineStr">
        <is>
          <t>公司保留依据不是太空光伏想象或SpaceX潜在供货，而是已披露的真实股权布局：持有上海复遥星河60%股权，其全资巡天千河业务覆盖卫星研制、卫星通信、遥感与数据处理；同时拟以3000万元取得星翼芯能16.67%股权。2025年光伏电池片收入75.9815亿元、占99.6166%，商业航天尚未形成独立收入，卫星业务也没有并表收入占比可以支持核心判断。因此旧“spacex-潜在供应商”应删除并纠正为“商业航天股权与产业投资”，只能定为相关。该标签只表达控股和拟参股事实，不表示钧达自身已成为卫星制造商、SpaceX供应商或太空光伏组件量产企业，拟投资部分也不提前视为完成交割。</t>
        </is>
      </c>
      <c r="J21" s="4" t="inlineStr">
        <is>
          <t>钧达股份：2025年年度报告</t>
        </is>
      </c>
      <c r="K21" s="4" t="inlineStr">
        <is>
          <t>2026-03-31</t>
        </is>
      </c>
      <c r="L21" s="5" t="inlineStr">
        <is>
          <t>iFinD ifind_get_stock_info + ifind_get_stock_business_segmentation (as of 2026-10-27)；钧达股份：2025年年度报告</t>
        </is>
      </c>
      <c r="M21" s="6" t="inlineStr">
        <is>
          <t>https://money.finance.sina.com.cn/corp/view/vCB_AllBulletinDetail.php?stockid=002865&amp;id=12044232</t>
        </is>
      </c>
    </row>
    <row r="22" ht="104" customHeight="1">
      <c r="B22" s="7" t="inlineStr">
        <is>
          <t>002935</t>
        </is>
      </c>
      <c r="C22" s="7" t="inlineStr">
        <is>
          <t>天奥电子</t>
        </is>
      </c>
      <c r="D22" s="8" t="inlineStr">
        <is>
          <t>商业航天：卫星-有效载荷</t>
        </is>
      </c>
      <c r="E22" s="7" t="inlineStr">
        <is>
          <t>纠错</t>
        </is>
      </c>
      <c r="F22" s="7" t="inlineStr">
        <is>
          <t>商业航天</t>
        </is>
      </c>
      <c r="G22" s="8" t="inlineStr">
        <is>
          <t>星载电子与核心元器件、导航定位与授时服务</t>
        </is>
      </c>
      <c r="H22" s="7" t="inlineStr">
        <is>
          <t>相关</t>
        </is>
      </c>
      <c r="I22" s="8" t="inlineStr">
        <is>
          <t>公司星载原子钟和射频组件已真实配套星网低轨卫星，铯原子钟还中标星网地面系统，产品分别对应星载时频核心元器件与地面授时同步环节，具备明确项目和交付依据。2025年频率系列产品收入5.9500亿元、时间同步系列产品3.6945亿元、北斗卫星应用产品仅0.1580亿元，但前两类还包含军品以及电力、通信等地面应用，年报没有独立拆分商业航天收入，将军品或全部时频产品收入归入商业航天都不准确。故将旧“卫星-有效载荷、核心”纠正为“星载电子与核心元器件、导航定位与授时服务”，并下调为相关；保留理由是星网实际配套，而不是央企背景或原子钟通用可用性。</t>
        </is>
      </c>
      <c r="J22" s="7" t="inlineStr">
        <is>
          <t>天奥电子：2025年年度报告</t>
        </is>
      </c>
      <c r="K22" s="7" t="inlineStr">
        <is>
          <t>2026-04-25</t>
        </is>
      </c>
      <c r="L22" s="8" t="inlineStr">
        <is>
          <t>iFinD ifind_get_stock_info + ifind_get_stock_business_segmentation (as of 2026-10-27)；天奥电子：2025年年度报告</t>
        </is>
      </c>
      <c r="M22" s="9" t="inlineStr">
        <is>
          <t>https://money.finance.sina.com.cn/corp/view/vCB_AllBulletinDetail.php?stockid=002935&amp;id=12192695</t>
        </is>
      </c>
    </row>
    <row r="23" ht="104" customHeight="1">
      <c r="B23" s="4" t="inlineStr">
        <is>
          <t>003009</t>
        </is>
      </c>
      <c r="C23" s="4" t="inlineStr">
        <is>
          <t>中天火箭</t>
        </is>
      </c>
      <c r="D23" s="5" t="inlineStr">
        <is>
          <t>商业航天：国家队</t>
        </is>
      </c>
      <c r="E23" s="4" t="inlineStr">
        <is>
          <t>纠错</t>
        </is>
      </c>
      <c r="F23" s="4" t="inlineStr">
        <is>
          <t>商业航天</t>
        </is>
      </c>
      <c r="G23" s="5" t="inlineStr">
        <is>
          <t>火箭总体与动力、航天材料与增材制造</t>
        </is>
      </c>
      <c r="H23" s="4" t="inlineStr">
        <is>
          <t>相关</t>
        </is>
      </c>
      <c r="I23" s="5" t="inlineStr">
        <is>
          <t>公司实际产品包括增雨防雹火箭、探空火箭、小型制导火箭及固体火箭发动机耐烧蚀组件。2025年增雨防雹火箭及配套装备收入3.9412亿元，军用小型固体火箭收入1.1088亿元，耐烧蚀组件收入0.4105亿元、占5.24%；年报明确耐烧蚀组件为军工集团和民用商业航天企业提供研发生产服务，但并未拆分其中商业航天收入。探空火箭在年报中列为军品，不能将军品收入自动计作商业航天，央企背景也不是保留依据。鉴于已有真实商业航天配套产品且收入规模有限，定为相关，旧“国家队”概念改为具体产品与材料概念。</t>
        </is>
      </c>
      <c r="J23" s="4" t="inlineStr">
        <is>
          <t>中天火箭：2025年年度报告</t>
        </is>
      </c>
      <c r="K23" s="4" t="inlineStr">
        <is>
          <t>2026-03-31</t>
        </is>
      </c>
      <c r="L23" s="5" t="inlineStr">
        <is>
          <t>iFinD ifind_get_stock_info + ifind_get_stock_business_segmentation (as of 2026-10-27)；中天火箭：2025年年度报告</t>
        </is>
      </c>
      <c r="M23" s="6" t="inlineStr">
        <is>
          <t>https://money.finance.sina.com.cn/corp/view/vCB_AllBulletinDetail.php?stockid=003009&amp;id=12045430</t>
        </is>
      </c>
    </row>
    <row r="24" ht="104" customHeight="1">
      <c r="B24" s="7" t="inlineStr">
        <is>
          <t>300045</t>
        </is>
      </c>
      <c r="C24" s="7" t="inlineStr">
        <is>
          <t>华力创通</t>
        </is>
      </c>
      <c r="D24" s="8" t="inlineStr">
        <is>
          <t>商业航天：卫星-地面设备</t>
        </is>
      </c>
      <c r="E24" s="7" t="inlineStr">
        <is>
          <t>纠错</t>
        </is>
      </c>
      <c r="F24" s="7" t="inlineStr">
        <is>
          <t>商业航天</t>
        </is>
      </c>
      <c r="G24" s="8" t="inlineStr">
        <is>
          <t>导航定位与授时服务、卫星通信终端与天线</t>
        </is>
      </c>
      <c r="H24" s="7" t="inlineStr">
        <is>
          <t>核心</t>
        </is>
      </c>
      <c r="I24" s="8" t="inlineStr">
        <is>
          <t>公司已形成北斗卫星导航和天通卫星通信两大产品系列，真实产品覆盖芯片、模块、终端及平台系统，用于卫星导航定位、授时和卫星移动通信，而非仅提供通用仿真设备。2025年北斗卫星导航收入3.6696亿元，按所列产品收入合计约7.8120亿元计算占约46.97%，已是第一大产品板块；卫星通信收入未独立拆分，不能与北斗收入混同或重复计算。商业航天相关的卫星导航业务已成为重要收入来源，符合核心标准。旧“卫星-地面设备”表述过宽，现细化为导航定位授时与卫星通信终端两个可核验概念。</t>
        </is>
      </c>
      <c r="J24" s="7" t="inlineStr">
        <is>
          <t>华力创通：2025年年度报告</t>
        </is>
      </c>
      <c r="K24" s="7" t="inlineStr">
        <is>
          <t>2026-04-22</t>
        </is>
      </c>
      <c r="L24" s="8" t="inlineStr">
        <is>
          <t>iFinD ifind_get_stock_info + ifind_get_stock_business_segmentation (as of 2026-10-27)；华力创通：2025年年度报告</t>
        </is>
      </c>
      <c r="M24" s="9" t="inlineStr">
        <is>
          <t>http://www.hwacreate.com.cn/Upload/%E4%B8%9A%E5%8A%A1%E5%85%A5%E5%8F%A3/%E6%8A%95%E8%B5%84%E8%80%85%E5%85%B3%E7%B3%BB/%E5%8D%8E%E5%8A%9B%E5%88%9B%E9%80%9A%EF%BC%9A2025%E5%B9%B4%E5%B9%B4%E5%BA%A6%E6%8A%A5%E5%91%8A-09315230815.pdf</t>
        </is>
      </c>
    </row>
    <row r="25" ht="104" customHeight="1">
      <c r="B25" s="4" t="inlineStr">
        <is>
          <t>300053</t>
        </is>
      </c>
      <c r="C25" s="4" t="inlineStr">
        <is>
          <t>航宇微</t>
        </is>
      </c>
      <c r="D25" s="5" t="inlineStr">
        <is>
          <t>商业航天：卫星</t>
        </is>
      </c>
      <c r="E25" s="4" t="inlineStr">
        <is>
          <t>纠错</t>
        </is>
      </c>
      <c r="F25" s="4" t="inlineStr">
        <is>
          <t>商业航天</t>
        </is>
      </c>
      <c r="G25" s="5" t="inlineStr">
        <is>
          <t>星载电子与核心元器件、卫星数据与遥感应用</t>
        </is>
      </c>
      <c r="H25" s="4" t="inlineStr">
        <is>
          <t>核心</t>
        </is>
      </c>
      <c r="I25" s="5" t="inlineStr">
        <is>
          <t>公司主营业务直接包括宇航电子、卫星星座及卫星大数据，宇航产品为嵌入式SoC、SiP芯片及EMBC等星载电子模块；“珠海一号”为实际运营的商业遥感卫星星座，公司提供高光谱遥感数据及行业应用服务。2025年宇航电子收入1.2567亿元，占45.3485%，卫星大数据收入0.7019亿元，占25.3271%，其中卫星大数据服务收入0.4300亿元，两个航天相关板块合计占约70.68%，构成主要收入来源。无论收入规模还是产品运营实质均符合核心标准。旧“卫星”概念过于笼统，现纠正为星载电子和遥感数据应用，未将人工智能或安防收入计入。</t>
        </is>
      </c>
      <c r="J25" s="4" t="inlineStr">
        <is>
          <t>航宇微：2025年年度报告摘要</t>
        </is>
      </c>
      <c r="K25" s="4" t="inlineStr">
        <is>
          <t>2026-04-10</t>
        </is>
      </c>
      <c r="L25" s="5" t="inlineStr">
        <is>
          <t>iFinD ifind_get_stock_info + ifind_get_stock_business_segmentation (as of 2026-10-27)；航宇微：2025年年度报告摘要</t>
        </is>
      </c>
      <c r="M25" s="6" t="inlineStr">
        <is>
          <t>http://static.cninfo.com.cn/finalpage/2026-04-10/1225091392.PDF</t>
        </is>
      </c>
    </row>
    <row r="26" ht="104" customHeight="1">
      <c r="B26" s="7" t="inlineStr">
        <is>
          <t>300065</t>
        </is>
      </c>
      <c r="C26" s="7" t="inlineStr">
        <is>
          <t>海兰信</t>
        </is>
      </c>
      <c r="D26" s="8" t="inlineStr">
        <is>
          <t>商业航天：火箭</t>
        </is>
      </c>
      <c r="E26" s="7" t="inlineStr">
        <is>
          <t>纠错</t>
        </is>
      </c>
      <c r="F26" s="7" t="inlineStr">
        <is>
          <t>商业航天</t>
        </is>
      </c>
      <c r="G26" s="8" t="inlineStr">
        <is>
          <t>航天电子与测控组件、发射场与地面保障</t>
        </is>
      </c>
      <c r="H26" s="7" t="inlineStr">
        <is>
          <t>相关</t>
        </is>
      </c>
      <c r="I26" s="8" t="inlineStr">
        <is>
          <t>公司原有主业是海洋观探测、智能船舶和海底数据中心，2025年海洋观探测装备与系统收入3.4538亿元、占48.2162%，智能船舶与智能航行系统收入3.4292亿元、占47.8720%，当年没有独立披露商业航天收入。2025年报同时披露，公司在2026年初成功中标海南商发“可重复使用火箭海上回收系统指挥测控”项目，说明其已凭真实订单切入火箭海上回收的指挥测控和地面保障，而非仅凭海洋装备联想火箭业务。由于订单发生于期后、尚无可核验收入贡献且海洋业务仍占绝对主体，定为相关；旧笼统“火箭”标签改为具体测控与保障概念。</t>
        </is>
      </c>
      <c r="J26" s="7" t="inlineStr">
        <is>
          <t>海兰信：2025年年度报告</t>
        </is>
      </c>
      <c r="K26" s="7" t="inlineStr">
        <is>
          <t>2026-04-22</t>
        </is>
      </c>
      <c r="L26" s="8" t="inlineStr">
        <is>
          <t>iFinD ifind_get_stock_info + ifind_get_stock_business_segmentation (as of 2026-10-27)；海兰信：2025年年度报告</t>
        </is>
      </c>
      <c r="M26" s="9" t="inlineStr">
        <is>
          <t>https://disc.static.szse.cn/disc/disk03/finalpage/2026-04-22/81fe9840-d50d-4eae-aeb2-d14bd7709991.PDF</t>
        </is>
      </c>
    </row>
    <row r="27" ht="104" customHeight="1">
      <c r="B27" s="4" t="inlineStr">
        <is>
          <t>300102</t>
        </is>
      </c>
      <c r="C27" s="4" t="inlineStr">
        <is>
          <t>乾照光电</t>
        </is>
      </c>
      <c r="D27" s="5" t="inlineStr">
        <is>
          <t>商业航天：千帆星座</t>
        </is>
      </c>
      <c r="E27" s="4" t="inlineStr">
        <is>
          <t>纠错</t>
        </is>
      </c>
      <c r="F27" s="4" t="inlineStr">
        <is>
          <t>商业航天</t>
        </is>
      </c>
      <c r="G27" s="5" t="inlineStr">
        <is>
          <t>卫星电源与太阳翼</t>
        </is>
      </c>
      <c r="H27" s="4" t="inlineStr">
        <is>
          <t>相关</t>
        </is>
      </c>
      <c r="I27" s="5" t="inlineStr">
        <is>
          <t>公司除LED外延片和芯片外，实际生产砷化镓太阳能电池，该类产品用于空间飞行器电源系统；公司披露2025年前三季度产品销量同比大幅增长、出货量居国内市场前列，证明并非单纯太空光伏设想。2025年半导体光电收入合计34.0089亿元，其中外延片芯片17.7107亿元、其他16.2982亿元，但年报没有独立拆分砷化镓太阳能电池收入及商业航天客户占比，不能把全部半导体光电收入算作商业航天。考虑产品真实、出货已规模化但收入未拆且公司仍以光电民品为主，定为相关；旧“千帆星座”未获供货证据支持，改为卫星电源产品概念。</t>
        </is>
      </c>
      <c r="J27" s="4" t="inlineStr">
        <is>
          <t>乾照光电：2025年年度报告</t>
        </is>
      </c>
      <c r="K27" s="4" t="inlineStr">
        <is>
          <t>2026-03-28</t>
        </is>
      </c>
      <c r="L27" s="5" t="inlineStr">
        <is>
          <t>iFinD ifind_get_stock_info + ifind_get_stock_business_segmentation (as of 2026-10-27)；乾照光电：2025年年度报告</t>
        </is>
      </c>
      <c r="M27" s="6" t="inlineStr">
        <is>
          <t>https://money.finance.sina.com.cn/corp/view/vCB_AllBulletinDetail.php?stockid=300102&amp;id=12030431</t>
        </is>
      </c>
    </row>
    <row r="28" ht="104" customHeight="1">
      <c r="B28" s="7" t="inlineStr">
        <is>
          <t>300136</t>
        </is>
      </c>
      <c r="C28" s="7" t="inlineStr">
        <is>
          <t>信维通信</t>
        </is>
      </c>
      <c r="D28" s="8" t="inlineStr">
        <is>
          <t>商业航天：spacex-参股</t>
        </is>
      </c>
      <c r="E28" s="7" t="inlineStr">
        <is>
          <t>纠错</t>
        </is>
      </c>
      <c r="F28" s="7" t="inlineStr">
        <is>
          <t>商业航天</t>
        </is>
      </c>
      <c r="G28" s="8" t="inlineStr">
        <is>
          <t>卫星通信终端与天线</t>
        </is>
      </c>
      <c r="H28" s="7" t="inlineStr">
        <is>
          <t>相关</t>
        </is>
      </c>
      <c r="I28" s="8" t="inlineStr">
        <is>
          <t>公司实际产品包括天线及模组、高精密连接器等，2025年报明确面向低轨卫星接收终端的相控阵天线模组已经实现批量出货，并深化与北美两大客户合作，高频高速连接器也用于卫星通信，具备真实商业卫星产品和交付事实。2025年移动终端天线及附件口径收入89.0978亿元，但该口径包含大量消费电子业务，未独立拆分低轨卫星终端收入，不能将89.0978亿元全部归为商业航天，也不能据北美客户表述直接确认SpaceX。基于批量出货但收入未拆、民品仍占主体，定为相关；旧“spacex-参股”没有股权证据，纠正为实际终端天线概念。</t>
        </is>
      </c>
      <c r="J28" s="7" t="inlineStr">
        <is>
          <t>信维通信：2025年年度报告摘要</t>
        </is>
      </c>
      <c r="K28" s="7" t="inlineStr">
        <is>
          <t>2026-04-18</t>
        </is>
      </c>
      <c r="L28" s="8" t="inlineStr">
        <is>
          <t>iFinD ifind_get_stock_info + ifind_get_stock_business_segmentation (as of 2026-10-27)；信维通信：2025年年度报告摘要</t>
        </is>
      </c>
      <c r="M28" s="9" t="inlineStr">
        <is>
          <t>https://static.cninfo.com.cn/finalpage/2026-04-18/1225121156.PDF</t>
        </is>
      </c>
    </row>
    <row r="29" ht="104" customHeight="1">
      <c r="B29" s="4" t="inlineStr">
        <is>
          <t>300228</t>
        </is>
      </c>
      <c r="C29" s="4" t="inlineStr">
        <is>
          <t>富瑞特装</t>
        </is>
      </c>
      <c r="D29" s="5" t="inlineStr">
        <is>
          <t>商业航天：火箭</t>
        </is>
      </c>
      <c r="E29" s="4" t="inlineStr">
        <is>
          <t>纠错</t>
        </is>
      </c>
      <c r="F29" s="4" t="inlineStr">
        <is>
          <t>商业航天</t>
        </is>
      </c>
      <c r="G29" s="5" t="inlineStr">
        <is>
          <t>火箭推进与流体控制、发射场与地面保障</t>
        </is>
      </c>
      <c r="H29" s="4" t="inlineStr">
        <is>
          <t>相关</t>
        </is>
      </c>
      <c r="I29" s="5" t="inlineStr">
        <is>
          <t>公司利用低温储运和阀门技术形成液氢阀门、航天液体燃料加注系统等产品，公司在互动平台明确上述产品已经对外销售，属于真实航天流体控制和发射地面保障配套，不是把普通LNG储罐简单想象为火箭产品。2025年低温储运应用设备收入13.4148亿元，LNG销售及运维服务9.1497亿元，重装设备7.3789亿元，装卸臂1.0124亿元；这些分部均未单独披露航天产品销售金额或商业航天占比，不能把LNG收入并入商业航天。由于已有实际销售但规模未拆且能源装备仍为主业，定为相关；旧笼统“火箭”标签改为燃料流体控制和地面保障概念。</t>
        </is>
      </c>
      <c r="J29" s="4" t="inlineStr">
        <is>
          <t>富瑞特装：公司已有液氢阀门、航天液体燃料加注系统等产品对外销售</t>
        </is>
      </c>
      <c r="K29" s="4" t="inlineStr">
        <is>
          <t>2026-06-30</t>
        </is>
      </c>
      <c r="L29" s="5" t="inlineStr">
        <is>
          <t>iFinD ifind_get_stock_info + ifind_get_stock_business_segmentation (as of 2026-10-27)；富瑞特装：公司已有液氢阀门、航天液体燃料加注系统等产品对外销售</t>
        </is>
      </c>
      <c r="M29" s="6" t="inlineStr">
        <is>
          <t>http://finance.eastmoney.com/a/202606303788497755.html</t>
        </is>
      </c>
    </row>
    <row r="30" ht="104" customHeight="1">
      <c r="B30" s="7" t="inlineStr">
        <is>
          <t>300322</t>
        </is>
      </c>
      <c r="C30" s="7" t="inlineStr">
        <is>
          <t>硕贝德</t>
        </is>
      </c>
      <c r="D30" s="8" t="inlineStr">
        <is>
          <t>商业航天：卫星</t>
        </is>
      </c>
      <c r="E30" s="7" t="inlineStr">
        <is>
          <t>纠错</t>
        </is>
      </c>
      <c r="F30" s="7" t="inlineStr">
        <is>
          <t>商业航天</t>
        </is>
      </c>
      <c r="G30" s="8" t="inlineStr">
        <is>
          <t>卫星通信终端与天线</t>
        </is>
      </c>
      <c r="H30" s="7" t="inlineStr">
        <is>
          <t>相关</t>
        </is>
      </c>
      <c r="I30" s="8" t="inlineStr">
        <is>
          <t>公司真实产品包括无线通信终端天线及模组，并已研发低轨卫星通信相控阵天线。2025年报明确卫通天线产品已有量产出货；公司还披露已收到低轨卫通天线量产订单，车用高轨卫通天线在2025年向国内头部客户交付超过10万只，证明存在实际客户和交付，而非“天线理论上可用于卫星”的泛化保留。2025年天线及模组收入14.3231亿元，占公司总营业收入27.7000亿元约51.71%，但该收入包含手机、汽车等多类天线，未独立拆分卫星通信收入。考虑量产交付真实、收入贡献未拆且消费电子等民品为主，定为相关，旧泛化“卫星”标签改为卫星通信终端与天线。</t>
        </is>
      </c>
      <c r="J30" s="7" t="inlineStr">
        <is>
          <t>硕贝德：2025年年度报告</t>
        </is>
      </c>
      <c r="K30" s="7" t="inlineStr">
        <is>
          <t>2026-04-22</t>
        </is>
      </c>
      <c r="L30" s="8" t="inlineStr">
        <is>
          <t>iFinD ifind_get_stock_info + ifind_get_stock_business_segmentation (as of 2026-10-27)；硕贝德：2025年年度报告</t>
        </is>
      </c>
      <c r="M30" s="9" t="inlineStr">
        <is>
          <t>https://static.cninfo.com.cn/finalpage/2026-04-22/1225150318.PDF</t>
        </is>
      </c>
    </row>
    <row r="31" ht="104" customHeight="1">
      <c r="B31" s="4" t="inlineStr">
        <is>
          <t>300342</t>
        </is>
      </c>
      <c r="C31" s="4" t="inlineStr">
        <is>
          <t>天银机电</t>
        </is>
      </c>
      <c r="D31" s="5" t="inlineStr">
        <is>
          <t>商业航天：spacex-潜在供应商</t>
        </is>
      </c>
      <c r="E31" s="4" t="inlineStr">
        <is>
          <t>纠错</t>
        </is>
      </c>
      <c r="F31" s="4" t="inlineStr">
        <is>
          <t>商业航天</t>
        </is>
      </c>
      <c r="G31" s="5" t="inlineStr">
        <is>
          <t>卫星平台与核心分系统</t>
        </is>
      </c>
      <c r="H31" s="4" t="inlineStr">
        <is>
          <t>相关</t>
        </is>
      </c>
      <c r="I31" s="5" t="inlineStr">
        <is>
          <t>公司通过子公司天银星际提供恒星敏感器、太阳敏感器等卫星姿态测量部件，星敏感器属于卫星姿态控制分系统的核心组成；2025年报称其恒星敏感器在国内商业卫星市场占据优势，天银星际销售额、订单量及净利润均明显提升，具备真实商业卫星配套和批量订单。2025年雷达与航天电子行业收入3.1537亿元，占38.4047%，但该分部还包含雷达及航天信息化装备，未独立拆分商业卫星星敏感器收入，家电配件收入仍为5.0580亿元。基于产品已规模化应用但商业收入未独立披露，定为相关；旧“spacex-潜在供应商”无实际供货证据，纠正为卫星平台姿态分系统概念。</t>
        </is>
      </c>
      <c r="J31" s="4" t="inlineStr">
        <is>
          <t>天银机电：2025年年度报告</t>
        </is>
      </c>
      <c r="K31" s="4" t="inlineStr">
        <is>
          <t>2026-04-10</t>
        </is>
      </c>
      <c r="L31" s="5" t="inlineStr">
        <is>
          <t>iFinD ifind_get_stock_info + ifind_get_stock_business_segmentation (as of 2026-10-27)；天银机电：2025年年度报告</t>
        </is>
      </c>
      <c r="M31" s="6" t="inlineStr">
        <is>
          <t>https://money.finance.sina.com.cn/corp/view/vCB_AllBulletinDetail.php?stockid=300342&amp;id=12072745</t>
        </is>
      </c>
    </row>
    <row r="32" ht="104" customHeight="1">
      <c r="B32" s="7" t="inlineStr">
        <is>
          <t>300416</t>
        </is>
      </c>
      <c r="C32" s="7" t="inlineStr">
        <is>
          <t>苏试试验</t>
        </is>
      </c>
      <c r="D32" s="8" t="inlineStr">
        <is>
          <t>商业航天：卫星</t>
        </is>
      </c>
      <c r="E32" s="7" t="inlineStr">
        <is>
          <t>纠错</t>
        </is>
      </c>
      <c r="F32" s="7" t="inlineStr">
        <is>
          <t>商业航天</t>
        </is>
      </c>
      <c r="G32" s="8" t="inlineStr">
        <is>
          <t>环境试验与检测服务</t>
        </is>
      </c>
      <c r="H32" s="7" t="inlineStr">
        <is>
          <t>相关</t>
        </is>
      </c>
      <c r="I32" s="8" t="inlineStr">
        <is>
          <t>公司实际提供力学、气候、综合及空间环境试验设备和可靠性试验服务，空间环境试验设备可模拟航天器及组件在轨道运行中的太阳辐照等环境，服务于航天器研制验证，产品与服务形态明确。2025年试验服务收入11.0603亿元、设备销售6.7437亿元；按客户行业划分，航空航天收入4.2633亿元，占18.9679%，但该口径同时包含航空与航天，也未进一步拆分商业航天客户及收入，因此不能将4.2633亿元全部认定为商业航天。考虑有真实航天试验产品与服务、但业务覆盖多行业且商业收入未拆，定为相关；旧泛化“卫星”标签纠正为环境试验与检测服务。</t>
        </is>
      </c>
      <c r="J32" s="7" t="inlineStr">
        <is>
          <t>苏试试验：2025年年度报告</t>
        </is>
      </c>
      <c r="K32" s="7" t="inlineStr">
        <is>
          <t>2026-03-27</t>
        </is>
      </c>
      <c r="L32" s="8" t="inlineStr">
        <is>
          <t>iFinD ifind_get_stock_info + ifind_get_stock_business_segmentation (as of 2026-10-27)；苏试试验：2025年年度报告</t>
        </is>
      </c>
      <c r="M32" s="9" t="inlineStr">
        <is>
          <t>http://static.cninfo.com.cn/finalpage/2026-03-27/1225035696.PDF</t>
        </is>
      </c>
    </row>
    <row r="33" ht="104" customHeight="1">
      <c r="B33" s="4" t="inlineStr">
        <is>
          <t>300433</t>
        </is>
      </c>
      <c r="C33" s="4" t="inlineStr">
        <is>
          <t>蓝思科技</t>
        </is>
      </c>
      <c r="D33" s="5" t="inlineStr">
        <is>
          <t>商业航天：spacex-潜在供应商-太阳能</t>
        </is>
      </c>
      <c r="E33" s="4" t="inlineStr">
        <is>
          <t>纠错</t>
        </is>
      </c>
      <c r="F33" s="4" t="inlineStr">
        <is>
          <t>商业航天</t>
        </is>
      </c>
      <c r="G33" s="5" t="inlineStr">
        <is>
          <t>卫星通信终端与天线</t>
        </is>
      </c>
      <c r="H33" s="4" t="inlineStr">
        <is>
          <t>相关</t>
        </is>
      </c>
      <c r="I33" s="5" t="inlineStr">
        <is>
          <t>公司并非仅把消费电子玻璃想象空间应用，2025年报明确在地面端已向头部商业航天客户批量出货地面接收器外观件和结构件模组，具体包括低介电防护玻璃屏幕、路由器结构件等；卫星端航天级UTG产品则仍应区分验证进展与批量收入。2025年智能手机与电脑类收入611.8420亿元，新能源汽车及智能座舱64.6166亿元，智能头显与穿戴39.7817亿元，商业航天未独立拆分收入，在744.0973亿元总收入中占比无法核定。基于地面终端部件已有批量交付但仍属新业务，定为相关；旧“SpaceX潜在供应商-太阳能”和太空光伏辅材未获实证，改为真实地面接收终端配套。</t>
        </is>
      </c>
      <c r="J33" s="4" t="inlineStr">
        <is>
          <t>蓝思科技：2025年年度报告摘要</t>
        </is>
      </c>
      <c r="K33" s="4" t="inlineStr">
        <is>
          <t>2026-03-31</t>
        </is>
      </c>
      <c r="L33" s="5" t="inlineStr">
        <is>
          <t>iFinD ifind_get_stock_info + ifind_get_stock_business_segmentation (as of 2026-10-27)；蓝思科技：2025年年度报告摘要</t>
        </is>
      </c>
      <c r="M33" s="6" t="inlineStr">
        <is>
          <t>http://static.cninfo.com.cn/finalpage/2026-03-31/1225061629.PDF</t>
        </is>
      </c>
    </row>
    <row r="34" ht="104" customHeight="1">
      <c r="B34" s="7" t="inlineStr">
        <is>
          <t>300445</t>
        </is>
      </c>
      <c r="C34" s="7" t="inlineStr">
        <is>
          <t>康斯特</t>
        </is>
      </c>
      <c r="D34" s="8" t="inlineStr">
        <is>
          <t>商业航天：spacex-潜在供应商</t>
        </is>
      </c>
      <c r="E34" s="7" t="inlineStr">
        <is>
          <t>纠错</t>
        </is>
      </c>
      <c r="F34" s="7" t="inlineStr">
        <is>
          <t>商业航天</t>
        </is>
      </c>
      <c r="G34" s="8" t="inlineStr">
        <is>
          <t>商业航天配套-通用零部件</t>
        </is>
      </c>
      <c r="H34" s="7" t="inlineStr">
        <is>
          <t>相关</t>
        </is>
      </c>
      <c r="I34" s="8" t="inlineStr">
        <is>
          <t>公司主营数字压力、温度和过程信号校准测试仪表。公司公告明确SpaceX为高端制造行业客户，2016年至2024年各年度实际采购校准测试产品，但各年订单金额较小、对业绩影响非常有限，因此不是单纯潜在供应预期；所供产品应按校准测试通用配套映射，而不能虚构为火箭核心部件。2025年仪器仪表制造收入5.5401亿元，占93.9470%，其中数字精密压力表4.2464亿元、温度自动检定系统0.9585亿元，SpaceX采购金额及2025年商业航天收入均未独立披露。基于实际供货但金额很小，定为相关；旧“已摘牌”结论纠正，同时不夸大客户重要性。</t>
        </is>
      </c>
      <c r="J34" s="7" t="inlineStr">
        <is>
          <t>康斯特：股票交易异常波动公告</t>
        </is>
      </c>
      <c r="K34" s="7" t="inlineStr">
        <is>
          <t>2025-12-15</t>
        </is>
      </c>
      <c r="L34" s="8" t="inlineStr">
        <is>
          <t>iFinD ifind_get_stock_info + ifind_get_stock_business_segmentation (as of 2026-10-27)；康斯特：股票交易异常波动公告</t>
        </is>
      </c>
      <c r="M34" s="9" t="inlineStr">
        <is>
          <t>https://www.cfi.net.cn/p20251215003291.html</t>
        </is>
      </c>
    </row>
    <row r="35" ht="104" customHeight="1">
      <c r="B35" s="4" t="inlineStr">
        <is>
          <t>300455</t>
        </is>
      </c>
      <c r="C35" s="4" t="inlineStr">
        <is>
          <t>航天智装</t>
        </is>
      </c>
      <c r="D35" s="5" t="inlineStr">
        <is>
          <t>商业航天：千帆星座</t>
        </is>
      </c>
      <c r="E35" s="4" t="inlineStr">
        <is>
          <t>纠错</t>
        </is>
      </c>
      <c r="F35" s="4" t="inlineStr">
        <is>
          <t>商业航天</t>
        </is>
      </c>
      <c r="G35" s="5" t="inlineStr">
        <is>
          <t>星载电子与核心元器件、卫星平台与核心分系统、航天电子与测控组件</t>
        </is>
      </c>
      <c r="H35" s="4" t="inlineStr">
        <is>
          <t>相关</t>
        </is>
      </c>
      <c r="I35" s="5" t="inlineStr">
        <is>
          <t>公司旗下相关业务提供处理器、存储器、微系统模块及控制部组件，用于航空航天复杂智能装备控制系统；智能测试仿真系统可在卫星研制过程中为星上产品和系统提供地面仿真测试，属于具体星载电子、控制分系统及测控组件，不是仅凭航天科技集团背景保留。2025年智能测试仿真系统和微系统与控制部组件合计收入4.9110亿元，占总收入11.1443亿元约44.07%，但该口径未拆分商业航天、其他航空航天及测试系统收入，不能把全部金额视为商业航天。基于真实产品已形成收入但商业部分未拆，定为相关；旧“千帆星座”“国家队”概念改为具体产品概念。</t>
        </is>
      </c>
      <c r="J35" s="4" t="inlineStr">
        <is>
          <t>航天智装：2025年年度报告摘要</t>
        </is>
      </c>
      <c r="K35" s="4" t="inlineStr">
        <is>
          <t>2026-03-28</t>
        </is>
      </c>
      <c r="L35" s="5" t="inlineStr">
        <is>
          <t>iFinD ifind_get_stock_info + ifind_get_stock_business_segmentation (as of 2026-10-27)；航天智装：2025年年度报告摘要</t>
        </is>
      </c>
      <c r="M35" s="6" t="inlineStr">
        <is>
          <t>https://vip.stock.finance.sina.com.cn/corp/view/vCB_AllBulletinDetail.php?stockid=300455&amp;id=12030834</t>
        </is>
      </c>
    </row>
    <row r="36" ht="104" customHeight="1">
      <c r="B36" s="7" t="inlineStr">
        <is>
          <t>300680</t>
        </is>
      </c>
      <c r="C36" s="7" t="inlineStr">
        <is>
          <t>隆盛科技</t>
        </is>
      </c>
      <c r="D36" s="8" t="inlineStr">
        <is>
          <t>商业航天：千帆星座</t>
        </is>
      </c>
      <c r="E36" s="7" t="inlineStr">
        <is>
          <t>纠错</t>
        </is>
      </c>
      <c r="F36" s="7" t="inlineStr">
        <is>
          <t>商业航天</t>
        </is>
      </c>
      <c r="G36" s="8" t="inlineStr">
        <is>
          <t>卫星结构与机构、卫星电源与太阳翼</t>
        </is>
      </c>
      <c r="H36" s="7" t="inlineStr">
        <is>
          <t>相关</t>
        </is>
      </c>
      <c r="I36" s="8" t="inlineStr">
        <is>
          <t>公司通过控股子公司微研中佳实际生产卫星太阳翼铰链、柔性太阳翼铰链、压紧释放机构、驱动组件、姿态控制机构和天线展开机构，直接用于卫星能源模块及结构控制；公司还披露已对吉利星座实现间接供应，具备真实星座配套事实。2025年精密机加工行业收入0.4576亿元，仅占1.7295%，且该口径还包含无人机等航空零部件，未独立拆分商业卫星收入；汽车零部件收入26.0016亿元、占98.2705%，仍是绝对主业。因此应定为相关而非核心。旧“千帆星座”无对应供货证据，现按真实太阳翼和机构产品纠正，不将机器人或军品收入混入。</t>
        </is>
      </c>
      <c r="J36" s="7" t="inlineStr">
        <is>
          <t>隆盛科技：2025年年度报告</t>
        </is>
      </c>
      <c r="K36" s="7" t="inlineStr">
        <is>
          <t>2026-04-28</t>
        </is>
      </c>
      <c r="L36" s="8" t="inlineStr">
        <is>
          <t>iFinD ifind_get_stock_info + ifind_get_stock_business_segmentation (as of 2026-10-27)；隆盛科技：2025年年度报告</t>
        </is>
      </c>
      <c r="M36" s="9" t="inlineStr">
        <is>
          <t>https://static.cninfo.com.cn/finalpage/2026-04-28/1225208080.PDF</t>
        </is>
      </c>
    </row>
    <row r="37" ht="104" customHeight="1">
      <c r="B37" s="4" t="inlineStr">
        <is>
          <t>300762</t>
        </is>
      </c>
      <c r="C37" s="4" t="inlineStr">
        <is>
          <t>上海瀚讯</t>
        </is>
      </c>
      <c r="D37" s="5" t="inlineStr">
        <is>
          <t>商业航天：千帆星座</t>
        </is>
      </c>
      <c r="E37" s="4" t="inlineStr">
        <is>
          <t>纠错</t>
        </is>
      </c>
      <c r="F37" s="4" t="inlineStr">
        <is>
          <t>商业航天</t>
        </is>
      </c>
      <c r="G37" s="5" t="inlineStr">
        <is>
          <t>卫星载荷-通信与转发、地面站与测运控、卫星通信终端与天线</t>
        </is>
      </c>
      <c r="H37" s="4" t="inlineStr">
        <is>
          <t>相关</t>
        </is>
      </c>
      <c r="I37" s="5" t="inlineStr">
        <is>
          <t>公司实际参与卫星互联网通信系统建设，产品包括低轨卫星通信载荷、地基基站、测试终端和一体化信关站。2025年报披露持续投入低轨卫星载荷系统及终端研发和生产环境建设，一体化信关站已完成研制和批产，并保障客户海外首局点建设，证明有真实产品研制、批产和项目交付。2025年宽带移动通信行业收入5.0181亿元，占99.8539%，其中宽带移动通信设备4.6189亿元，但该口径同时包含传统专网业务，未独立拆分商业航天收入，不能全部视为卫星互联网收入。考虑新业务已批产但贡献未拆，定为相关；旧“千帆星座”标签改为载荷、信关站与终端产品概念。</t>
        </is>
      </c>
      <c r="J37" s="4" t="inlineStr">
        <is>
          <t>上海瀚讯：2025年年度报告</t>
        </is>
      </c>
      <c r="K37" s="4" t="inlineStr">
        <is>
          <t>2026-04-28</t>
        </is>
      </c>
      <c r="L37" s="5" t="inlineStr">
        <is>
          <t>iFinD ifind_get_stock_info + ifind_get_stock_business_segmentation (as of 2026-10-27)；上海瀚讯：2025年年度报告</t>
        </is>
      </c>
      <c r="M37" s="6" t="inlineStr">
        <is>
          <t>http://static.cninfo.com.cn/finalpage/2026-04-28/1225205348.PDF</t>
        </is>
      </c>
    </row>
    <row r="38" ht="104" customHeight="1">
      <c r="B38" s="7" t="inlineStr">
        <is>
          <t>301005</t>
        </is>
      </c>
      <c r="C38" s="7" t="inlineStr">
        <is>
          <t>超捷股份</t>
        </is>
      </c>
      <c r="D38" s="8" t="inlineStr">
        <is>
          <t>商业航天：结构件</t>
        </is>
      </c>
      <c r="E38" s="7" t="inlineStr">
        <is>
          <t>纠错</t>
        </is>
      </c>
      <c r="F38" s="7" t="inlineStr">
        <is>
          <t>商业航天</t>
        </is>
      </c>
      <c r="G38" s="8" t="inlineStr">
        <is>
          <t>火箭结构与紧固件</t>
        </is>
      </c>
      <c r="H38" s="7" t="inlineStr">
        <is>
          <t>相关</t>
        </is>
      </c>
      <c r="I38" s="8" t="inlineStr">
        <is>
          <t>公司在商业航天领域的真实产品为商业火箭箭体结构件，包括壳段、尾段、整流罩等，并拓展航天紧固件；2025年报明确火箭结构件业务已形成正式合同订单，客户涵盖国内多家民营商业火箭企业，属于真实订单和交付，而非通用汽车紧固件可上火箭的联想。2025年航空航天收入0.6696亿元，占7.6166%，但该口径仍含航空零部件，商业火箭收入未独立拆分，且汽车行业收入7.0337亿元、占80.0050%，公司后续亦提示商业航天尚处小批量交付阶段。故定为相关，旧“结构件”细化为火箭结构与紧固件，旧SpaceX潜在供应说法不作为依据。</t>
        </is>
      </c>
      <c r="J38" s="7" t="inlineStr">
        <is>
          <t>超捷股份：2025年年度报告</t>
        </is>
      </c>
      <c r="K38" s="7" t="inlineStr">
        <is>
          <t>2026-04-21</t>
        </is>
      </c>
      <c r="L38" s="8" t="inlineStr">
        <is>
          <t>iFinD ifind_get_stock_info + ifind_get_stock_business_segmentation (as of 2026-10-27)；超捷股份：2025年年度报告</t>
        </is>
      </c>
      <c r="M38" s="9" t="inlineStr">
        <is>
          <t>https://static.cninfo.com.cn/finalpage/2026-04-21/1225126123.PDF</t>
        </is>
      </c>
    </row>
    <row r="39" ht="104" customHeight="1">
      <c r="B39" s="4" t="inlineStr">
        <is>
          <t>301306</t>
        </is>
      </c>
      <c r="C39" s="4" t="inlineStr">
        <is>
          <t>西测测试</t>
        </is>
      </c>
      <c r="D39" s="5" t="inlineStr">
        <is>
          <t>商业航天：卫星</t>
        </is>
      </c>
      <c r="E39" s="4" t="inlineStr">
        <is>
          <t>纠错</t>
        </is>
      </c>
      <c r="F39" s="4" t="inlineStr">
        <is>
          <t>商业航天</t>
        </is>
      </c>
      <c r="G39" s="5" t="inlineStr">
        <is>
          <t>环境试验与检测服务</t>
        </is>
      </c>
      <c r="H39" s="4" t="inlineStr">
        <is>
          <t>相关</t>
        </is>
      </c>
      <c r="I39" s="5" t="inlineStr">
        <is>
          <t>公司实际提供电子元器件检测筛选、电子装联、环境与可靠性试验及电磁兼容试验，可为卫星等航天电子产品在设计、定型和量产阶段提供热真空、热平衡、热循环等可靠性检测，属于真实第三方试验服务而非仅凭航空航天资质贴标签。2025年技术服务收入3.2134亿元，其中环境与可靠性试验1.7251亿元、电磁兼容试验0.4728亿元、元器件检测筛选0.2252亿元，但年报明确商业航天客户大量处于试产或研发阶段、相关业务仍在拓展，且上述收入还包含军用装备和民用飞机，未独立拆分商业航天收入，故只能列相关。旧“卫星”过宽，纠正为具体的环境试验与检测服务。</t>
        </is>
      </c>
      <c r="J39" s="4" t="inlineStr">
        <is>
          <t>西安西测测试技术股份有限公司2025年年度报告</t>
        </is>
      </c>
      <c r="K39" s="4" t="inlineStr">
        <is>
          <t>2026-04-28</t>
        </is>
      </c>
      <c r="L39" s="5" t="inlineStr">
        <is>
          <t>iFinD ifind_get_stock_info + ifind_get_stock_business_segmentation (as of 2026-10-27)；西安西测测试技术股份有限公司2025年年度报告</t>
        </is>
      </c>
      <c r="M39" s="6" t="inlineStr">
        <is>
          <t>http://disc.static.szse.cn/disc/disk03/finalpage/2026-04-28/e7ffc7a2-e0b9-4b08-8ff7-880d191bc0f4.PDF</t>
        </is>
      </c>
    </row>
    <row r="40" ht="104" customHeight="1">
      <c r="B40" s="7" t="inlineStr">
        <is>
          <t>301517</t>
        </is>
      </c>
      <c r="C40" s="7" t="inlineStr">
        <is>
          <t>陕西华达</t>
        </is>
      </c>
      <c r="D40" s="8" t="inlineStr">
        <is>
          <t>商业航天：千帆星座</t>
        </is>
      </c>
      <c r="E40" s="7" t="inlineStr">
        <is>
          <t>纠错</t>
        </is>
      </c>
      <c r="F40" s="7" t="inlineStr">
        <is>
          <t>商业航天</t>
        </is>
      </c>
      <c r="G40" s="8" t="inlineStr">
        <is>
          <t>星载电子与核心元器件</t>
        </is>
      </c>
      <c r="H40" s="7" t="inlineStr">
        <is>
          <t>相关</t>
        </is>
      </c>
      <c r="I40" s="8" t="inlineStr">
        <is>
          <t>公司真实产品是射频同轴连接器、低频连接器及射频电缆组件，高可靠电连接器与互连产品已用于高轨、低轨卫星和火箭等航天器；公司互动回复还确认给星网、千帆配套且商业航天订单已按客户要求交付，因而存在实际产品与交付，不是仅凭星座名称保留。2025年射频同轴连接器收入2.3820亿元、低频连接器1.4832亿元、射频电缆组件1.2691亿元，合计收入规模较大，但同时覆盖防务、通信及其他工业客户，商业航天收入未独立拆分，不能把这些收入全算作商业航天，故列相关。旧“千帆星座”只是项目标签，按产品实质纠正为星载电子与核心元器件。</t>
        </is>
      </c>
      <c r="J40" s="7" t="inlineStr">
        <is>
          <t>陕西华达：公司深度参与星网、千帆等航天项目</t>
        </is>
      </c>
      <c r="K40" s="7" t="inlineStr">
        <is>
          <t>2026-01-12</t>
        </is>
      </c>
      <c r="L40" s="8" t="inlineStr">
        <is>
          <t>iFinD ifind_get_stock_info + ifind_get_stock_business_segmentation (as of 2026-10-27)；陕西华达：公司深度参与星网、千帆等航天项目</t>
        </is>
      </c>
      <c r="M40" s="9" t="inlineStr">
        <is>
          <t>https://finance.ifeng.com/c/8pr8lIwmxoP</t>
        </is>
      </c>
    </row>
    <row r="41" ht="104" customHeight="1">
      <c r="B41" s="4" t="inlineStr">
        <is>
          <t>301522</t>
        </is>
      </c>
      <c r="C41" s="4" t="inlineStr">
        <is>
          <t>上大股份</t>
        </is>
      </c>
      <c r="D41" s="5" t="inlineStr">
        <is>
          <t>商业航天：火箭</t>
        </is>
      </c>
      <c r="E41" s="4" t="inlineStr">
        <is>
          <t>纠错</t>
        </is>
      </c>
      <c r="F41" s="4" t="inlineStr">
        <is>
          <t>商业航天</t>
        </is>
      </c>
      <c r="G41" s="5" t="inlineStr">
        <is>
          <t>航天材料与增材制造</t>
        </is>
      </c>
      <c r="H41" s="4" t="inlineStr">
        <is>
          <t>相关</t>
        </is>
      </c>
      <c r="I41" s="5" t="inlineStr">
        <is>
          <t>公司生产高温合金、超高纯不锈钢、耐蚀合金及超高强合金等特种合金，商业航天环节主要面向民营火箭客户提供发动机等所需高温合金材料，公开调研披露2025年商业航天业务预计为数千万元，且客户涵盖多家头部民营火箭企业，属于已有业务收入的材料配套而非“高温合金理论上可上天”。2025年高温及高性能合金收入12.9427亿元、高品质特种不锈钢10.1493亿元，总收入24.0744亿元；数千万元商业航天体量占总收入比例较低，年报也未把商业航天从航空航天、燃气轮机等应用中独立拆分，故列相关而非核心。旧“火箭”未说明材料属性，纠正为航天材料与增材制造。</t>
        </is>
      </c>
      <c r="J41" s="4" t="inlineStr">
        <is>
          <t>机构密集调研商业航天概念股！龙头11天7板</t>
        </is>
      </c>
      <c r="K41" s="4" t="inlineStr">
        <is>
          <t>2025-11-29</t>
        </is>
      </c>
      <c r="L41" s="5" t="inlineStr">
        <is>
          <t>iFinD ifind_get_stock_info + ifind_get_stock_business_segmentation (as of 2026-10-27)；机构密集调研商业航天概念股！龙头11天7板</t>
        </is>
      </c>
      <c r="M41" s="6" t="inlineStr">
        <is>
          <t>https://www.cls.cn/detail/2214838</t>
        </is>
      </c>
    </row>
    <row r="42" ht="104" customHeight="1">
      <c r="B42" s="7" t="inlineStr">
        <is>
          <t>600118</t>
        </is>
      </c>
      <c r="C42" s="7" t="inlineStr">
        <is>
          <t>中国卫星</t>
        </is>
      </c>
      <c r="D42" s="8" t="inlineStr">
        <is>
          <t>商业航天：卫星</t>
        </is>
      </c>
      <c r="E42" s="7" t="inlineStr">
        <is>
          <t>纠错</t>
        </is>
      </c>
      <c r="F42" s="7" t="inlineStr">
        <is>
          <t>商业航天</t>
        </is>
      </c>
      <c r="G42" s="8" t="inlineStr">
        <is>
          <t>卫星总体与制造、卫星平台与核心分系统、卫星数据与遥感应用</t>
        </is>
      </c>
      <c r="H42" s="7" t="inlineStr">
        <is>
          <t>核心</t>
        </is>
      </c>
      <c r="I42" s="8" t="inlineStr">
        <is>
          <t>公司主营卫星研制与卫星应用，真实业务覆盖小卫星及微小卫星总体设计、总装集成和测试，宇航部组件、地面系统集成，以及遥感、通信和导航等卫星应用产品与服务，具备从卫星总体到应用端的完整经营链条。2025年宇航制造及卫星应用收入60.4690亿元，占分部口径99.0817%，是绝对主业；年报还披露低毛利商业航天产品交付增长带动收入，说明商业航天已形成实际批量交付，而非依赖央企身份或“国家队”想象。虽然未单独披露商业航天收入，但主营与规模化交付依据充分，列核心。旧“卫星”“国家队”和误配的“太阳翼结构”应纠正为卫星总体、核心分系统及数据应用。</t>
        </is>
      </c>
      <c r="J42" s="7" t="inlineStr">
        <is>
          <t>中国东方红卫星股份有限公司2025年年度报告</t>
        </is>
      </c>
      <c r="K42" s="7" t="inlineStr">
        <is>
          <t>2026-03-31</t>
        </is>
      </c>
      <c r="L42" s="8" t="inlineStr">
        <is>
          <t>iFinD ifind_get_stock_info + ifind_get_stock_business_segmentation (as of 2026-10-27)；中国东方红卫星股份有限公司2025年年度报告</t>
        </is>
      </c>
      <c r="M42" s="9" t="inlineStr">
        <is>
          <t>http://file.finance.sina.com.cn/211.154.219.97:9494/MRGG/CNSESH_STOCK/2026/2026-3/2026-03-31/12038644.PDF</t>
        </is>
      </c>
    </row>
    <row r="43" ht="104" customHeight="1">
      <c r="B43" s="4" t="inlineStr">
        <is>
          <t>600343</t>
        </is>
      </c>
      <c r="C43" s="4" t="inlineStr">
        <is>
          <t>航天动力</t>
        </is>
      </c>
      <c r="D43" s="5" t="inlineStr">
        <is>
          <t>商业航天：国家队</t>
        </is>
      </c>
      <c r="E43" s="4" t="inlineStr">
        <is>
          <t>纠错</t>
        </is>
      </c>
      <c r="F43" s="4" t="inlineStr">
        <is>
          <t>商业航天</t>
        </is>
      </c>
      <c r="G43" s="5" t="inlineStr">
        <is>
          <t>商业航天配套-通用零部件</t>
        </is>
      </c>
      <c r="H43" s="4" t="inlineStr">
        <is>
          <t>相关</t>
        </is>
      </c>
      <c r="I43" s="5" t="inlineStr">
        <is>
          <t>公司主营泵及泵系统、液力传动系统、流体计量与通信系统等，主要服务能源、化工、水利和交通等民用领域，不能因航天六院背景就把通用泵阀认定为火箭核心动力。公司异动公告同时明确，主营业务不涉及商业航天、无相关对外投资，但存在少量配合加工火箭发动机零部件的实际业务，收入占比不足2%，因此不是完全无业务，也不足以保留核心。2025年泵及泵系统收入3.9311亿元、液力变矩器2.1554亿元，商业航天加工收入未单独列示且体量很小，故按真实低占比配套列相关。旧“国家队”“火箭”属于身份及产业链泛化，纠正为通用零部件加工。</t>
        </is>
      </c>
      <c r="J43" s="4" t="inlineStr">
        <is>
          <t>航天动力：公司主营业务不涉及商业航天</t>
        </is>
      </c>
      <c r="K43" s="4" t="inlineStr">
        <is>
          <t>2025-12-09</t>
        </is>
      </c>
      <c r="L43" s="5" t="inlineStr">
        <is>
          <t>iFinD ifind_get_stock_info + ifind_get_stock_business_segmentation (as of 2026-10-27)；航天动力：公司主营业务不涉及商业航天</t>
        </is>
      </c>
      <c r="M43" s="6" t="inlineStr">
        <is>
          <t>https://m.bjnews.com.cn/detail/1765275760129768.html</t>
        </is>
      </c>
    </row>
    <row r="44" ht="104" customHeight="1">
      <c r="B44" s="7" t="inlineStr">
        <is>
          <t>600345</t>
        </is>
      </c>
      <c r="C44" s="7" t="inlineStr">
        <is>
          <t>长江通信</t>
        </is>
      </c>
      <c r="D44" s="8" t="inlineStr">
        <is>
          <t>商业航天：千帆星座、光纤光缆</t>
        </is>
      </c>
      <c r="E44" s="7" t="inlineStr">
        <is>
          <t>纠错</t>
        </is>
      </c>
      <c r="F44" s="7" t="inlineStr">
        <is>
          <t>商业航天</t>
        </is>
      </c>
      <c r="G44" s="8" t="inlineStr">
        <is>
          <t>地面站与测运控、卫星互联网网络与系统</t>
        </is>
      </c>
      <c r="H44" s="7" t="inlineStr">
        <is>
          <t>相关</t>
        </is>
      </c>
      <c r="I44" s="8" t="inlineStr">
        <is>
          <t>公司通过迪爱斯等业务实际提供一体化信关站、低轨卫星通信网络管理及地面运控相关产品和系统，一体化信关站承担地面网与卫星网络连接，测运控系统串联地面中心和测控站；此前已中标上海垣信卫星地面站园区及信关站建设，属于真实项目交付而非光纤光缆概念外推。2025年系统集成收入9.2178亿元、运维与技术服务0.5542亿元，信息技术服务业合计9.9526亿元，但收入主体仍是公安、应急和城运指挥，卫星项目收入未独立拆分，故列相关。旧“千帆星座”“光纤光缆”和泛化“地面设备”混淆了项目与产品，应纠正为地面站测运控及卫星互联网系统。</t>
        </is>
      </c>
      <c r="J44" s="7" t="inlineStr">
        <is>
          <t>武汉长江通信产业集团股份有限公司2025年年度报告</t>
        </is>
      </c>
      <c r="K44" s="7" t="inlineStr">
        <is>
          <t>2026-04-28</t>
        </is>
      </c>
      <c r="L44" s="8" t="inlineStr">
        <is>
          <t>iFinD ifind_get_stock_info + ifind_get_stock_business_segmentation (as of 2026-10-27)；武汉长江通信产业集团股份有限公司2025年年度报告</t>
        </is>
      </c>
      <c r="M44" s="9" t="inlineStr">
        <is>
          <t>http://file.finance.sina.com.cn/211.154.219.97:9494/MRGG/CNSESH_STOCK/2026/2026-4/2026-04-28/12217505.PDF</t>
        </is>
      </c>
    </row>
    <row r="45" ht="104" customHeight="1">
      <c r="B45" s="4" t="inlineStr">
        <is>
          <t>600481</t>
        </is>
      </c>
      <c r="C45" s="4" t="inlineStr">
        <is>
          <t>双良节能</t>
        </is>
      </c>
      <c r="D45" s="5" t="inlineStr">
        <is>
          <t>商业航天：spacex-参股</t>
        </is>
      </c>
      <c r="E45" s="4" t="inlineStr">
        <is>
          <t>纠错</t>
        </is>
      </c>
      <c r="F45" s="4" t="inlineStr">
        <is>
          <t>商业航天</t>
        </is>
      </c>
      <c r="G45" s="5" t="inlineStr">
        <is>
          <t>发射场与地面保障</t>
        </is>
      </c>
      <c r="H45" s="4" t="inlineStr">
        <is>
          <t>相关</t>
        </is>
      </c>
      <c r="I45" s="5" t="inlineStr">
        <is>
          <t>公司实际取得三项海外高效换热器订单，共12台设备，用于SpaceX星舰发射基地扩建配套燃料生产系统，是通过国际工业气体企业参与项目的非独家间接供应商，并非与SpaceX直接签约；这属于已获订单的真实发射场地面配套，而非旧标签所写“spacex-参股”。三项订单签订于2025年10月25日及2026年1月9日，合计约170万欧元、折人民币1392.30万元，仅占2024年营收约0.11%；2025年节能节水装备收入27.2317亿元、光伏产品44.1988亿元，商业航天订单占比很低且未在2025分部单列，故只列相关。旧“参股”和“太空光伏设备”均无业务依据，应纠正为发射场与地面保障。</t>
        </is>
      </c>
      <c r="J45" s="4" t="inlineStr">
        <is>
          <t>双良节能：公司间接参与相关商业航天项目，未直接与SpaceX发生合作</t>
        </is>
      </c>
      <c r="K45" s="4" t="inlineStr">
        <is>
          <t>2026-02-12</t>
        </is>
      </c>
      <c r="L45" s="5" t="inlineStr">
        <is>
          <t>iFinD ifind_get_stock_info + ifind_get_stock_business_segmentation (as of 2026-10-27)；双良节能：公司间接参与相关商业航天项目，未直接与SpaceX发生合作</t>
        </is>
      </c>
      <c r="M45" s="6" t="inlineStr">
        <is>
          <t>https://www.jiemian.com/article/14011831.html</t>
        </is>
      </c>
    </row>
    <row r="46" ht="104" customHeight="1">
      <c r="B46" s="7" t="inlineStr">
        <is>
          <t>600501</t>
        </is>
      </c>
      <c r="C46" s="7" t="inlineStr">
        <is>
          <t>航天晨光</t>
        </is>
      </c>
      <c r="D46" s="8" t="inlineStr">
        <is>
          <t>商业航天：国家队</t>
        </is>
      </c>
      <c r="E46" s="7" t="inlineStr">
        <is>
          <t>纠错</t>
        </is>
      </c>
      <c r="F46" s="7" t="inlineStr">
        <is>
          <t>商业航天</t>
        </is>
      </c>
      <c r="G46" s="8" t="inlineStr">
        <is>
          <t>发射场与地面保障</t>
        </is>
      </c>
      <c r="H46" s="7" t="inlineStr">
        <is>
          <t>相关</t>
        </is>
      </c>
      <c r="I46" s="8" t="inlineStr">
        <is>
          <t>公司真实产品包括柔性管件、压力容器、特种装备和专用改装车，其中压力容器及管件可服务航天发射场流体保障；2025年报披露参与海南商业航天发射场二期、烟台东方航天港设备供应，说明存在明确项目与产品交付场景，不是依靠航天科工背景保留。2025年管类产品收入8.0157亿元、容器类6.1406亿元、改装车4.9821亿元、特种装备板块1.7159亿元，但这些板块还大量覆盖石化、核电、聚变、环卫和防务，商业航天收入未独立拆分，不能把板块收入全部归入商业航天，故列相关。旧“国家队”“火箭”及“航天特种装备”过宽，按应用纠正为发射场与地面保障，军工标签另行保留。</t>
        </is>
      </c>
      <c r="J46" s="7" t="inlineStr">
        <is>
          <t>航天晨光：2025年年度报告摘要</t>
        </is>
      </c>
      <c r="K46" s="7" t="inlineStr">
        <is>
          <t>2026-04-24</t>
        </is>
      </c>
      <c r="L46" s="8" t="inlineStr">
        <is>
          <t>iFinD ifind_get_stock_info + ifind_get_stock_business_segmentation (as of 2026-10-27)；航天晨光：2025年年度报告摘要</t>
        </is>
      </c>
      <c r="M46" s="9" t="inlineStr">
        <is>
          <t>https://vip.stock.finance.sina.com.cn/corp/view/vCB_AllBulletinDetail.php?stockid=600501&amp;id=12182209</t>
        </is>
      </c>
    </row>
    <row r="47" ht="104" customHeight="1">
      <c r="B47" s="4" t="inlineStr">
        <is>
          <t>600592</t>
        </is>
      </c>
      <c r="C47" s="4" t="inlineStr">
        <is>
          <t>龙溪股份</t>
        </is>
      </c>
      <c r="D47" s="5" t="inlineStr">
        <is>
          <t>商业航天：火箭</t>
        </is>
      </c>
      <c r="E47" s="4" t="inlineStr">
        <is>
          <t>纠错</t>
        </is>
      </c>
      <c r="F47" s="4" t="inlineStr">
        <is>
          <t>商业航天</t>
        </is>
      </c>
      <c r="G47" s="5" t="inlineStr">
        <is>
          <t>商业航天配套-通用零部件</t>
        </is>
      </c>
      <c r="H47" s="4" t="inlineStr">
        <is>
          <t>相关</t>
        </is>
      </c>
      <c r="I47" s="5" t="inlineStr">
        <is>
          <t>公司主营关节轴承、圆锥滚子轴承及齿轮箱，关节轴承确有航空航天配套基础；公司2026年投资者关系记录进一步确认产品涉及商业航天，但同时明确该领域产品营收占比极小、对经营影响有限，因此保留依据是已有产品配套而非市场传言中的大额订单。2025年轴承产品收入9.3956亿元、齿轮箱0.4255亿元、粉末冶金0.1368亿元，年报未单列商业航天收入，轴承收入还覆盖工程机械、重卡、航空及其他工业场景，绝不能把轴承主业全部算作火箭业务，故仅列相关。旧“火箭”过于笼统，也无可信的大规模核心收入支撑，按产品属性纠正为通用零部件配套。</t>
        </is>
      </c>
      <c r="J47" s="4" t="inlineStr">
        <is>
          <t>福建龙溪轴承（集团）股份有限公司投资者关系活动记录表</t>
        </is>
      </c>
      <c r="K47" s="4" t="inlineStr">
        <is>
          <t>2026-05-19</t>
        </is>
      </c>
      <c r="L47" s="5" t="inlineStr">
        <is>
          <t>iFinD ifind_get_stock_info + ifind_get_stock_business_segmentation (as of 2026-10-27)；福建龙溪轴承（集团）股份有限公司投资者关系活动记录表</t>
        </is>
      </c>
      <c r="M47" s="6" t="inlineStr">
        <is>
          <t>https://pdf.dfcfw.com/pdf/H22_AN202605191822444470_1.pdf</t>
        </is>
      </c>
    </row>
    <row r="48" ht="104" customHeight="1">
      <c r="B48" s="7" t="inlineStr">
        <is>
          <t>600775</t>
        </is>
      </c>
      <c r="C48" s="7" t="inlineStr">
        <is>
          <t>南京熊猫</t>
        </is>
      </c>
      <c r="D48" s="8" t="inlineStr">
        <is>
          <t>商业航天：卫星-地面设备</t>
        </is>
      </c>
      <c r="E48" s="7" t="inlineStr">
        <is>
          <t>纠错</t>
        </is>
      </c>
      <c r="F48" s="7" t="inlineStr">
        <is>
          <t>商业航天</t>
        </is>
      </c>
      <c r="G48" s="8" t="inlineStr">
        <is>
          <t>卫星通信终端与天线</t>
        </is>
      </c>
      <c r="H48" s="7" t="inlineStr">
        <is>
          <t>相关</t>
        </is>
      </c>
      <c r="I48" s="8" t="inlineStr">
        <is>
          <t>公司在无线专用通信方向真实开展低轨卫星互联网终端及相关产品研发，2025年报明确将该方向列为通信业务重点；后续公开信息还显示已形成低轨卫星SS频段测试终端小区搜索、多普勒频移算法等软件成果，属于具体终端研发活动而非智慧交通或平安城市业务的简单改名。2025年平安城市及通信设备收入1.9484亿元、智能交通5.4500亿元、电子制造产品11.3725亿元，卫星终端没有独立收入拆分，且仍处研发、测试和产业化前期，不能视为规模化核心产品，故列相关。旧“卫星-地面设备”范围过宽，按实际在研产品纠正为卫星通信终端与天线。</t>
        </is>
      </c>
      <c r="J48" s="7" t="inlineStr">
        <is>
          <t>南京熊猫电子股份有限公司2025年年度报告摘要</t>
        </is>
      </c>
      <c r="K48" s="7" t="inlineStr">
        <is>
          <t>2026-03-28</t>
        </is>
      </c>
      <c r="L48" s="8" t="inlineStr">
        <is>
          <t>iFinD ifind_get_stock_info + ifind_get_stock_business_segmentation (as of 2026-10-27)；南京熊猫电子股份有限公司2025年年度报告摘要</t>
        </is>
      </c>
      <c r="M48" s="9" t="inlineStr">
        <is>
          <t>https://static.cninfo.com.cn/finalpage/2026-03-28/1225047744.PDF</t>
        </is>
      </c>
    </row>
    <row r="49" ht="104" customHeight="1">
      <c r="B49" s="4" t="inlineStr">
        <is>
          <t>600879</t>
        </is>
      </c>
      <c r="C49" s="4" t="inlineStr">
        <is>
          <t>航天电子</t>
        </is>
      </c>
      <c r="D49" s="5" t="inlineStr">
        <is>
          <t>商业航天：卫星</t>
        </is>
      </c>
      <c r="E49" s="4" t="inlineStr">
        <is>
          <t>纠错</t>
        </is>
      </c>
      <c r="F49" s="4" t="inlineStr">
        <is>
          <t>商业航天</t>
        </is>
      </c>
      <c r="G49" s="5" t="inlineStr">
        <is>
          <t>航天电子与测控组件、星载电子与核心元器件、卫星载荷-通信与转发</t>
        </is>
      </c>
      <c r="H49" s="4" t="inlineStr">
        <is>
          <t>相关</t>
        </is>
      </c>
      <c r="I49" s="5" t="inlineStr">
        <is>
          <t>公司直接为运载火箭和航天器提供惯性导航、测控通信与网络信息、微电子、机电组件、传感系统及有效载荷等分系统、单机和元器件，旗下航天火箭公司具备测控系统、数据链和激光终端等商业航天相关产品与技术支持能力，真实产品足以保留商业航天相关标签。引用关系上，2025年年报用于核验航天配套产品收入92.7561亿元、占66.6832%，该口径主要混合传统航天重大工程和国防装备，不能全部归入商业航天，也不能据此直接证明商业航天核心地位；2025年12月15日发布的航天火箭公司增资公告用于核验商业航天业务表述，公告主要说明可为商业航天提供产品及技术支持、数据服务并积极融入商业航天，侧重能力建设和未来布局。增资公告与年报材料相互补充，但均未给出商业航天独立收入、明确商业客户批量交付或规模化商业订单。故由核心调整为相关，pairs继续保留“航天电子与测控组件”“星载电子与核心元器件”“卫星载荷-通信与转发”，不将传统航天和军品收入混入商业航天。</t>
        </is>
      </c>
      <c r="J49" s="4" t="inlineStr">
        <is>
          <t>航天时代电子技术股份有限公司关于对控股子公司航天长征火箭技术有限公司增资的关联交易公告</t>
        </is>
      </c>
      <c r="K49" s="4" t="inlineStr">
        <is>
          <t>2025-12-15</t>
        </is>
      </c>
      <c r="L49" s="5" t="inlineStr">
        <is>
          <t>iFinD ifind_get_stock_info + ifind_get_stock_business_segmentation (as of 2026-10-27)；航天时代电子技术股份有限公司关于对控股子公司航天长征火箭技术有限公司增资的关联交易公告</t>
        </is>
      </c>
      <c r="M49" s="6" t="inlineStr">
        <is>
          <t>https://data.eastmoney.com/notices/detail/600879/AN202512151801065533.html</t>
        </is>
      </c>
    </row>
    <row r="50" ht="104" customHeight="1">
      <c r="B50" s="7" t="inlineStr">
        <is>
          <t>600895</t>
        </is>
      </c>
      <c r="C50" s="7" t="inlineStr">
        <is>
          <t>张江高科</t>
        </is>
      </c>
      <c r="D50" s="8" t="inlineStr">
        <is>
          <t>商业航天：火箭</t>
        </is>
      </c>
      <c r="E50" s="7" t="inlineStr">
        <is>
          <t>纠错</t>
        </is>
      </c>
      <c r="F50" s="7" t="inlineStr">
        <is>
          <t>商业航天</t>
        </is>
      </c>
      <c r="G50" s="8" t="inlineStr">
        <is>
          <t>商业航天股权与产业投资</t>
        </is>
      </c>
      <c r="H50" s="7" t="inlineStr">
        <is>
          <t>相关</t>
        </is>
      </c>
      <c r="I50" s="8" t="inlineStr">
        <is>
          <t>公司本体主营科技园区空间载体、房产租赁与科技产业投资，并不研发或制造火箭；真实关联是通过参股张江燧锋基金向蓝箭航天投资1.5亿元，蓝箭航天从事液氧甲烷发动机和运载火箭研制及商业发射服务，属于可核验的间接产业投资。2025年公司产业空间载体收入41.5952亿元，占99.4687%，其中房地产29.8951亿元、房产租赁11.7001亿元，商业航天相关体现为长期股权投资及基金收益而非营业收入，未形成火箭产品收入，故只能列相关且不得列核心。旧“火箭”把被投企业业务误写成上市公司主营，应纠正为商业航天股权与产业投资，不能用单一概念替代其园区主业。</t>
        </is>
      </c>
      <c r="J50" s="7" t="inlineStr">
        <is>
          <t>张江高科：通过参股基金投资了蓝箭航天1.5亿人民币</t>
        </is>
      </c>
      <c r="K50" s="7" t="inlineStr">
        <is>
          <t>2026-01-08</t>
        </is>
      </c>
      <c r="L50" s="8" t="inlineStr">
        <is>
          <t>iFinD ifind_get_stock_info + ifind_get_stock_business_segmentation (as of 2026-10-27)；张江高科：通过参股基金投资了蓝箭航天1.5亿人民币</t>
        </is>
      </c>
      <c r="M50" s="9" t="inlineStr">
        <is>
          <t>https://www.cls.cn/detail/2251746</t>
        </is>
      </c>
    </row>
    <row r="51" ht="104" customHeight="1">
      <c r="B51" s="4" t="inlineStr">
        <is>
          <t>601698</t>
        </is>
      </c>
      <c r="C51" s="4" t="inlineStr">
        <is>
          <t>中国卫通</t>
        </is>
      </c>
      <c r="D51" s="5" t="inlineStr">
        <is>
          <t>商业航天：卫星</t>
        </is>
      </c>
      <c r="E51" s="4" t="inlineStr">
        <is>
          <t>纠错</t>
        </is>
      </c>
      <c r="F51" s="4" t="inlineStr">
        <is>
          <t>商业航天</t>
        </is>
      </c>
      <c r="G51" s="5" t="inlineStr">
        <is>
          <t>卫星运营与通信服务、卫星互联网网络与系统</t>
        </is>
      </c>
      <c r="H51" s="4" t="inlineStr">
        <is>
          <t>核心</t>
        </is>
      </c>
      <c r="I51" s="5" t="inlineStr">
        <is>
          <t>公司通过投资、建设并运营管理通信广播卫星及配套地面测控、监测系统，向广播电视、通信、视频和数据客户提供卫星空间段运营及综合信息服务，是直接持有和运营卫星基础设施的服务商，不是一般通信设备或集团背景概念。2025年广播电视和卫星传输服务收入26.4478亿元，分部占比100%，说明卫星运营就是全部主营及规模化收入来源，核心判定明确。公司服务同时覆盖传统广电、政企通信及新兴卫星互联网，年报未按商业与非商业客户另拆收入，因此不虚构商业航天独立金额，但不妨碍依据实际卫星运营主业列核心。旧“卫星”“国家队”过于宽泛，纠正为卫星运营与通信服务及卫星互联网网络系统。</t>
        </is>
      </c>
      <c r="J51" s="4" t="inlineStr">
        <is>
          <t>中国卫通集团股份有限公司2025年年度报告</t>
        </is>
      </c>
      <c r="K51" s="4" t="inlineStr">
        <is>
          <t>2026-04-01</t>
        </is>
      </c>
      <c r="L51" s="5" t="inlineStr">
        <is>
          <t>iFinD ifind_get_stock_info + ifind_get_stock_business_segmentation (as of 2026-10-27)；中国卫通集团股份有限公司2025年年度报告</t>
        </is>
      </c>
      <c r="M51" s="6" t="inlineStr">
        <is>
          <t>http://file.finance.sina.com.cn/211.154.219.97:9494/MRGG/CNSESH_STOCK/2026/2026-4/2026-04-01/12052643.PDF</t>
        </is>
      </c>
    </row>
    <row r="52" ht="104" customHeight="1">
      <c r="B52" s="7" t="inlineStr">
        <is>
          <t>603017</t>
        </is>
      </c>
      <c r="C52" s="7" t="inlineStr">
        <is>
          <t>中衡设计</t>
        </is>
      </c>
      <c r="D52" s="8" t="inlineStr">
        <is>
          <t>商业航天：火箭</t>
        </is>
      </c>
      <c r="E52" s="7" t="inlineStr">
        <is>
          <t>纠错</t>
        </is>
      </c>
      <c r="F52" s="7" t="inlineStr">
        <is>
          <t>商业航天</t>
        </is>
      </c>
      <c r="G52" s="8" t="inlineStr">
        <is>
          <t>商业航天股权与产业投资</t>
        </is>
      </c>
      <c r="H52" s="7" t="inlineStr">
        <is>
          <t>相关</t>
        </is>
      </c>
      <c r="I52" s="8" t="inlineStr">
        <is>
          <t>公司主营建筑设计咨询、工程总承包和项目管理，商业航天关联有两项真实事实：一是中标天兵科技、星际荣耀等火箭制造基地设计项目，二是以500万元天使轮投资火箭制造商致航科技，后续直接及控股子公司合计持股比例随增资变化，2025年报披露日直接持股1.75%。公司披露2025年1—9月商业航天相关项目累计确认收入占比约0.39%，说明工程设计虽已产生收入但占比很低，股权投资也不构成火箭制造收入，故只列相关。2025年设计咨询收入7.1339亿元、工程总承包2.4077亿元，不能把全部设计收入归入商业航天。旧“火箭”误把客户业务当主营，按最清晰的持有关系纠正为商业航天股权与产业投资。</t>
        </is>
      </c>
      <c r="J52" s="7" t="inlineStr">
        <is>
          <t>中衡设计：2025年1—9月商业航天相关项目累计确认收入占比约0.39%</t>
        </is>
      </c>
      <c r="K52" s="7" t="inlineStr">
        <is>
          <t>2026-01-12</t>
        </is>
      </c>
      <c r="L52" s="8" t="inlineStr">
        <is>
          <t>iFinD ifind_get_stock_info + ifind_get_stock_business_segmentation (as of 2026-10-27)；中衡设计：2025年1—9月商业航天相关项目累计确认收入占比约0.39%</t>
        </is>
      </c>
      <c r="M52" s="9" t="inlineStr">
        <is>
          <t>https://finance.ifeng.com/c/8prMeFmZ59v</t>
        </is>
      </c>
    </row>
    <row r="53" ht="104" customHeight="1">
      <c r="B53" s="4" t="inlineStr">
        <is>
          <t>603131</t>
        </is>
      </c>
      <c r="C53" s="4" t="inlineStr">
        <is>
          <t>上海沪工</t>
        </is>
      </c>
      <c r="D53" s="5" t="inlineStr">
        <is>
          <t>商业航天：卫星</t>
        </is>
      </c>
      <c r="E53" s="4" t="inlineStr">
        <is>
          <t>纠错</t>
        </is>
      </c>
      <c r="F53" s="4" t="inlineStr">
        <is>
          <t>商业航天</t>
        </is>
      </c>
      <c r="G53" s="5" t="inlineStr">
        <is>
          <t>卫星总体与制造、卫星平台与核心分系统</t>
        </is>
      </c>
      <c r="H53" s="4" t="inlineStr">
        <is>
          <t>相关</t>
        </is>
      </c>
      <c r="I53" s="5" t="inlineStr">
        <is>
          <t>公司除弧焊设备外，通过沪航卫星等主体开展商业卫星总装集成、航天产品核心部件设计制造及高端装备配套，具备真实的卫星总装和部组件业务，而不是焊接设备可服务航天的泛化逻辑。2025年高端装备配套业务收入0.4801亿元，约占总收入9.2292亿元的5.20%，且该板块仍亏损，收入较上年下降；同期弧焊设备收入6.7709亿元、自动化焊接切割成套设备1.7229亿元，焊割仍为绝对主业。高端装备配套也未全部独立拆成商业卫星收入，因此不能列核心，只能列相关。旧“卫星”过宽，按实际业务纠正为卫星总体与制造以及卫星平台核心分系统。</t>
        </is>
      </c>
      <c r="J53" s="4" t="inlineStr">
        <is>
          <t>上海沪工焊接集团股份有限公司2025年年度报告</t>
        </is>
      </c>
      <c r="K53" s="4" t="inlineStr">
        <is>
          <t>2026-04-22</t>
        </is>
      </c>
      <c r="L53" s="5" t="inlineStr">
        <is>
          <t>iFinD ifind_get_stock_info + ifind_get_stock_business_segmentation (as of 2026-10-27)；上海沪工焊接集团股份有限公司2025年年度报告</t>
        </is>
      </c>
      <c r="M53" s="6" t="inlineStr">
        <is>
          <t>http://static.cninfo.com.cn/finalpage/2026-04-22/1225137239.PDF</t>
        </is>
      </c>
    </row>
    <row r="54" ht="104" customHeight="1">
      <c r="B54" s="7" t="inlineStr">
        <is>
          <t>603211</t>
        </is>
      </c>
      <c r="C54" s="7" t="inlineStr">
        <is>
          <t>晋拓股份</t>
        </is>
      </c>
      <c r="D54" s="8" t="inlineStr">
        <is>
          <t>商业航天：spacex-参股-微波放大器-基站放大器</t>
        </is>
      </c>
      <c r="E54" s="7" t="inlineStr">
        <is>
          <t>纠错</t>
        </is>
      </c>
      <c r="F54" s="7" t="inlineStr">
        <is>
          <t>商业航天</t>
        </is>
      </c>
      <c r="G54" s="8" t="inlineStr">
        <is>
          <t>卫星通信终端与天线</t>
        </is>
      </c>
      <c r="H54" s="7" t="inlineStr">
        <is>
          <t>相关</t>
        </is>
      </c>
      <c r="I54" s="8" t="inlineStr">
        <is>
          <t>公司以铝合金精密压铸工艺生产汽车、工业及卫星通信零部件，2025年报将卫星通信零部件列为多元化产品结构之一，公司互动亦确认其为业务板块，说明存在实际产品而非单纯参股故事；按产品用途可对应卫星地面通信终端的微波放大器、基站放大器和滤波器等零部件。2025年汽车类零部件收入10.4592亿元、工业类零部件1.7766亿元、模具0.2986亿元，卫星通信零部件没有独立收入拆分，主业明显仍是汽车压铸件，故只列相关。公开回复未确认台扬科技供货及SpaceX链条，不能认定实际向SpaceX供货；旧“spacex-参股-微波放大器”同时混淆股权与供应关系，应纠正为终端配套产品。</t>
        </is>
      </c>
      <c r="J54" s="7" t="inlineStr">
        <is>
          <t>晋拓股份：2025年年度报告</t>
        </is>
      </c>
      <c r="K54" s="7" t="inlineStr">
        <is>
          <t>2026-04-23</t>
        </is>
      </c>
      <c r="L54" s="8" t="inlineStr">
        <is>
          <t>iFinD ifind_get_stock_info + ifind_get_stock_business_segmentation (as of 2026-10-27)；晋拓股份：2025年年度报告</t>
        </is>
      </c>
      <c r="M54" s="9" t="inlineStr">
        <is>
          <t>https://vip.stock.finance.sina.com.cn/corp/view/vCB_AllBulletinDetail.php?stockid=603211&amp;id=12140451</t>
        </is>
      </c>
    </row>
    <row r="55" ht="104" customHeight="1">
      <c r="B55" s="4" t="inlineStr">
        <is>
          <t>603267</t>
        </is>
      </c>
      <c r="C55" s="4" t="inlineStr">
        <is>
          <t>鸿远电子</t>
        </is>
      </c>
      <c r="D55" s="5" t="inlineStr">
        <is>
          <t>商业航天：千帆星座</t>
        </is>
      </c>
      <c r="E55" s="4" t="inlineStr">
        <is>
          <t>纠错</t>
        </is>
      </c>
      <c r="F55" s="4" t="inlineStr">
        <is>
          <t>商业航天</t>
        </is>
      </c>
      <c r="G55" s="5" t="inlineStr">
        <is>
          <t>星载电子与核心元器件</t>
        </is>
      </c>
      <c r="H55" s="4" t="inlineStr">
        <is>
          <t>相关</t>
        </is>
      </c>
      <c r="I55" s="5" t="inlineStr">
        <is>
          <t>公司自产高可靠多层瓷介电容器、滤波器、微波模块和集成电路等电子元器件，2025年报明确支架电容器、单层电容器进入某商业航天总体单位合格供应商体系，具有具体产品和商业客户准入依据，不是仅凭“千帆星座”或军用MLCC标签保留。2025年自产电子元器件收入10.8820亿元、代理产品6.9010亿元，其中高可靠瓷介电容器收入8.4626亿元，但自产收入还覆盖航空、兵器、船舶和其他高可靠领域，商业航天收入未独立拆分，进入合格供应商体系也不能等同全部批量收入，故由旧核心下调为相关。旧“千帆星座”是项目概念，按实质纠正为星载电子与核心元器件，军工标签独立。</t>
        </is>
      </c>
      <c r="J55" s="4" t="inlineStr">
        <is>
          <t>北京元六鸿远电子科技股份有限公司2025年年度报告</t>
        </is>
      </c>
      <c r="K55" s="4" t="inlineStr">
        <is>
          <t>2026-03-28</t>
        </is>
      </c>
      <c r="L55" s="5" t="inlineStr">
        <is>
          <t>iFinD ifind_get_stock_info + ifind_get_stock_business_segmentation (as of 2026-10-27)；北京元六鸿远电子科技股份有限公司2025年年度报告</t>
        </is>
      </c>
      <c r="M55" s="6" t="inlineStr">
        <is>
          <t>https://static.cninfo.com.cn/finalpage/2026-03-28/1225046338.PDF</t>
        </is>
      </c>
    </row>
    <row r="56" ht="104" customHeight="1">
      <c r="B56" s="7" t="inlineStr">
        <is>
          <t>603305</t>
        </is>
      </c>
      <c r="C56" s="7" t="inlineStr">
        <is>
          <t>旭升集团</t>
        </is>
      </c>
      <c r="D56" s="8" t="inlineStr">
        <is>
          <t>商业航天：spacex-供应商</t>
        </is>
      </c>
      <c r="E56" s="7" t="inlineStr">
        <is>
          <t>纠错</t>
        </is>
      </c>
      <c r="F56" s="7" t="inlineStr">
        <is>
          <t>商业航天</t>
        </is>
      </c>
      <c r="G56" s="8" t="inlineStr">
        <is>
          <t>卫星通信终端与天线</t>
        </is>
      </c>
      <c r="H56" s="7" t="inlineStr">
        <is>
          <t>相关</t>
        </is>
      </c>
      <c r="I56" s="8" t="inlineStr">
        <is>
          <t>公司掌握压铸、锻造和挤出等铝合金成型工艺，行业研究及供应链资料明确其已供应SpaceX星链地面接收终端的铝合金壳体、压铸件和支架，属于已实际供货的卫星地面终端结构件，而非新能源汽车轻量化能力向航天的潜在外推。2025年汽车类产品收入36.0801亿元、储能类5.6894亿元、模具类1.3286亿元，铝压铸行业收入43.9076亿元，年报未单独披露SpaceX或卫星终端收入，汽车与储能仍为主体，故只能列相关，不能据个别未经公司确认的收入传闻判核心。旧“spacex-供应商”未映射产品，纠正为卫星通信终端与天线；卫星散热件送样等潜在业务不作为保留依据。</t>
        </is>
      </c>
      <c r="J56" s="7" t="inlineStr">
        <is>
          <t>旭升集团深度跟踪报告：打造铝合金工艺平台，发展进入新篇章</t>
        </is>
      </c>
      <c r="K56" s="7" t="inlineStr">
        <is>
          <t>2023-12-18</t>
        </is>
      </c>
      <c r="L56" s="8" t="inlineStr">
        <is>
          <t>iFinD ifind_get_stock_info + ifind_get_stock_business_segmentation (as of 2026-10-27)；旭升集团深度跟踪报告：打造铝合金工艺平台，发展进入新篇章</t>
        </is>
      </c>
      <c r="M56" s="9" t="inlineStr">
        <is>
          <t>https://news.futunn.com/post/35574718/xusheng-group-603305-in-depth-tracking-report-building-an-aluminum</t>
        </is>
      </c>
    </row>
    <row r="57" ht="104" customHeight="1">
      <c r="B57" s="4" t="inlineStr">
        <is>
          <t>603601</t>
        </is>
      </c>
      <c r="C57" s="4" t="inlineStr">
        <is>
          <t>再升科技</t>
        </is>
      </c>
      <c r="D57" s="5" t="inlineStr">
        <is>
          <t>商业航天：spacex-参股</t>
        </is>
      </c>
      <c r="E57" s="4" t="inlineStr">
        <is>
          <t>纠错</t>
        </is>
      </c>
      <c r="F57" s="4" t="inlineStr">
        <is>
          <t>商业航天</t>
        </is>
      </c>
      <c r="G57" s="5" t="inlineStr">
        <is>
          <t>航天材料与增材制造</t>
        </is>
      </c>
      <c r="H57" s="4" t="inlineStr">
        <is>
          <t>相关</t>
        </is>
      </c>
      <c r="I57" s="5" t="inlineStr">
        <is>
          <t>公司真实产品是以微纤维玻璃棉为基础的干净空气材料和高效节能材料，其中高硅氧纤维产品用于航天隔热防护；公司公告核实自2020年起向国际某知名航天公司直接供应该产品，针对市场讨论的SpaceX供货事项作出回应，因此存在实际材料供货而非参股。2025年高效节能材料收入6.7058亿元、干净空气材料4.3641亿元、无尘空调1.4377亿元，但航空航天用高效节能材料收入仅约占总营收0.66%，其中该航天客户产品占比更低且暂无在手订单，故只能列相关。旧“spacex-参股”明显错误，应改为高硅氧纤维对应的航天材料与增材制造，不把半导体洁净室或普通滤材算入商业航天。</t>
        </is>
      </c>
      <c r="J57" s="4" t="inlineStr">
        <is>
          <t>再升科技：用于航空航天领域产品收入占比0.66%，高硅氧纤维产品暂无在手订单</t>
        </is>
      </c>
      <c r="K57" s="4" t="inlineStr">
        <is>
          <t>2026-05-28</t>
        </is>
      </c>
      <c r="L57" s="5" t="inlineStr">
        <is>
          <t>iFinD ifind_get_stock_info + ifind_get_stock_business_segmentation (as of 2026-10-27)；再升科技：用于航空航天领域产品收入占比0.66%，高硅氧纤维产品暂无在手订单</t>
        </is>
      </c>
      <c r="M57" s="6" t="inlineStr">
        <is>
          <t>https://stock.10jqka.com.cn/20260528/c677049029.shtml</t>
        </is>
      </c>
    </row>
    <row r="58" ht="104" customHeight="1">
      <c r="B58" s="7" t="inlineStr">
        <is>
          <t>603679</t>
        </is>
      </c>
      <c r="C58" s="7" t="inlineStr">
        <is>
          <t>华体科技</t>
        </is>
      </c>
      <c r="D58" s="8" t="inlineStr">
        <is>
          <t>商业航天：卫星</t>
        </is>
      </c>
      <c r="E58" s="7" t="inlineStr">
        <is>
          <t>纠错</t>
        </is>
      </c>
      <c r="F58" s="7" t="inlineStr">
        <is>
          <t>商业航天</t>
        </is>
      </c>
      <c r="G58" s="8" t="inlineStr">
        <is>
          <t>商业航天股权与产业投资</t>
        </is>
      </c>
      <c r="H58" s="7" t="inlineStr">
        <is>
          <t>相关</t>
        </is>
      </c>
      <c r="I58" s="8" t="inlineStr">
        <is>
          <t>公司本体主营城市照明方案、智慧路灯、光储超充和软件平台，2025年城市照明收入3.2787亿元、新能源收入1.3231亿元，未直接形成卫星制造或运营收入，公司也曾公告不直接涉及商业航天经营，因此旧“卫星”不能保留。另一方面，定期报告将眉山环天智慧科技股份有限公司列为联营企业，公开持股约12.96%，环天智慧从事遥感卫星星座运营及星地一体化智慧城市服务，属于真实参股关系，符合仅能列相关的股权类情形。故不能因直接业务澄清而完全摘除，也不能把被投企业卫星收入计入上市公司主营；应把旧“卫星”纠正为商业航天股权与产业投资，智慧灯杆和低空标签独立处理。</t>
        </is>
      </c>
      <c r="J58" s="7" t="inlineStr">
        <is>
          <t>四川华体照明科技股份有限公司2026年半年度报告</t>
        </is>
      </c>
      <c r="K58" s="7" t="inlineStr">
        <is>
          <t>2026-08-25</t>
        </is>
      </c>
      <c r="L58" s="8" t="inlineStr">
        <is>
          <t>iFinD ifind_get_stock_info + ifind_get_stock_business_segmentation (as of 2026-10-27)；四川华体照明科技股份有限公司2026年半年度报告</t>
        </is>
      </c>
      <c r="M58" s="9" t="inlineStr">
        <is>
          <t>https://vip.stock.finance.sina.com.cn/corp/view/vCB_AllBulletinDetail.php?stockid=603679&amp;id=12523408</t>
        </is>
      </c>
    </row>
    <row r="59" ht="104" customHeight="1">
      <c r="B59" s="4" t="inlineStr">
        <is>
          <t>603809</t>
        </is>
      </c>
      <c r="C59" s="4" t="inlineStr">
        <is>
          <t>豪能股份</t>
        </is>
      </c>
      <c r="D59" s="5" t="inlineStr">
        <is>
          <t>商业航天：火箭</t>
        </is>
      </c>
      <c r="E59" s="4" t="inlineStr">
        <is>
          <t>纠错</t>
        </is>
      </c>
      <c r="F59" s="4" t="inlineStr">
        <is>
          <t>商业航天</t>
        </is>
      </c>
      <c r="G59" s="5" t="inlineStr">
        <is>
          <t>火箭结构与紧固件、火箭推进与流体控制</t>
        </is>
      </c>
      <c r="H59" s="4" t="inlineStr">
        <is>
          <t>相关</t>
        </is>
      </c>
      <c r="I59" s="5" t="inlineStr">
        <is>
          <t>公司2025年航空零部件收入2.6308亿元、占营业收入9.7821%，主要对应军机、民机和无人机等业务，不能将其当作商业航天收入。引用关系上，2025年年报用于核验上述航空收入规模及商业航天收入未单列的财务边界；2026年1月12日发布的股票交易风险提示公告用于补充商业航天实际应用口径，公告明确航天零部件包括阀门和钣金等，部分产品已有应用于商业航天领域，但收入规模极小且对主营业务收入不构成重大影响，二者相互补充而非相互矛盾。2025年12月31日互动答复进一步列出高端特种阀门、管路、箭体结构钣金及连接件，与蓝箭等头部企业开展交流合作，部分项目完成定点。恢复商业航天标签的主要依据是公司公告明确已有商业航天应用及收入，而非仅凭交流或合作预期。鉴于商业航天收入极小、未单列，现阶段列相关而非核心；pairs设置为“火箭结构与紧固件”“火箭推进与流体控制”，不增加卫星结构与机构，本项不处理军工标签。</t>
        </is>
      </c>
      <c r="J59" s="4" t="inlineStr">
        <is>
          <t>成都豪能科技股份有限公司股票交易风险提示公告</t>
        </is>
      </c>
      <c r="K59" s="4" t="inlineStr">
        <is>
          <t>2026-01-12</t>
        </is>
      </c>
      <c r="L59" s="5" t="inlineStr">
        <is>
          <t>iFinD ifind_get_stock_info + ifind_get_stock_business_segmentation (as of 2026-10-27)；成都豪能科技股份有限公司股票交易风险提示公告</t>
        </is>
      </c>
      <c r="M59" s="6" t="inlineStr">
        <is>
          <t>https://data.eastmoney.com/notices/detail/603809/AN202601121816949364.html</t>
        </is>
      </c>
    </row>
    <row r="60" ht="104" customHeight="1">
      <c r="B60" s="7" t="inlineStr">
        <is>
          <t>605090</t>
        </is>
      </c>
      <c r="C60" s="7" t="inlineStr">
        <is>
          <t>九丰能源</t>
        </is>
      </c>
      <c r="D60" s="8" t="inlineStr">
        <is>
          <t>商业航天：火箭</t>
        </is>
      </c>
      <c r="E60" s="7" t="inlineStr">
        <is>
          <t>纠错</t>
        </is>
      </c>
      <c r="F60" s="7" t="inlineStr">
        <is>
          <t>商业航天</t>
        </is>
      </c>
      <c r="G60" s="8" t="inlineStr">
        <is>
          <t>发射场与地面保障</t>
        </is>
      </c>
      <c r="H60" s="7" t="inlineStr">
        <is>
          <t>相关</t>
        </is>
      </c>
      <c r="I60" s="8" t="inlineStr">
        <is>
          <t>海南商业航天发射场特燃特气一期已投运，2025年连续9次为发射提供液氢、液氧、液氮和氦气保障，属于发射场地面保障而非火箭制造。2025年特种气体收入1.4509亿元，占营业收入0.7158%，该口径还包含非航天业务，商业航天收入未独立拆分，不能据此认定主营或重要收入。因有明确投运设施和连续发射服务记录，保留为相关；将旧“火箭”纠正为“发射场与地面保障”，不把通用气体供应或央企属性作为核心依据。</t>
        </is>
      </c>
      <c r="J60" s="7" t="inlineStr">
        <is>
          <t>九丰能源：2025年年度报告</t>
        </is>
      </c>
      <c r="K60" s="7" t="inlineStr">
        <is>
          <t>2026-04-24</t>
        </is>
      </c>
      <c r="L60" s="8" t="inlineStr">
        <is>
          <t>iFinD ifind_get_stock_info + ifind_get_stock_business_segmentation (as of 2026-10-27)；九丰能源：2025年年度报告</t>
        </is>
      </c>
      <c r="M60" s="9" t="inlineStr">
        <is>
          <t>https://money.finance.sina.com.cn/corp/view/vCB_AllBulletinDetail.php?stockid=605090&amp;id=12159866</t>
        </is>
      </c>
    </row>
    <row r="61" ht="104" customHeight="1">
      <c r="B61" s="4" t="inlineStr">
        <is>
          <t>605123</t>
        </is>
      </c>
      <c r="C61" s="4" t="inlineStr">
        <is>
          <t>派克新材</t>
        </is>
      </c>
      <c r="D61" s="5" t="inlineStr">
        <is>
          <t>商业航天：spacex-潜在供应商</t>
        </is>
      </c>
      <c r="E61" s="4" t="inlineStr">
        <is>
          <t>纠错</t>
        </is>
      </c>
      <c r="F61" s="4" t="inlineStr">
        <is>
          <t>商业航天</t>
        </is>
      </c>
      <c r="G61" s="5" t="inlineStr">
        <is>
          <t>火箭结构与紧固件、火箭总体与动力、卫星结构与机构</t>
        </is>
      </c>
      <c r="H61" s="4" t="inlineStr">
        <is>
          <t>核心</t>
        </is>
      </c>
      <c r="I61" s="5" t="inlineStr">
        <is>
          <t>公司实际为蓝箭提供箭体结构件和发动机锻件，商业伙伴还包括星际荣耀、天兵、中科宇航等，产品直接进入商业火箭结构和动力系统，并具有锻件规模化制造属性。2025年航空航天锻件收入9.0409亿元，约占25.52%，商业航天未单独拆分，且该口径还含航空及其他航天业务，不能全部视为商业航天；但真实客户、明确产品和批量交付足以支持核心判定。旧“spacex-潜在供应商”没有可靠实际供货证据，改按国内已落地业务保留，并补充卫星结构相关概念。</t>
        </is>
      </c>
      <c r="J61" s="4" t="inlineStr">
        <is>
          <t>无锡派克新材料科技股份有限公司2025年年度报告</t>
        </is>
      </c>
      <c r="K61" s="4" t="inlineStr">
        <is>
          <t>2026-03-18</t>
        </is>
      </c>
      <c r="L61" s="5" t="inlineStr">
        <is>
          <t>iFinD ifind_get_stock_info + ifind_get_stock_business_segmentation (as of 2026-10-27)；无锡派克新材料科技股份有限公司2025年年度报告</t>
        </is>
      </c>
      <c r="M61" s="6" t="inlineStr">
        <is>
          <t>http://static.cninfo.com.cn/finalpage/2026-03-18/1225014158.PDF</t>
        </is>
      </c>
    </row>
    <row r="62" ht="104" customHeight="1">
      <c r="B62" s="7" t="inlineStr">
        <is>
          <t>688102</t>
        </is>
      </c>
      <c r="C62" s="7" t="inlineStr">
        <is>
          <t>斯瑞新材</t>
        </is>
      </c>
      <c r="D62" s="8" t="inlineStr">
        <is>
          <t>商业航天：spacex-供应商</t>
        </is>
      </c>
      <c r="E62" s="7" t="inlineStr">
        <is>
          <t>纠错</t>
        </is>
      </c>
      <c r="F62" s="7" t="inlineStr">
        <is>
          <t>商业航天</t>
        </is>
      </c>
      <c r="G62" s="8" t="inlineStr">
        <is>
          <t>火箭总体与动力、航天材料与增材制造</t>
        </is>
      </c>
      <c r="H62" s="7" t="inlineStr">
        <is>
          <t>相关</t>
        </is>
      </c>
      <c r="I62" s="8" t="inlineStr">
        <is>
          <t>公司液体火箭发动机推力室铜合金内壁已用于蓝箭、九州云箭、深蓝航天等客户，属于火箭发动机关键材料和部件，具备真实航天应用及客户基础。2025全年该业务收入未独立拆分，已披露的2025年上半年收入为2328.97万元，2024全年为3016.22万元，规模仍较小，尚不足以认定为主营或重要收入，因此判为相关而非核心。旧“spacex-供应商”未获实际供货证据，改按国内商业火箭客户和已验证产品纠正，不能以潜在供应关系保留。</t>
        </is>
      </c>
      <c r="J62" s="7" t="inlineStr">
        <is>
          <t>斯瑞新材：客户覆盖蓝箭航天、九州云箭等</t>
        </is>
      </c>
      <c r="K62" s="7" t="inlineStr">
        <is>
          <t>2025-12-18</t>
        </is>
      </c>
      <c r="L62" s="8" t="inlineStr">
        <is>
          <t>iFinD ifind_get_stock_info + ifind_get_stock_business_segmentation (as of 2026-10-27)；斯瑞新材：客户覆盖蓝箭航天、九州云箭等</t>
        </is>
      </c>
      <c r="M62" s="9" t="inlineStr">
        <is>
          <t>https://www.cls.cn/detail/2233677</t>
        </is>
      </c>
    </row>
    <row r="63" ht="104" customHeight="1">
      <c r="B63" s="4" t="inlineStr">
        <is>
          <t>688153</t>
        </is>
      </c>
      <c r="C63" s="4" t="inlineStr">
        <is>
          <t>唯捷创芯</t>
        </is>
      </c>
      <c r="D63" s="5" t="inlineStr">
        <is>
          <t>商业航天：卫星-地面设备</t>
        </is>
      </c>
      <c r="E63" s="4" t="inlineStr">
        <is>
          <t>纠错</t>
        </is>
      </c>
      <c r="F63" s="4" t="inlineStr">
        <is>
          <t>商业航天</t>
        </is>
      </c>
      <c r="G63" s="5" t="inlineStr">
        <is>
          <t>卫星通信终端与天线</t>
        </is>
      </c>
      <c r="H63" s="4" t="inlineStr">
        <is>
          <t>相关</t>
        </is>
      </c>
      <c r="I63" s="5" t="inlineStr">
        <is>
          <t>公司卫星通信射频前端模组用于智能手机、汽车等地面终端，并已进入头部手机厂商供应链，真实定位是卫星通信终端射频配套，而不是星载载荷或卫星制造。2025年射频功放模组收入18.923亿元、接收端模组收入4.1606亿元，但卫星通信模组收入未独立拆分，不能将上述全部收入归入商业航天，也无法证明其已达到重要收入比重，故判为相关。旧“卫星-地面设备”方向基本相符，现细化为“卫星通信终端与天线”，并明确终端与星载设备的边界。</t>
        </is>
      </c>
      <c r="J63" s="4" t="inlineStr">
        <is>
          <t>唯捷创芯：2025年年度报告</t>
        </is>
      </c>
      <c r="K63" s="4" t="inlineStr">
        <is>
          <t>2026-04-28</t>
        </is>
      </c>
      <c r="L63" s="5" t="inlineStr">
        <is>
          <t>iFinD ifind_get_stock_info + ifind_get_stock_business_segmentation (as of 2026-10-27)；唯捷创芯：2025年年度报告</t>
        </is>
      </c>
      <c r="M63" s="6" t="inlineStr">
        <is>
          <t>https://money.finance.sina.com.cn/corp/view/vCB_AllBulletinDetail.php?stockid=688153&amp;id=12218471</t>
        </is>
      </c>
    </row>
    <row r="64" ht="104" customHeight="1">
      <c r="B64" s="7" t="inlineStr">
        <is>
          <t>688311</t>
        </is>
      </c>
      <c r="C64" s="7" t="inlineStr">
        <is>
          <t>盟升电子</t>
        </is>
      </c>
      <c r="D64" s="8" t="inlineStr">
        <is>
          <t>商业航天：卫星-地面设备</t>
        </is>
      </c>
      <c r="E64" s="7" t="inlineStr">
        <is>
          <t>纠错</t>
        </is>
      </c>
      <c r="F64" s="7" t="inlineStr">
        <is>
          <t>商业航天</t>
        </is>
      </c>
      <c r="G64" s="8" t="inlineStr">
        <is>
          <t>卫星通信终端与天线</t>
        </is>
      </c>
      <c r="H64" s="7" t="inlineStr">
        <is>
          <t>核心</t>
        </is>
      </c>
      <c r="I64" s="8" t="inlineStr">
        <is>
          <t>公司卫星互联网相控阵天线及终端已实现多批次交付，面向卫星通信提供实际产品和服务，业务链条与商业卫星互联网的地面终端直接对应。2025年卫通系列收入0.7749亿元，占营业收入14.7576%，公司后续口径为占主营业务收入14.84%，已达到重要收入程度，因此判为核心。卫星导航收入4.4475亿元不应自动全部算作商业航天，也不在本项将军工收入混入。旧“卫星-地面设备”保留业务方向并标准化为“卫星通信终端与天线”，依据是已交付终端及其明确收入，而非概念联想。</t>
        </is>
      </c>
      <c r="J64" s="7" t="inlineStr">
        <is>
          <t>盟升电子：2025年度，公司卫星通信系列产品占主营业务收入14.84%</t>
        </is>
      </c>
      <c r="K64" s="7" t="inlineStr">
        <is>
          <t>2026-05-11</t>
        </is>
      </c>
      <c r="L64" s="8" t="inlineStr">
        <is>
          <t>iFinD ifind_get_stock_info + ifind_get_stock_business_segmentation (as of 2026-10-27)；盟升电子：2025年度，公司卫星通信系列产品占主营业务收入14.84%</t>
        </is>
      </c>
      <c r="M64" s="9" t="inlineStr">
        <is>
          <t>https://www.sohu.com/a/1021082996_639898</t>
        </is>
      </c>
    </row>
    <row r="65" ht="104" customHeight="1">
      <c r="B65" s="4" t="inlineStr">
        <is>
          <t>688333</t>
        </is>
      </c>
      <c r="C65" s="4" t="inlineStr">
        <is>
          <t>铂力特</t>
        </is>
      </c>
      <c r="D65" s="5" t="inlineStr">
        <is>
          <t>商业航天：spacex-潜在供应商</t>
        </is>
      </c>
      <c r="E65" s="4" t="inlineStr">
        <is>
          <t>纠错</t>
        </is>
      </c>
      <c r="F65" s="4" t="inlineStr">
        <is>
          <t>商业航天</t>
        </is>
      </c>
      <c r="G65" s="5" t="inlineStr">
        <is>
          <t>航天材料与增材制造、火箭结构与紧固件、火箭总体与动力</t>
        </is>
      </c>
      <c r="H65" s="4" t="inlineStr">
        <is>
          <t>核心</t>
        </is>
      </c>
      <c r="I65" s="5" t="inlineStr">
        <is>
          <t>公司以金属3D打印提供箭体结构、格栅舵和发动机零件等，已助力蓝箭、东方空间、九州云箭、星际荣耀等发射或飞行，多个商业航天项目进入批产，属于规模化核心制造能力。2025年航空航天收入8.8326亿元，占营业收入47.7009%，但该口径包含航空和军工，商业航天收入未独立拆分，不能把全部航空航天收入等同于商业航天；核心判断依据是明确产品和批量项目。旧“spacex-潜在供应商”删除，改按国内真实客户及增材制造产品保留。</t>
        </is>
      </c>
      <c r="J65" s="4" t="inlineStr">
        <is>
          <t>西安铂力特增材技术股份有限公司2025年年度报告</t>
        </is>
      </c>
      <c r="K65" s="4" t="inlineStr">
        <is>
          <t>2026-04-30</t>
        </is>
      </c>
      <c r="L65" s="5" t="inlineStr">
        <is>
          <t>iFinD ifind_get_stock_info + ifind_get_stock_business_segmentation (as of 2026-10-27)；西安铂力特增材技术股份有限公司2025年年度报告</t>
        </is>
      </c>
      <c r="M65" s="6" t="inlineStr">
        <is>
          <t>http://static.cninfo.com.cn/finalpage/2026-04-30/1225265594.PDF</t>
        </is>
      </c>
    </row>
    <row r="66" ht="104" customHeight="1">
      <c r="B66" s="7" t="inlineStr">
        <is>
          <t>688375</t>
        </is>
      </c>
      <c r="C66" s="7" t="inlineStr">
        <is>
          <t>国博电子</t>
        </is>
      </c>
      <c r="D66" s="8" t="inlineStr">
        <is>
          <t>商业航天：卫星-有效载荷</t>
        </is>
      </c>
      <c r="E66" s="7" t="inlineStr">
        <is>
          <t>纠错</t>
        </is>
      </c>
      <c r="F66" s="7" t="inlineStr">
        <is>
          <t>商业航天</t>
        </is>
      </c>
      <c r="G66" s="8" t="inlineStr">
        <is>
          <t>卫星载荷-通信与转发、星载电子与核心元器件</t>
        </is>
      </c>
      <c r="H66" s="7" t="inlineStr">
        <is>
          <t>核心</t>
        </is>
      </c>
      <c r="I66" s="8" t="inlineStr">
        <is>
          <t>公司多款低轨卫星及商业航天T/R组件已批量交付，并成为2025年主要收入来源之一，产品对应卫星通信载荷的收发和星载射频电子环节，具有明确批产证据。2025年T/R组件和射频模块合计收入21.0821亿元，约占88.36%，但其中还包括雷达等业务，商业航天收入未单列，不能将全部收入归入商业航天；核心依据是批量交付和主要收入来源表述。旧“卫星-有效载荷”保留并标准化为通信载荷及星载电子概念，军工雷达标签不在本项处理。</t>
        </is>
      </c>
      <c r="J66" s="7" t="inlineStr">
        <is>
          <t>南京国博电子股份有限公司2025年年度报告摘要</t>
        </is>
      </c>
      <c r="K66" s="7" t="inlineStr">
        <is>
          <t>2026-04-10</t>
        </is>
      </c>
      <c r="L66" s="8" t="inlineStr">
        <is>
          <t>iFinD ifind_get_stock_info + ifind_get_stock_business_segmentation (as of 2026-10-27)；南京国博电子股份有限公司2025年年度报告摘要</t>
        </is>
      </c>
      <c r="M66" s="9" t="inlineStr">
        <is>
          <t>https://static.cninfo.com.cn/finalpage/2026-04-10/1225090341.PDF</t>
        </is>
      </c>
    </row>
    <row r="67" ht="104" customHeight="1">
      <c r="B67" s="4" t="inlineStr">
        <is>
          <t>688387</t>
        </is>
      </c>
      <c r="C67" s="4" t="inlineStr">
        <is>
          <t>信科移动-U</t>
        </is>
      </c>
      <c r="D67" s="5" t="inlineStr">
        <is>
          <t>商业航天：卫星-有效载荷</t>
        </is>
      </c>
      <c r="E67" s="4" t="inlineStr">
        <is>
          <t>纠错</t>
        </is>
      </c>
      <c r="F67" s="4" t="inlineStr">
        <is>
          <t>商业航天</t>
        </is>
      </c>
      <c r="G67" s="5" t="inlineStr">
        <is>
          <t>卫星载荷-通信与转发、卫星互联网网络与系统、卫星通信终端与天线</t>
        </is>
      </c>
      <c r="H67" s="4" t="inlineStr">
        <is>
          <t>相关</t>
        </is>
      </c>
      <c r="I67" s="5" t="inlineStr">
        <is>
          <t>公司已布局星载基站、星载相控阵天线、地面信关站、核心网和专用终端，并实现商用落地，覆盖卫星互联网星载、网络和地面终端多个环节，属于真实产品与系统业务。2025年通信行业收入61.2722亿元，但卫星互联网业务仍处投入期，卫星收入未独立拆分，不能按通信行业总收入或产业前景认定核心，故判为相关。旧“卫星-有效载荷”过于狭窄，现按已披露的实际全链条扩展为星载通信、网络系统和终端天线，避免只保留单一载荷标签。</t>
        </is>
      </c>
      <c r="J67" s="4" t="inlineStr">
        <is>
          <t>中信科移动通信技术股份有限公司2025年年度报告</t>
        </is>
      </c>
      <c r="K67" s="4" t="inlineStr">
        <is>
          <t>2026-04-24</t>
        </is>
      </c>
      <c r="L67" s="5" t="inlineStr">
        <is>
          <t>iFinD ifind_get_stock_info + ifind_get_stock_business_segmentation (as of 2026-10-27)；中信科移动通信技术股份有限公司2025年年度报告</t>
        </is>
      </c>
      <c r="M67" s="6" t="inlineStr">
        <is>
          <t>http://dataclouds.cninfo.com.cn/shgonggao/hsomarket/2026/20260424/ded8f9db3b8349449cb838714e0ae304.PDF</t>
        </is>
      </c>
    </row>
    <row r="68" ht="104" customHeight="1">
      <c r="B68" s="7" t="inlineStr">
        <is>
          <t>688418</t>
        </is>
      </c>
      <c r="C68" s="7" t="inlineStr">
        <is>
          <t>震有科技</t>
        </is>
      </c>
      <c r="D68" s="8" t="inlineStr">
        <is>
          <t>商业航天：卫星-地面设备</t>
        </is>
      </c>
      <c r="E68" s="7" t="inlineStr">
        <is>
          <t>纠错</t>
        </is>
      </c>
      <c r="F68" s="7" t="inlineStr">
        <is>
          <t>商业航天</t>
        </is>
      </c>
      <c r="G68" s="8" t="inlineStr">
        <is>
          <t>卫星互联网网络与系统</t>
        </is>
      </c>
      <c r="H68" s="7" t="inlineStr">
        <is>
          <t>相关</t>
        </is>
      </c>
      <c r="I68" s="8" t="inlineStr">
        <is>
          <t>公司真实业务包括卫星核心网、星载核心网和星地融合系统，已有天通一号扩容等订单，提供的是卫星互联网网络控制与通信系统，而非单纯地面硬件。2025年核心网络系统收入1.3607亿元，但该口径同时包含地面公网和专网，卫星核心网收入未独立拆分，无法确认商业航天已达到重要收入比重，因此保留为相关。旧“卫星-地面设备”没有准确反映产品属性，现纠正为“卫星互联网网络与系统”；订单和系统落地是保留依据，不把一般通信网络收入全部算入商业航天。</t>
        </is>
      </c>
      <c r="J68" s="7" t="inlineStr">
        <is>
          <t>震有科技：2025年年度报告</t>
        </is>
      </c>
      <c r="K68" s="7" t="inlineStr">
        <is>
          <t>2026-04-24</t>
        </is>
      </c>
      <c r="L68" s="8" t="inlineStr">
        <is>
          <t>iFinD ifind_get_stock_info + ifind_get_stock_business_segmentation (as of 2026-10-27)；震有科技：2025年年度报告</t>
        </is>
      </c>
      <c r="M68" s="9" t="inlineStr">
        <is>
          <t>https://money.finance.sina.com.cn/corp/view/vCB_AllBulletinDetail.php?stockid=688418&amp;id=12171451</t>
        </is>
      </c>
    </row>
    <row r="69" ht="104" customHeight="1">
      <c r="B69" s="4" t="inlineStr">
        <is>
          <t>688523</t>
        </is>
      </c>
      <c r="C69" s="4" t="inlineStr">
        <is>
          <t>航天环宇</t>
        </is>
      </c>
      <c r="D69" s="5" t="inlineStr">
        <is>
          <t>商业航天：卫星-地面设备</t>
        </is>
      </c>
      <c r="E69" s="4" t="inlineStr">
        <is>
          <t>纠错</t>
        </is>
      </c>
      <c r="F69" s="4" t="inlineStr">
        <is>
          <t>商业航天</t>
        </is>
      </c>
      <c r="G69" s="5" t="inlineStr">
        <is>
          <t>卫星结构与机构、卫星电源与太阳翼、地面站与测运控</t>
        </is>
      </c>
      <c r="H69" s="4" t="inlineStr">
        <is>
          <t>核心</t>
        </is>
      </c>
      <c r="I69" s="5" t="inlineStr">
        <is>
          <t>公司实际提供星体结构、太阳翼基板、星载及地面站天线，以及卫星通信测控测试设备，覆盖卫星结构机构、太阳翼配套和地面测控环节，产品与卫星研制及运行直接相关。2025年宇航及通信产品收入1.8601亿元，约占40.6%，商业航天收入虽未单独拆分，但已形成较大规模的宇航及通信核心产品收入，符合核心判定。旧“卫星-地面设备、太阳翼结构”过于粗略，现拆分为“卫星结构与机构”“卫星电源与太阳翼”“地面站与测运控”，不把全部收入简单等同于商业航天。</t>
        </is>
      </c>
      <c r="J69" s="4" t="inlineStr">
        <is>
          <t>航天环宇：2025年年度报告</t>
        </is>
      </c>
      <c r="K69" s="4" t="inlineStr">
        <is>
          <t>2026-04-25</t>
        </is>
      </c>
      <c r="L69" s="5" t="inlineStr">
        <is>
          <t>iFinD ifind_get_stock_info + ifind_get_stock_business_segmentation (as of 2026-10-27)；航天环宇：2025年年度报告</t>
        </is>
      </c>
      <c r="M69" s="6" t="inlineStr">
        <is>
          <t>http://money.finance.sina.com.cn/corp/view/vCB_AllBulletinDetail.php?stockid=688523&amp;id=12192611</t>
        </is>
      </c>
    </row>
    <row r="70" ht="104" customHeight="1">
      <c r="B70" s="7" t="inlineStr">
        <is>
          <t>688539</t>
        </is>
      </c>
      <c r="C70" s="7" t="inlineStr">
        <is>
          <t>高华科技</t>
        </is>
      </c>
      <c r="D70" s="8" t="inlineStr">
        <is>
          <t>商业航天：火箭</t>
        </is>
      </c>
      <c r="E70" s="7" t="inlineStr">
        <is>
          <t>纠错</t>
        </is>
      </c>
      <c r="F70" s="7" t="inlineStr">
        <is>
          <t>商业航天</t>
        </is>
      </c>
      <c r="G70" s="8" t="inlineStr">
        <is>
          <t>航天电子与测控组件</t>
        </is>
      </c>
      <c r="H70" s="7" t="inlineStr">
        <is>
          <t>相关</t>
        </is>
      </c>
      <c r="I70" s="8" t="inlineStr">
        <is>
          <t>公司高可靠传感器、采编器、无线传感器和传感器网络可用于火箭发动机、遥测、地面测试及发射场，并已与蓝箭、中科宇航、星河动力、天兵等开展合作，具备明确的航天测控应用和客户基础。2025年高可靠传感器收入3.1699亿元、网络系统收入0.7183亿元、芯片收入0.0642亿元，但这些口径包含非商业航天应用，商业航天收入未独立拆分，不能全部归入，故判为相关。旧“火箭”表述过泛，现细化为“航天电子与测控组件”，保留真实产品而非按概念或合作想象升级。</t>
        </is>
      </c>
      <c r="J70" s="7" t="inlineStr">
        <is>
          <t>南京高华科技股份有限公司2025年年度报告</t>
        </is>
      </c>
      <c r="K70" s="7" t="inlineStr">
        <is>
          <t>2026-04-25</t>
        </is>
      </c>
      <c r="L70" s="8" t="inlineStr">
        <is>
          <t>iFinD ifind_get_stock_info + ifind_get_stock_business_segmentation (as of 2026-10-27)；南京高华科技股份有限公司2025年年度报告</t>
        </is>
      </c>
      <c r="M70" s="9" t="inlineStr">
        <is>
          <t>http://file.finance.sina.com.cn/211.154.219.97:9494/MRGG/CNSESH_STOCK/2026/2026-4/2026-04-25/12185274.PDF</t>
        </is>
      </c>
    </row>
    <row r="71" ht="104" customHeight="1">
      <c r="B71" s="4" t="inlineStr">
        <is>
          <t>688568</t>
        </is>
      </c>
      <c r="C71" s="4" t="inlineStr">
        <is>
          <t>中科星图</t>
        </is>
      </c>
      <c r="D71" s="5" t="inlineStr">
        <is>
          <t>商业航天：卫星</t>
        </is>
      </c>
      <c r="E71" s="4" t="inlineStr">
        <is>
          <t>纠错</t>
        </is>
      </c>
      <c r="F71" s="4" t="inlineStr">
        <is>
          <t>商业航天</t>
        </is>
      </c>
      <c r="G71" s="5" t="inlineStr">
        <is>
          <t>地面站与测运控、卫星数据与遥感应用</t>
        </is>
      </c>
      <c r="H71" s="4" t="inlineStr">
        <is>
          <t>核心</t>
        </is>
      </c>
      <c r="I71" s="5" t="inlineStr">
        <is>
          <t>公司以GEOVIS数字地球、商业航天电子装备、测运控和太空管理形成实际业务，既提供地面测运控系统，也提供卫星数据处理与遥感应用服务。2025年商业航天收入3.8329亿元，占营业收入14.3194%，为公司独立披露的重要收入，达到核心判定标准；另有民用地理信息收入14.5078亿元，不能全部算作商业航天。旧“卫星”标签过于宽泛，现按真实业务纠正为“地面站与测运控”和“卫星数据与遥感应用”，核心依据是独立收入披露及已有系统服务，而非泛化的卫星概念。</t>
        </is>
      </c>
      <c r="J71" s="4" t="inlineStr">
        <is>
          <t>中科星图：2025年年度报告</t>
        </is>
      </c>
      <c r="K71" s="4" t="inlineStr">
        <is>
          <t>2026-04-15</t>
        </is>
      </c>
      <c r="L71" s="5" t="inlineStr">
        <is>
          <t>iFinD ifind_get_stock_info + ifind_get_stock_business_segmentation (as of 2026-10-27)；中科星图：2025年年度报告</t>
        </is>
      </c>
      <c r="M71" s="6" t="inlineStr">
        <is>
          <t>http://money.finance.sina.com.cn/corp/view/vCB_AllBulletinDetail.php?stockid=688568&amp;id=12090946</t>
        </is>
      </c>
    </row>
    <row r="72" ht="104" customHeight="1">
      <c r="B72" s="7" t="inlineStr">
        <is>
          <t>688682</t>
        </is>
      </c>
      <c r="C72" s="7" t="inlineStr">
        <is>
          <t>霍莱沃</t>
        </is>
      </c>
      <c r="D72" s="8" t="inlineStr">
        <is>
          <t>商业航天：卫星-有效载荷</t>
        </is>
      </c>
      <c r="E72" s="7" t="inlineStr">
        <is>
          <t>纠错</t>
        </is>
      </c>
      <c r="F72" s="7" t="inlineStr">
        <is>
          <t>商业航天</t>
        </is>
      </c>
      <c r="G72" s="8" t="inlineStr">
        <is>
          <t>环境试验与检测服务</t>
        </is>
      </c>
      <c r="H72" s="7" t="inlineStr">
        <is>
          <t>相关</t>
        </is>
      </c>
      <c r="I72" s="8" t="inlineStr">
        <is>
          <t>公司实际提供卫星电磁测量、相控阵校准测量及仿真验证系统，服务于卫星和相控阵产品的测试验证，不是卫星载荷本体。2025年商业航天订单高速增长，电磁测量系统总收入2.6284亿元，但该收入还包括雷达等其他测试业务，商业卫星收入未独立拆分，无法证明商业航天已成为主营或重要收入，因此判为相关。旧“卫星-有效载荷”会误导为星载设备制造，现纠正为“环境试验与检测服务”；保留依据是明确测试系统和订单增长，而非把全部电磁测量收入归入商业航天。</t>
        </is>
      </c>
      <c r="J72" s="7" t="inlineStr">
        <is>
          <t>上海霍莱沃电子系统技术股份有限公司2025年年度报告</t>
        </is>
      </c>
      <c r="K72" s="7" t="inlineStr">
        <is>
          <t>2026-04-15</t>
        </is>
      </c>
      <c r="L72" s="8" t="inlineStr">
        <is>
          <t>iFinD ifind_get_stock_info + ifind_get_stock_business_segmentation (as of 2026-10-27)；上海霍莱沃电子系统技术股份有限公司2025年年度报告</t>
        </is>
      </c>
      <c r="M72" s="9" t="inlineStr">
        <is>
          <t>https://static.cninfo.com.cn/finalpage/2026-04-15/1225104146.PDF</t>
        </is>
      </c>
    </row>
    <row r="73" ht="104" customHeight="1">
      <c r="B73" s="4" t="inlineStr">
        <is>
          <t>688776</t>
        </is>
      </c>
      <c r="C73" s="4" t="inlineStr">
        <is>
          <t>国光电气</t>
        </is>
      </c>
      <c r="D73" s="5" t="inlineStr">
        <is>
          <t>商业航天：卫星-有效载荷</t>
        </is>
      </c>
      <c r="E73" s="4" t="inlineStr">
        <is>
          <t>纠错</t>
        </is>
      </c>
      <c r="F73" s="4" t="inlineStr">
        <is>
          <t>商业航天</t>
        </is>
      </c>
      <c r="G73" s="5" t="inlineStr">
        <is>
          <t>卫星平台与核心分系统、卫星载荷-通信与转发</t>
        </is>
      </c>
      <c r="H73" s="4" t="inlineStr">
        <is>
          <t>相关</t>
        </is>
      </c>
      <c r="I73" s="5" t="inlineStr">
        <is>
          <t>公司霍尔电推进器空心阴极等核心部件已在商业航天小卫星领域小批量销售，空间行波管可用于卫星通信，分别对应卫星平台电推进分系统和通信载荷。2025年微波器件收入1.5093亿元，占营业收入54.5964%，但主要按军工电子披露，商业航天收入未独立拆分，且相关部件仍是小批量，不能将军品收入全部算成商业航天，故由旧核心降为相关。旧“卫星-有效载荷”覆盖不全，现补充“卫星平台与核心分系统”，保留真实产品和销售证据，不以军品或央企属性替代商业航天判断。</t>
        </is>
      </c>
      <c r="J73" s="4" t="inlineStr">
        <is>
          <t>成都国光电气股份有限公司关于2025年年报问询回复的公告</t>
        </is>
      </c>
      <c r="K73" s="4" t="inlineStr">
        <is>
          <t>2026-07-16</t>
        </is>
      </c>
      <c r="L73" s="5" t="inlineStr">
        <is>
          <t>iFinD ifind_get_stock_info + ifind_get_stock_business_segmentation (as of 2026-10-27)；成都国光电气股份有限公司关于2025年年报问询回复的公告</t>
        </is>
      </c>
      <c r="M73" s="6" t="inlineStr">
        <is>
          <t>https://static.cninfo.com.cn/finalpage/2026-07-16/1225426833.PDF</t>
        </is>
      </c>
    </row>
    <row r="74" ht="104" customHeight="1">
      <c r="B74" s="7" t="inlineStr">
        <is>
          <t>920116</t>
        </is>
      </c>
      <c r="C74" s="7" t="inlineStr">
        <is>
          <t>星图测控</t>
        </is>
      </c>
      <c r="D74" s="8" t="inlineStr">
        <is>
          <t>商业航天：卫星-地面设备（测运控）</t>
        </is>
      </c>
      <c r="E74" s="7" t="inlineStr">
        <is>
          <t>纠错</t>
        </is>
      </c>
      <c r="F74" s="7" t="inlineStr">
        <is>
          <t>商业航天</t>
        </is>
      </c>
      <c r="G74" s="8" t="inlineStr">
        <is>
          <t>地面站与测运控</t>
        </is>
      </c>
      <c r="H74" s="7" t="inlineStr">
        <is>
          <t>核心</t>
        </is>
      </c>
      <c r="I74" s="8" t="inlineStr">
        <is>
          <t>公司洞察者系列提供航天测控管理、数字仿真、太空态势感知和卫星在轨服务，直接服务卫星及商业航天器的地面测运控和在轨管理。2025年技术开发与服务收入2.4532亿元、系统集成收入0.4415亿元、测控地面系统收入0.1742亿元、软件收入0.1435亿元，其中商业航天收入约1.25亿元、约占40%，已形成重要收入规模，因此判为核心。旧“卫星-地面设备（测运控）”保留业务实质并标准化为“地面站与测运控”，依据是明确产品、服务和商业航天收入，而不是将所有软件或系统集成收入泛化为航天。</t>
        </is>
      </c>
      <c r="J74" s="7" t="inlineStr">
        <is>
          <t>星图测控：2025年年度报告</t>
        </is>
      </c>
      <c r="K74" s="7" t="inlineStr">
        <is>
          <t>2026-03-20</t>
        </is>
      </c>
      <c r="L74" s="8" t="inlineStr">
        <is>
          <t>iFinD ifind_get_stock_info + ifind_get_stock_business_segmentation (as of 2026-10-27)；星图测控：2025年年度报告</t>
        </is>
      </c>
      <c r="M74" s="9" t="inlineStr">
        <is>
          <t>http://vip.stock.finance.sina.com.cn/corp/view/vCB_AllBulletinDetail.php?stockid=920116&amp;id=12009108</t>
        </is>
      </c>
    </row>
    <row r="75" ht="104" customHeight="1">
      <c r="B75" s="4" t="inlineStr">
        <is>
          <t>920169</t>
        </is>
      </c>
      <c r="C75" s="4" t="inlineStr">
        <is>
          <t>七丰精工</t>
        </is>
      </c>
      <c r="D75" s="5" t="inlineStr">
        <is>
          <t>商业航天：火箭-紧固件</t>
        </is>
      </c>
      <c r="E75" s="4" t="inlineStr">
        <is>
          <t>纠错</t>
        </is>
      </c>
      <c r="F75" s="4" t="inlineStr">
        <is>
          <t>商业航天</t>
        </is>
      </c>
      <c r="G75" s="5" t="inlineStr">
        <is>
          <t>火箭结构与紧固件</t>
        </is>
      </c>
      <c r="H75" s="4" t="inlineStr">
        <is>
          <t>相关</t>
        </is>
      </c>
      <c r="I75" s="5" t="inlineStr">
        <is>
          <t>公司为蓝箭航天提供标准紧固件和定制紧固件，是其合格供应商，并获得2025年蓝箭服务之星，存在明确客户、产品和供货关系，产品可归入火箭结构紧固配套。2025年紧固件收入1.9001亿元，但还包括轨道交通、航空等领域，商业火箭收入未独立拆分，无法确认商业航天已达到重要收入比重，因此判为相关而非核心。旧“火箭-紧固件”保留正确方向并标准化为“火箭结构与紧固件”，不采用传闻中的SpaceX或千帆供货关系，也不因供应商身份夸大收入贡献。</t>
        </is>
      </c>
      <c r="J75" s="4" t="inlineStr">
        <is>
          <t>七丰精工：为蓝箭航天提供标准紧固件和定制紧固件</t>
        </is>
      </c>
      <c r="K75" s="4" t="inlineStr">
        <is>
          <t>2026-08-19</t>
        </is>
      </c>
      <c r="L75" s="5" t="inlineStr">
        <is>
          <t>iFinD ifind_get_stock_info + ifind_get_stock_business_segmentation (as of 2026-10-27)；七丰精工：为蓝箭航天提供标准紧固件和定制紧固件</t>
        </is>
      </c>
      <c r="M75" s="6" t="inlineStr">
        <is>
          <t>https://news.10jqka.com.cn/20260819/c679079636.shtml</t>
        </is>
      </c>
    </row>
    <row r="76" ht="104" customHeight="1">
      <c r="B76" s="7" t="inlineStr">
        <is>
          <t>920640</t>
        </is>
      </c>
      <c r="C76" s="7" t="inlineStr">
        <is>
          <t>富士达</t>
        </is>
      </c>
      <c r="D76" s="8" t="inlineStr">
        <is>
          <t>商业航天：卫星-有效载荷</t>
        </is>
      </c>
      <c r="E76" s="7" t="inlineStr">
        <is>
          <t>纠错</t>
        </is>
      </c>
      <c r="F76" s="7" t="inlineStr">
        <is>
          <t>商业航天</t>
        </is>
      </c>
      <c r="G76" s="8" t="inlineStr">
        <is>
          <t>星载电子与核心元器件</t>
        </is>
      </c>
      <c r="H76" s="7" t="inlineStr">
        <is>
          <t>相关</t>
        </is>
      </c>
      <c r="I76" s="8" t="inlineStr">
        <is>
          <t>公司射频同轴连接器、电缆组件、微波器件和天线阵面可用于低轨商业卫星，并已有商业卫星批量订单，真实定位是星载射频互连和核心元器件配套。2025年电缆组件收入4.7855亿元、连接器收入3.9122亿元，但防务、宇航和民用通信业务混合，商业航天收入未独立拆分，不能据此认定主营或重要收入，故由旧核心降为相关。旧“卫星-有效载荷”不够准确，现纠正为“星载电子与核心元器件”；保留依据是实际批量订单和产品，而不是仅凭千帆概念或潜在供应关系。</t>
        </is>
      </c>
      <c r="J76" s="7" t="inlineStr">
        <is>
          <t>富士达：2025年年度报告</t>
        </is>
      </c>
      <c r="K76" s="7" t="inlineStr">
        <is>
          <t>2026-03-27</t>
        </is>
      </c>
      <c r="L76" s="8" t="inlineStr">
        <is>
          <t>iFinD ifind_get_stock_info + ifind_get_stock_business_segmentation (as of 2026-10-27)；富士达：2025年年度报告</t>
        </is>
      </c>
      <c r="M76" s="9" t="inlineStr">
        <is>
          <t>http://vip.stock.finance.sina.com.cn/corp/view/vCB_AllBulletinDetail.php?stockid=920640&amp;id=12029879</t>
        </is>
      </c>
    </row>
    <row r="77" ht="104" customHeight="1">
      <c r="B77" s="4" t="inlineStr">
        <is>
          <t>002512</t>
        </is>
      </c>
      <c r="C77" s="4" t="inlineStr">
        <is>
          <t>达华智能</t>
        </is>
      </c>
      <c r="D77" s="5" t="inlineStr">
        <is>
          <t>商业航天：卫星</t>
        </is>
      </c>
      <c r="E77" s="4" t="inlineStr">
        <is>
          <t>纠错</t>
        </is>
      </c>
      <c r="F77" s="4" t="inlineStr">
        <is>
          <t>商业航天</t>
        </is>
      </c>
      <c r="G77" s="5" t="inlineStr">
        <is>
          <t>卫星通信终端与天线、卫星运营与通信服务</t>
        </is>
      </c>
      <c r="H77" s="4" t="inlineStr">
        <is>
          <t>相关</t>
        </is>
      </c>
      <c r="I77" s="5" t="inlineStr">
        <is>
          <t>公司自主规模化生产卫星终端，面向海洋、陆地和应急场景提供“卫星+”方案及卫星通信运营服务，具备真实终端产品和运营服务链条。2025年电视机主板及机顶盒收入15.5024亿元、系统集成收入2.4760亿元，卫星终端和卫星运营收入未独立拆分，无法证明商业航天已构成重要收入，因此判为相关而非核心。旧“卫星”标签过于笼统，现细化为“卫星通信终端与天线”和“卫星运营与通信服务”，同时不把电视机主板、一般系统集成或概念规划收入直接归入商业航天。</t>
        </is>
      </c>
      <c r="J77" s="4" t="inlineStr">
        <is>
          <t>福州达华智能科技股份有限公司2025年年度报告摘要</t>
        </is>
      </c>
      <c r="K77" s="4" t="inlineStr">
        <is>
          <t>2026-04-29</t>
        </is>
      </c>
      <c r="L77" s="5" t="inlineStr">
        <is>
          <t>iFinD ifind_get_stock_info + ifind_get_stock_business_segmentation (as of 2026-10-27)；福州达华智能科技股份有限公司2025年年度报告摘要</t>
        </is>
      </c>
      <c r="M77" s="6" t="inlineStr">
        <is>
          <t>http://static.cninfo.com.cn/finalpage/2026-04-29/1225244645.PDF</t>
        </is>
      </c>
    </row>
    <row r="78" ht="104" customHeight="1">
      <c r="B78" s="7" t="inlineStr">
        <is>
          <t>688066</t>
        </is>
      </c>
      <c r="C78" s="7" t="inlineStr">
        <is>
          <t>航天宏图</t>
        </is>
      </c>
      <c r="D78" s="8" t="inlineStr">
        <is>
          <t>商业航天：卫星</t>
        </is>
      </c>
      <c r="E78" s="7" t="inlineStr">
        <is>
          <t>纠错</t>
        </is>
      </c>
      <c r="F78" s="7" t="inlineStr">
        <is>
          <t>商业航天</t>
        </is>
      </c>
      <c r="G78" s="8" t="inlineStr">
        <is>
          <t>卫星数据与遥感应用</t>
        </is>
      </c>
      <c r="H78" s="7" t="inlineStr">
        <is>
          <t>核心</t>
        </is>
      </c>
      <c r="I78" s="8" t="inlineStr">
        <is>
          <t>公司以PIE软件、系统设计开发、遥感数据分析和女娲星座运营形成主营业务，直接提供卫星数据处理、遥感应用和星座运营服务，商业航天业务与主营收入高度对应。2025年卫星应用收入4.4781亿元，占营业收入100%，其中数据分析应用收入1.8592亿元、系统设计开发收入2.5859亿元，收入规模和产品闭环均支持核心判定。旧“卫星”标签过于宽泛，现纠正为“卫星数据与遥感应用”，明确公司优势在数据软件、应用和运营，不将其泛化为卫星总体制造或火箭业务。</t>
        </is>
      </c>
      <c r="J78" s="7" t="inlineStr">
        <is>
          <t>航天宏图信息技术股份有限公司2025年年度报告</t>
        </is>
      </c>
      <c r="K78" s="7" t="inlineStr">
        <is>
          <t>2026-04-30</t>
        </is>
      </c>
      <c r="L78" s="8" t="inlineStr">
        <is>
          <t>iFinD ifind_get_stock_info + ifind_get_stock_business_segmentation (as of 2026-10-27)；航天宏图信息技术股份有限公司2025年年度报告</t>
        </is>
      </c>
      <c r="M78" s="9" t="inlineStr">
        <is>
          <t>https://static.cninfo.com.cn/finalpage/2026-04-30/1225265967.PDF</t>
        </is>
      </c>
    </row>
  </sheetData>
  <autoFilter ref="B4:M78"/>
  <mergeCells count="2">
    <mergeCell ref="B3:M3"/>
    <mergeCell ref="B2:M2"/>
  </mergeCells>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B2:M2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40" customWidth="1" min="4" max="4"/>
    <col width="10" customWidth="1" min="5" max="5"/>
    <col width="16" customWidth="1" min="6" max="6"/>
    <col width="60" customWidth="1" min="7" max="7"/>
    <col width="10" customWidth="1" min="8" max="8"/>
    <col width="125" customWidth="1" min="9" max="9"/>
    <col width="52" customWidth="1" min="10" max="10"/>
    <col width="14" customWidth="1" min="11" max="11"/>
    <col width="62" customWidth="1" min="12" max="12"/>
    <col width="82" customWidth="1" min="13" max="13"/>
  </cols>
  <sheetData>
    <row r="2" ht="32" customHeight="1">
      <c r="B2" s="1" t="inlineStr">
        <is>
          <t>摘除清单 · 16只证据不足或业务错标</t>
        </is>
      </c>
    </row>
    <row r="3">
      <c r="B3" s="2" t="inlineStr">
        <is>
          <t>通用产品潜在用途、央企背景、SpaceX预期、太空光伏设备及未决投资不直接计入商业航天。</t>
        </is>
      </c>
    </row>
    <row r="4">
      <c r="B4" s="3" t="inlineStr">
        <is>
          <t>代码</t>
        </is>
      </c>
      <c r="C4" s="3" t="inlineStr">
        <is>
          <t>名称</t>
        </is>
      </c>
      <c r="D4" s="3" t="inlineStr">
        <is>
          <t>旧商业航天概念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104" customHeight="1">
      <c r="B5" s="4" t="inlineStr">
        <is>
          <t>001379</t>
        </is>
      </c>
      <c r="C5" s="4" t="inlineStr">
        <is>
          <t>腾达科技</t>
        </is>
      </c>
      <c r="D5" s="5" t="inlineStr">
        <is>
          <t>商业航天：火箭</t>
        </is>
      </c>
      <c r="E5" s="4" t="inlineStr">
        <is>
          <t>摘除</t>
        </is>
      </c>
      <c r="F5" s="4" t="inlineStr">
        <is>
          <t>—</t>
        </is>
      </c>
      <c r="G5" s="5" t="inlineStr">
        <is>
          <t>—</t>
        </is>
      </c>
      <c r="H5" s="4" t="inlineStr">
        <is>
          <t>摘除</t>
        </is>
      </c>
      <c r="I5" s="5" t="inlineStr">
        <is>
          <t>公司实际产品是不锈钢螺栓、螺母、螺杆、垫圈等通用紧固件，主要面向通用工业和民用市场。2025年紧固件行业收入18.6918亿元，螺栓、螺母和螺杆分别为10.8206亿元、3.5936亿元和1.8476亿元，未披露商业航天或火箭收入，也没有独立可辨认的航天客户收入。公司在互动答复中明确表示暂未直接与航空航天领域客户开展合作，这直接否定了把潜在用途当成现实供应关系的做法。不锈钢紧固件在物理上可能用于火箭，并不等于公司已经进入火箭供应链，更不存在可核验的型号配套、订单或批量交付。因此旧“火箭、相关”属于通用产品可上天的推断，必须摘除，不能以未来潜在客户或行业想象空间保留。</t>
        </is>
      </c>
      <c r="J5" s="4" t="inlineStr">
        <is>
          <t>腾达科技：关于航空航天领域合作的互动答复</t>
        </is>
      </c>
      <c r="K5" s="4" t="inlineStr">
        <is>
          <t>2025-06-10</t>
        </is>
      </c>
      <c r="L5" s="5" t="inlineStr">
        <is>
          <t>iFinD ifind_get_stock_info + ifind_get_stock_business_segmentation (as of 2026-10-27)；腾达科技：关于航空航天领域合作的互动答复</t>
        </is>
      </c>
      <c r="M5" s="6" t="inlineStr">
        <is>
          <t>https://news.10jqka.com.cn/20250610/c668774689.shtml</t>
        </is>
      </c>
    </row>
    <row r="6" ht="104" customHeight="1">
      <c r="B6" s="7" t="inlineStr">
        <is>
          <t>002088</t>
        </is>
      </c>
      <c r="C6" s="7" t="inlineStr">
        <is>
          <t>鲁阳节能</t>
        </is>
      </c>
      <c r="D6" s="8" t="inlineStr">
        <is>
          <t>商业航天：spacex-供应商-陶瓷纤维</t>
        </is>
      </c>
      <c r="E6" s="7" t="inlineStr">
        <is>
          <t>摘除</t>
        </is>
      </c>
      <c r="F6" s="7" t="inlineStr">
        <is>
          <t>—</t>
        </is>
      </c>
      <c r="G6" s="8" t="inlineStr">
        <is>
          <t>—</t>
        </is>
      </c>
      <c r="H6" s="7" t="inlineStr">
        <is>
          <t>摘除</t>
        </is>
      </c>
      <c r="I6" s="8" t="inlineStr">
        <is>
          <t>公司的真实业务是陶瓷纤维棉、毯、湿法制品及相关耐火保温材料，主要服务石化、冶金、电力等工业炉窑的保温、耐火和防火场景。2025年陶瓷纤维制品收入22.1704亿元，工业收入24.7183亿元，年报没有披露卫星、火箭、发射场或商业航天客户收入，也没有可核验的SpaceX订单、认证、供货合同或批量交付。陶瓷纤维具备耐热性能，只能说明材料存在潜在用途，不能由此推出已经向SpaceX供应；本次检索亦未找到公司正式披露能够证实旧标签所指供应关系。因此旧“spacex-供应商-陶瓷纤维”是未经证实的客户映射，商业航天收入占比更无从确认，应整体摘除，而不是改写成泛化航天材料标签继续保留。</t>
        </is>
      </c>
      <c r="J6" s="7" t="inlineStr">
        <is>
          <t>鲁阳节能：2025年年度报告</t>
        </is>
      </c>
      <c r="K6" s="7" t="inlineStr">
        <is>
          <t>2026-04-29</t>
        </is>
      </c>
      <c r="L6" s="8" t="inlineStr">
        <is>
          <t>iFinD ifind_get_stock_info + ifind_get_stock_business_segmentation (as of 2026-10-27)；鲁阳节能：2025年年度报告</t>
        </is>
      </c>
      <c r="M6" s="9" t="inlineStr">
        <is>
          <t>https://vip.stock.finance.sina.com.cn/corp/view/vCB_AllBulletinDetail.php?stockid=002088&amp;id=12267359</t>
        </is>
      </c>
    </row>
    <row r="7" ht="104" customHeight="1">
      <c r="B7" s="4" t="inlineStr">
        <is>
          <t>002131</t>
        </is>
      </c>
      <c r="C7" s="4" t="inlineStr">
        <is>
          <t>利欧股份</t>
        </is>
      </c>
      <c r="D7" s="5" t="inlineStr">
        <is>
          <t>商业航天：spacex</t>
        </is>
      </c>
      <c r="E7" s="4" t="inlineStr">
        <is>
          <t>摘除</t>
        </is>
      </c>
      <c r="F7" s="4" t="inlineStr">
        <is>
          <t>—</t>
        </is>
      </c>
      <c r="G7" s="5" t="inlineStr">
        <is>
          <t>—</t>
        </is>
      </c>
      <c r="H7" s="4" t="inlineStr">
        <is>
          <t>摘除</t>
        </is>
      </c>
      <c r="I7" s="5" t="inlineStr">
        <is>
          <t>公司主营仍是泵业和数字营销，2025年互联网收入156.6083亿元、制造业收入43.2403亿元，没有商业航天产品、服务或经营收入。旧“spacex”标签对应子公司曾出资5000万美元认购TBCA基金LP份额的间接投资路径，但基金方退款后双方进入诉讼；公司2026年5月15日投资者关系口径明确案件仍在进展中，法院尚未作出终局裁决，后续公开答复亦未见确权交割完成。因此目前不能把争议中的间接投资权益当作真实持有SpaceX股权，更不能按所谓终局胜诉传闻计算持股比例或估值。由于真实参股这一保留前提尚未成立，本次予以摘除而非列为“商业航天股权与产业投资”；若未来正式公告生效裁决和份额交割，再据新证据复核。</t>
        </is>
      </c>
      <c r="J7" s="4" t="inlineStr">
        <is>
          <t>利欧股份：2026年5月15日投资者关系活动记录表相关公开报道</t>
        </is>
      </c>
      <c r="K7" s="4" t="inlineStr">
        <is>
          <t>2026-05-19</t>
        </is>
      </c>
      <c r="L7" s="5" t="inlineStr">
        <is>
          <t>iFinD ifind_get_stock_info + ifind_get_stock_business_segmentation (as of 2026-10-27)；利欧股份：2026年5月15日投资者关系活动记录表相关公开报道</t>
        </is>
      </c>
      <c r="M7" s="6" t="inlineStr">
        <is>
          <t>https://finance.eastmoney.com/a/202605193742316659.html</t>
        </is>
      </c>
    </row>
    <row r="8" ht="104" customHeight="1">
      <c r="B8" s="7" t="inlineStr">
        <is>
          <t>002245</t>
        </is>
      </c>
      <c r="C8" s="7" t="inlineStr">
        <is>
          <t>蔚蓝锂芯</t>
        </is>
      </c>
      <c r="D8" s="8" t="inlineStr">
        <is>
          <t>商业航天：spacex-供应商</t>
        </is>
      </c>
      <c r="E8" s="7" t="inlineStr">
        <is>
          <t>摘除</t>
        </is>
      </c>
      <c r="F8" s="7" t="inlineStr">
        <is>
          <t>—</t>
        </is>
      </c>
      <c r="G8" s="8" t="inlineStr">
        <is>
          <t>—</t>
        </is>
      </c>
      <c r="H8" s="7" t="inlineStr">
        <is>
          <t>摘除</t>
        </is>
      </c>
      <c r="I8" s="8" t="inlineStr">
        <is>
          <t>公司主营业务为锂电池、LED和金属物流配送，2025年对应收入分别为35.9658亿元、15.8385亿元和26.0514亿元，未披露卫星、火箭或商业航天收入。针对市场流传的SpaceX供应关系，公司明确表示没有直接为卫星、火箭供应锂电池，仅披露为台湾能元科技提供代工；即使能元科技自身进入低轨卫星客户体系，也不能跳过实际产品流向和客户确认，直接推定蔚蓝锂芯产品已经供给SpaceX。现有证据既不能证明直接供货，也不能证明代工产品最终用于特定火箭或卫星型号，更谈不上可量化收入占比。因此旧“spacex-供应商”及“潜在供应商”均属于客户链条外推，应摘除，而不能借锂电池通用可上天属性改写保留。</t>
        </is>
      </c>
      <c r="J8" s="7" t="inlineStr">
        <is>
          <t>蔚蓝锂芯：关于卫星火箭及SpaceX供货问题的互动答复</t>
        </is>
      </c>
      <c r="K8" s="7" t="inlineStr">
        <is>
          <t>2025-12-31</t>
        </is>
      </c>
      <c r="L8" s="8" t="inlineStr">
        <is>
          <t>iFinD ifind_get_stock_info + ifind_get_stock_business_segmentation (as of 2026-10-27)；蔚蓝锂芯：关于卫星火箭及SpaceX供货问题的互动答复</t>
        </is>
      </c>
      <c r="M8" s="9" t="inlineStr">
        <is>
          <t>https://stock.stockstar.com/QA/companyto_2166706805235126272.html</t>
        </is>
      </c>
    </row>
    <row r="9" ht="104" customHeight="1">
      <c r="B9" s="4" t="inlineStr">
        <is>
          <t>002796</t>
        </is>
      </c>
      <c r="C9" s="4" t="inlineStr">
        <is>
          <t>世嘉科技</t>
        </is>
      </c>
      <c r="D9" s="5" t="inlineStr">
        <is>
          <t>商业航天：卫星</t>
        </is>
      </c>
      <c r="E9" s="4" t="inlineStr">
        <is>
          <t>摘除</t>
        </is>
      </c>
      <c r="F9" s="4" t="inlineStr">
        <is>
          <t>—</t>
        </is>
      </c>
      <c r="G9" s="5" t="inlineStr">
        <is>
          <t>—</t>
        </is>
      </c>
      <c r="H9" s="4" t="inlineStr">
        <is>
          <t>摘除</t>
        </is>
      </c>
      <c r="I9" s="5" t="inlineStr">
        <is>
          <t>公司实际产品为4G、5G宏基站天线、滤波器等射频器件，以及电梯轿厢、专用设备箱体和精密金属结构件。2025年天线收入1.4891亿元、射频器件收入3.0215亿元，增长主要来自5G天线业务；年报未披露卫星通信终端、星载天线、卫星订单、商业航天客户或运营服务，相关收入占比也无独立口径。天地一体化和6G是行业技术演进方向，不能替代公司已经取得卫星订单或交付产品的证据，普通地面基站天线和滤波器也不能因未来可能支持6G就直接归入商业航天。因此旧“卫星、边缘”缺少现实业务支撑，应予摘除，而不是改写成卫星通信终端或星载射频标签继续保留。</t>
        </is>
      </c>
      <c r="J9" s="4" t="inlineStr">
        <is>
          <t>世嘉科技：2025年年度报告</t>
        </is>
      </c>
      <c r="K9" s="4" t="inlineStr">
        <is>
          <t>2026-04-27</t>
        </is>
      </c>
      <c r="L9" s="5" t="inlineStr">
        <is>
          <t>iFinD ifind_get_stock_info + ifind_get_stock_business_segmentation (as of 2026-10-27)；世嘉科技：2025年年度报告</t>
        </is>
      </c>
      <c r="M9" s="6" t="inlineStr">
        <is>
          <t>https://vip.stock.finance.sina.com.cn/corp/view/vCB_AllBulletinDetail.php?stockid=002796&amp;id=12204466</t>
        </is>
      </c>
    </row>
    <row r="10" ht="104" customHeight="1">
      <c r="B10" s="7" t="inlineStr">
        <is>
          <t>002985</t>
        </is>
      </c>
      <c r="C10" s="7" t="inlineStr">
        <is>
          <t>北摩高科</t>
        </is>
      </c>
      <c r="D10" s="8" t="inlineStr">
        <is>
          <t>商业航天：千帆星座</t>
        </is>
      </c>
      <c r="E10" s="7" t="inlineStr">
        <is>
          <t>摘除</t>
        </is>
      </c>
      <c r="F10" s="7" t="inlineStr">
        <is>
          <t>—</t>
        </is>
      </c>
      <c r="G10" s="8" t="inlineStr">
        <is>
          <t>—</t>
        </is>
      </c>
      <c r="H10" s="7" t="inlineStr">
        <is>
          <t>摘除</t>
        </is>
      </c>
      <c r="I10" s="8" t="inlineStr">
        <is>
          <t>公司真实产品是飞机刹车盘、刹车控制系统、机轮及起落架着陆系统，2025年起降系统产品收入6.1361亿元，占66.8424%，检测试验收入2.5159亿元，占27.4068%。年报虽称全电刹车技术已应用于航天高空飞行器，但该表述没有明确商业卫星、商业火箭、商业航天客户或订单，也没有独立披露商业航天收入，不能把航空制动或一般航天装备应用直接等同于商业航天。旧“千帆星座”标签未获得公司供货证据支持，属于由航空航天主业和热点星座作出的外推，故摘除商业航天标签，军工及航空属性不在本次处理范围内。</t>
        </is>
      </c>
      <c r="J10" s="7" t="inlineStr">
        <is>
          <t>北摩高科：2025年年度报告摘要</t>
        </is>
      </c>
      <c r="K10" s="7" t="inlineStr">
        <is>
          <t>2026-03-18</t>
        </is>
      </c>
      <c r="L10" s="8" t="inlineStr">
        <is>
          <t>iFinD ifind_get_stock_info + ifind_get_stock_business_segmentation (as of 2026-10-27)；北摩高科：2025年年度报告摘要</t>
        </is>
      </c>
      <c r="M10" s="9" t="inlineStr">
        <is>
          <t>http://static.cninfo.com.cn/finalpage/2026-03-18/1225015258.PDF</t>
        </is>
      </c>
    </row>
    <row r="11" ht="104" customHeight="1">
      <c r="B11" s="4" t="inlineStr">
        <is>
          <t>300118</t>
        </is>
      </c>
      <c r="C11" s="4" t="inlineStr">
        <is>
          <t>东方日升</t>
        </is>
      </c>
      <c r="D11" s="5" t="inlineStr">
        <is>
          <t>商业航天：spacex-潜在供应商</t>
        </is>
      </c>
      <c r="E11" s="4" t="inlineStr">
        <is>
          <t>摘除</t>
        </is>
      </c>
      <c r="F11" s="4" t="inlineStr">
        <is>
          <t>—</t>
        </is>
      </c>
      <c r="G11" s="5" t="inlineStr">
        <is>
          <t>—</t>
        </is>
      </c>
      <c r="H11" s="4" t="inlineStr">
        <is>
          <t>摘除</t>
        </is>
      </c>
      <c r="I11" s="5" t="inlineStr">
        <is>
          <t>公司真实业务为地面太阳能电池片、组件、电站及储能系统，2025年太阳能电池组件收入65.6992亿元，太阳能电站收入33.5803亿元，储能系统、灯具及辅助光伏产品收入17.4340亿元，年报未披露商业卫星太阳翼、空间电源产品、商业航天客户或相关订单，也没有独立商业航天收入。地面光伏组件和钙钛矿、异质结技术即使存在未来空间应用可能，也不能据此认定公司已经供货。核验未发现公司实际向SpaceX供货的正式公告或官方证据，旧“spacex-潜在供应商”仅属市场预期，且“太空光伏组件”不能自动转换为商业航天标签，因此本次摘除。</t>
        </is>
      </c>
      <c r="J11" s="4" t="inlineStr">
        <is>
          <t>东方日升：2025年年度报告</t>
        </is>
      </c>
      <c r="K11" s="4" t="inlineStr">
        <is>
          <t>2026-04-25</t>
        </is>
      </c>
      <c r="L11" s="5" t="inlineStr">
        <is>
          <t>iFinD ifind_get_stock_info + ifind_get_stock_business_segmentation (as of 2026-10-27)；东方日升：2025年年度报告</t>
        </is>
      </c>
      <c r="M11" s="6" t="inlineStr">
        <is>
          <t>https://money.finance.sina.com.cn/corp/view/vCB_AllBulletinDetail.php?stockid=300118&amp;id=12193179</t>
        </is>
      </c>
    </row>
    <row r="12" ht="104" customHeight="1">
      <c r="B12" s="7" t="inlineStr">
        <is>
          <t>300316</t>
        </is>
      </c>
      <c r="C12" s="7" t="inlineStr">
        <is>
          <t>晶盛机电</t>
        </is>
      </c>
      <c r="D12" s="8" t="inlineStr">
        <is>
          <t>商业航天：spacex-潜在供应商</t>
        </is>
      </c>
      <c r="E12" s="7" t="inlineStr">
        <is>
          <t>摘除</t>
        </is>
      </c>
      <c r="F12" s="7" t="inlineStr">
        <is>
          <t>—</t>
        </is>
      </c>
      <c r="G12" s="8" t="inlineStr">
        <is>
          <t>—</t>
        </is>
      </c>
      <c r="H12" s="7" t="inlineStr">
        <is>
          <t>摘除</t>
        </is>
      </c>
      <c r="I12" s="8" t="inlineStr">
        <is>
          <t>公司真实产品为晶体硅生长设备、半导体集成电路装备、化合物半导体装备、衬底材料和精密零部件。2025年设备及其服务收入84.0272亿元，蓝宝石材料收入24.6151亿元，其他收入4.9326亿元，制造业收入109.3773亿元，占96.3042%，没有独立披露商业航天收入、空间用产品或商业航天客户订单。晶体生长和光伏设备可用于地面硅片及电池制造，即使未来太空光伏技术路线可能采用相关工艺，也不代表已有航天供货。核验未发现实际向SpaceX销售的正式证据，旧“spacex-潜在供应商”和“太空光伏设备”均属于产业趋势外推，故摘除商业航天标签，半导体设备与材料标签不在本次改动范围。</t>
        </is>
      </c>
      <c r="J12" s="7" t="inlineStr">
        <is>
          <t>晶盛机电：2025年年度报告</t>
        </is>
      </c>
      <c r="K12" s="7" t="inlineStr">
        <is>
          <t>2026-04-11</t>
        </is>
      </c>
      <c r="L12" s="8" t="inlineStr">
        <is>
          <t>iFinD ifind_get_stock_info + ifind_get_stock_business_segmentation (as of 2026-10-27)；晶盛机电：2025年年度报告</t>
        </is>
      </c>
      <c r="M12" s="9" t="inlineStr">
        <is>
          <t>https://data.eastmoney.com/notices/detail/300316/AN202604101821124646.html</t>
        </is>
      </c>
    </row>
    <row r="13" ht="104" customHeight="1">
      <c r="B13" s="4" t="inlineStr">
        <is>
          <t>300604</t>
        </is>
      </c>
      <c r="C13" s="4" t="inlineStr">
        <is>
          <t>长川科技</t>
        </is>
      </c>
      <c r="D13" s="5" t="inlineStr">
        <is>
          <t>商业航天：spacex</t>
        </is>
      </c>
      <c r="E13" s="4" t="inlineStr">
        <is>
          <t>摘除</t>
        </is>
      </c>
      <c r="F13" s="4" t="inlineStr">
        <is>
          <t>—</t>
        </is>
      </c>
      <c r="G13" s="5" t="inlineStr">
        <is>
          <t>—</t>
        </is>
      </c>
      <c r="H13" s="4" t="inlineStr">
        <is>
          <t>摘除</t>
        </is>
      </c>
      <c r="I13" s="5" t="inlineStr">
        <is>
          <t>公司真实业务为集成电路测试机、分选机、自动化设备和AOI光学检测设备。2025年测试机收入32.0297亿元，分选机收入15.6847亿元，其他业务5.2010亿元，集成电路电子工业专用设备收入合计52.9154亿元、占100%，年报未披露商业航天产品、卫星或火箭客户、SpaceX订单及对应收入。半导体测试设备可以服务多类芯片下游，但芯片最终可能用于卫星并不等于设备商已向商业航天供货，更不能把全部半导体设备收入映射为航天收入。核验所见SpaceX说法主要来自市场讨论，未发现公司正式公告证实实际供货，旧“spacex”及“已成交核心供应商”理由缺乏可核验依据，故摘除。</t>
        </is>
      </c>
      <c r="J13" s="4" t="inlineStr">
        <is>
          <t>长川科技：2025年年度报告</t>
        </is>
      </c>
      <c r="K13" s="4" t="inlineStr">
        <is>
          <t>2026-04-25</t>
        </is>
      </c>
      <c r="L13" s="5" t="inlineStr">
        <is>
          <t>iFinD ifind_get_stock_info + ifind_get_stock_business_segmentation (as of 2026-10-27)；长川科技：2025年年度报告</t>
        </is>
      </c>
      <c r="M13" s="6" t="inlineStr">
        <is>
          <t>https://money.finance.sina.com.cn/corp/view/vCB_AllBulletinDetail.php?stockid=300604&amp;id=12197571</t>
        </is>
      </c>
    </row>
    <row r="14" ht="104" customHeight="1">
      <c r="B14" s="7" t="inlineStr">
        <is>
          <t>300751</t>
        </is>
      </c>
      <c r="C14" s="7" t="inlineStr">
        <is>
          <t>迈为股份</t>
        </is>
      </c>
      <c r="D14" s="8" t="inlineStr">
        <is>
          <t>商业航天：spacex-潜在供应商</t>
        </is>
      </c>
      <c r="E14" s="7" t="inlineStr">
        <is>
          <t>摘除</t>
        </is>
      </c>
      <c r="F14" s="7" t="inlineStr">
        <is>
          <t>—</t>
        </is>
      </c>
      <c r="G14" s="8" t="inlineStr">
        <is>
          <t>—</t>
        </is>
      </c>
      <c r="H14" s="7" t="inlineStr">
        <is>
          <t>摘除</t>
        </is>
      </c>
      <c r="I14" s="8" t="inlineStr">
        <is>
          <t>公司真实产品是HJT异质结电池生产线、太阳能电池丝网印刷设备、显示面板和半导体制造设备。2025年太阳能光伏行业收入74.4964亿元，占91.3845%，半导体及显示行业收入6.6204亿元，占8.1212%，太阳能电池丝网印刷成套设备收入60.2507亿元，未独立披露商业航天收入或空间用设备销售。业绩说明会上被问及约5亿美元SpaceX订单时，公司仅回复按规则履行披露义务、以巨潮公告为准，并未确认订单；对太空应用问题也只重申光伏、显示和半导体装备定位。地面光伏技术和海外订单预期不能替代实际航天供货证据，旧“spacex-潜在供应商”及太空光伏设备标签因此摘除。</t>
        </is>
      </c>
      <c r="J14" s="7" t="inlineStr">
        <is>
          <t>迈为股份2025年度业绩说明会投资者活动记录表</t>
        </is>
      </c>
      <c r="K14" s="7" t="inlineStr">
        <is>
          <t>2026-04-28</t>
        </is>
      </c>
      <c r="L14" s="8" t="inlineStr">
        <is>
          <t>iFinD ifind_get_stock_info + ifind_get_stock_business_segmentation (as of 2026-10-27)；迈为股份2025年度业绩说明会投资者活动记录表</t>
        </is>
      </c>
      <c r="M14" s="9" t="inlineStr">
        <is>
          <t>https://www.9fzt.com/detail/sz_300751_9_d91700be1088100082d7b6b8759c9704.html</t>
        </is>
      </c>
    </row>
    <row r="15" ht="104" customHeight="1">
      <c r="B15" s="4" t="inlineStr">
        <is>
          <t>300757</t>
        </is>
      </c>
      <c r="C15" s="4" t="inlineStr">
        <is>
          <t>罗博特科</t>
        </is>
      </c>
      <c r="D15" s="5" t="inlineStr">
        <is>
          <t>商业航天：spacex、设备、太空光伏设备</t>
        </is>
      </c>
      <c r="E15" s="4" t="inlineStr">
        <is>
          <t>摘除</t>
        </is>
      </c>
      <c r="F15" s="4" t="inlineStr">
        <is>
          <t>—</t>
        </is>
      </c>
      <c r="G15" s="5" t="inlineStr">
        <is>
          <t>—</t>
        </is>
      </c>
      <c r="H15" s="4" t="inlineStr">
        <is>
          <t>摘除</t>
        </is>
      </c>
      <c r="I15" s="5" t="inlineStr">
        <is>
          <t>公司真实业务为光伏电池自动化设备、光电子及半导体封测设备、光子器件耦合和测试设备。2025年光电子及半导体封测设备收入4.3913亿元，光伏设备及整体解决方案收入4.3306亿元，其他产品0.7762亿元；半导体行业收入4.8549亿元、光伏行业收入4.5985亿元，未披露商业航天产品、客户、订单或独立收入。光伏自动化及光通信设备可以面向地面制造和数据中心应用，不能因技术可能服务太空光伏或卫星通信就直接归入商业航天。核验未发现公司实际向SpaceX供货的正式公告，旧“spacex”“太空光伏设备”以及错误复制到商业航天分类的“设备”概念均缺乏事实基础，故本次全部摘除。</t>
        </is>
      </c>
      <c r="J15" s="4" t="inlineStr">
        <is>
          <t>罗博特科：2025年年度报告</t>
        </is>
      </c>
      <c r="K15" s="4" t="inlineStr">
        <is>
          <t>2026-03-31</t>
        </is>
      </c>
      <c r="L15" s="5" t="inlineStr">
        <is>
          <t>iFinD ifind_get_stock_info + ifind_get_stock_business_segmentation (as of 2026-10-27)；罗博特科：2025年年度报告</t>
        </is>
      </c>
      <c r="M15" s="6" t="inlineStr">
        <is>
          <t>http://static.cninfo.com.cn/finalpage/2026-03-31/1225059372.PDF</t>
        </is>
      </c>
    </row>
    <row r="16" ht="104" customHeight="1">
      <c r="B16" s="7" t="inlineStr">
        <is>
          <t>301071</t>
        </is>
      </c>
      <c r="C16" s="7" t="inlineStr">
        <is>
          <t>力量钻石</t>
        </is>
      </c>
      <c r="D16" s="8" t="inlineStr">
        <is>
          <t>商业航天：spacex-供应商</t>
        </is>
      </c>
      <c r="E16" s="7" t="inlineStr">
        <is>
          <t>摘除</t>
        </is>
      </c>
      <c r="F16" s="7" t="inlineStr">
        <is>
          <t>—</t>
        </is>
      </c>
      <c r="G16" s="8" t="inlineStr">
        <is>
          <t>—</t>
        </is>
      </c>
      <c r="H16" s="7" t="inlineStr">
        <is>
          <t>摘除</t>
        </is>
      </c>
      <c r="I16" s="8" t="inlineStr">
        <is>
          <t>公司真实产品为金刚石单晶、金刚石微粉和培育钻石，主要用于工业超硬材料、消费钻石等领域。2025年培育钻石收入3.8755亿元，金刚石单晶收入1.3481亿元，金刚石微粉收入0.6180亿元，其他业务0.4828亿元，非金属矿物制品业收入6.3244亿元、占100%，年报未披露航天专用产品、商业火箭或卫星客户、SpaceX订单及商业航天收入。金刚石具备高硬度等通用材料属性，不代表已经用于SpaceX，也不能把超硬材料的理论应用空间当作实际供货。旧标签写作“spacex-供应商”但原理由已承认供应链仅为预期，核验亦未见正式供货证据，故摘除商业航天标签。</t>
        </is>
      </c>
      <c r="J16" s="7" t="inlineStr">
        <is>
          <t>力量钻石：2025年年度报告</t>
        </is>
      </c>
      <c r="K16" s="7" t="inlineStr">
        <is>
          <t>2026-04-24</t>
        </is>
      </c>
      <c r="L16" s="8" t="inlineStr">
        <is>
          <t>iFinD ifind_get_stock_info + ifind_get_stock_business_segmentation (as of 2026-10-27)；力量钻石：2025年年度报告</t>
        </is>
      </c>
      <c r="M16" s="9" t="inlineStr">
        <is>
          <t>http://money.finance.sina.com.cn/corp/view/vCB_AllBulletinDetail.php?stockid=301071&amp;id=12167945</t>
        </is>
      </c>
    </row>
    <row r="17" ht="104" customHeight="1">
      <c r="B17" s="4" t="inlineStr">
        <is>
          <t>600456</t>
        </is>
      </c>
      <c r="C17" s="4" t="inlineStr">
        <is>
          <t>宝钛股份</t>
        </is>
      </c>
      <c r="D17" s="5" t="inlineStr">
        <is>
          <t>商业航天：spacex-潜在供应商</t>
        </is>
      </c>
      <c r="E17" s="4" t="inlineStr">
        <is>
          <t>摘除</t>
        </is>
      </c>
      <c r="F17" s="4" t="inlineStr">
        <is>
          <t>—</t>
        </is>
      </c>
      <c r="G17" s="5" t="inlineStr">
        <is>
          <t>—</t>
        </is>
      </c>
      <c r="H17" s="4" t="inlineStr">
        <is>
          <t>摘除</t>
        </is>
      </c>
      <c r="I17" s="5" t="inlineStr">
        <is>
          <t>公司真实主营为海绵钛、钛锭及钛板、管、棒、丝、环材和精密铸件，钛材确实可用于飞船骨架、火箭发动机壳件等航天场景，但本次旧标签是“spacex-潜在供应商”，公开可核验材料仅能证明通用航空航天应用，未找到公司公告或客户文件证明已向SpaceX实际供货，也未找到可核实的商业火箭客户、订单和独立收入。2025年钛产品收入52.6593亿元，约占总收入61.2409亿元的85.99%，却不能据此把全部钛材或传统航天军品收入归入商业航天。按“潜在预期即摘除、通用产品可上天不保留”的规则，本次摘除旧商业航天标签；军工材料标签保持独立，不在本项修改。</t>
        </is>
      </c>
      <c r="J17" s="4" t="inlineStr">
        <is>
          <t>宝鸡钛业股份有限公司2025年年度报告</t>
        </is>
      </c>
      <c r="K17" s="4" t="inlineStr">
        <is>
          <t>2026-04-28</t>
        </is>
      </c>
      <c r="L17" s="5" t="inlineStr">
        <is>
          <t>iFinD ifind_get_stock_info + ifind_get_stock_business_segmentation (as of 2026-10-27)；宝鸡钛业股份有限公司2025年年度报告</t>
        </is>
      </c>
      <c r="M17" s="6" t="inlineStr">
        <is>
          <t>http://money.finance.sina.com.cn/corp/view/vCB_AllBulletinDetail.php?stockid=600456&amp;id=12223273</t>
        </is>
      </c>
    </row>
    <row r="18" ht="104" customHeight="1">
      <c r="B18" s="7" t="inlineStr">
        <is>
          <t>600855</t>
        </is>
      </c>
      <c r="C18" s="7" t="inlineStr">
        <is>
          <t>航天长峰</t>
        </is>
      </c>
      <c r="D18" s="8" t="inlineStr">
        <is>
          <t>商业航天：国家队</t>
        </is>
      </c>
      <c r="E18" s="7" t="inlineStr">
        <is>
          <t>摘除</t>
        </is>
      </c>
      <c r="F18" s="7" t="inlineStr">
        <is>
          <t>—</t>
        </is>
      </c>
      <c r="G18" s="8" t="inlineStr">
        <is>
          <t>—</t>
        </is>
      </c>
      <c r="H18" s="7" t="inlineStr">
        <is>
          <t>摘除</t>
        </is>
      </c>
      <c r="I18" s="8" t="inlineStr">
        <is>
          <t>公司真实业务为军工电子、公共安全和高端医疗装备，产品包括模块及定制电源、红外光电成像设备、仿真模拟设备、边海空防信息化平台、无人机探测处置和医疗器械等，这些军工或安防产品不能因公司名称含“航天”或实际控制人背景而自动归入商业航天。公司已公告明确目前未实际开展商业航天相关业务，后续亦称暂未规模化开展商业航天及卫星通信业务，故没有可保留的真实订单、供货或运营依据。2025年公共安全收入6.9934亿元、军工电子5.4294亿元，二者均不能替代商业航天收入。旧“国家队”和“航天科工体系”纯属集团身份标签，本次应整体摘除，军工电子分类保持独立。</t>
        </is>
      </c>
      <c r="J18" s="7" t="inlineStr">
        <is>
          <t>商业航天概念股，密集回应相关业务情况</t>
        </is>
      </c>
      <c r="K18" s="7" t="inlineStr">
        <is>
          <t>2026-01-12</t>
        </is>
      </c>
      <c r="L18" s="8" t="inlineStr">
        <is>
          <t>iFinD ifind_get_stock_info + ifind_get_stock_business_segmentation (as of 2026-10-27)；商业航天概念股，密集回应相关业务情况</t>
        </is>
      </c>
      <c r="M18" s="9" t="inlineStr">
        <is>
          <t>https://m.cls.cn/detail/2255200</t>
        </is>
      </c>
    </row>
    <row r="19" ht="104" customHeight="1">
      <c r="B19" s="4" t="inlineStr">
        <is>
          <t>688516</t>
        </is>
      </c>
      <c r="C19" s="4" t="inlineStr">
        <is>
          <t>奥特维</t>
        </is>
      </c>
      <c r="D19" s="5" t="inlineStr">
        <is>
          <t>商业航天：spacex-潜在供应商-储能</t>
        </is>
      </c>
      <c r="E19" s="4" t="inlineStr">
        <is>
          <t>摘除</t>
        </is>
      </c>
      <c r="F19" s="4" t="inlineStr">
        <is>
          <t>—</t>
        </is>
      </c>
      <c r="G19" s="5" t="inlineStr">
        <is>
          <t>—</t>
        </is>
      </c>
      <c r="H19" s="4" t="inlineStr">
        <is>
          <t>摘除</t>
        </is>
      </c>
      <c r="I19" s="5" t="inlineStr">
        <is>
          <t>公司2025年光伏设备收入44.4357亿元、锂电及储能收入5.4717亿元、半导体收入1.46亿元，主业是光伏、储能、半导体封测和光通信检测等设备。现有核验材料没有可确认的商业航天订单、航天客户交付或独立航天收入，也没有SpaceX实际供货证据。太空光伏设备、储能设备或通用检测设备不自动等于商业航天，不能以产品理论上可用于航天或潜在供应预期替代真实业务证据。因缺少实际产品应用、订单和收入支撑，故摘除旧“spacex-潜在供应商-储能”标签，不将其硬归入火箭或卫星概念。</t>
        </is>
      </c>
      <c r="J19" s="4" t="inlineStr">
        <is>
          <t>奥特维：2025年年度报告</t>
        </is>
      </c>
      <c r="K19" s="4" t="inlineStr">
        <is>
          <t>2026-04-23</t>
        </is>
      </c>
      <c r="L19" s="5" t="inlineStr">
        <is>
          <t>iFinD ifind_get_stock_info + ifind_get_stock_business_segmentation (as of 2026-10-27)；奥特维：2025年年度报告</t>
        </is>
      </c>
      <c r="M19" s="6" t="inlineStr">
        <is>
          <t>http://money.finance.sina.com.cn/corp/view/vCB_AllBulletinDetail.php?stockid=688516&amp;id=12141255</t>
        </is>
      </c>
    </row>
    <row r="20" ht="104" customHeight="1">
      <c r="B20" s="7" t="inlineStr">
        <is>
          <t>688610</t>
        </is>
      </c>
      <c r="C20" s="7" t="inlineStr">
        <is>
          <t>埃科光电</t>
        </is>
      </c>
      <c r="D20" s="8" t="inlineStr">
        <is>
          <t>商业航天：spacex-潜在供应商</t>
        </is>
      </c>
      <c r="E20" s="7" t="inlineStr">
        <is>
          <t>摘除</t>
        </is>
      </c>
      <c r="F20" s="7" t="inlineStr">
        <is>
          <t>—</t>
        </is>
      </c>
      <c r="G20" s="8" t="inlineStr">
        <is>
          <t>—</t>
        </is>
      </c>
      <c r="H20" s="7" t="inlineStr">
        <is>
          <t>摘除</t>
        </is>
      </c>
      <c r="I20" s="8" t="inlineStr">
        <is>
          <t>公司主要提供工业线扫、面扫相机、采集卡和智能光学单元，应用于PCB、显示、新能源、半导体和生物医疗等工业检测场景。2025年电子制造收入1.4371亿元、新型显示收入1.0216亿元、新能源收入0.8010亿元，未见商业航天独立收入，也没有可核验的SpaceX实际供货或商业航天订单证据。通用工业相机可以用于某些航天检测，并不意味着公司已经成为航天供应商，不能据此推断商业航天业务。因真实产品、客户和收入均未形成商业航天闭环，故摘除旧“spacex-潜在供应商”标签，不保留泛化的航天配套概念。</t>
        </is>
      </c>
      <c r="J20" s="7" t="inlineStr">
        <is>
          <t>合肥埃科光电科技股份有限公司2025年年度报告</t>
        </is>
      </c>
      <c r="K20" s="7" t="inlineStr">
        <is>
          <t>2026-03-31</t>
        </is>
      </c>
      <c r="L20" s="8" t="inlineStr">
        <is>
          <t>iFinD ifind_get_stock_info + ifind_get_stock_business_segmentation (as of 2026-10-27)；合肥埃科光电科技股份有限公司2025年年度报告</t>
        </is>
      </c>
      <c r="M20" s="9" t="inlineStr">
        <is>
          <t>https://static.cninfo.com.cn/finalpage/2026-03-31/1225059687.PDF</t>
        </is>
      </c>
    </row>
  </sheetData>
  <autoFilter ref="B4:M20"/>
  <mergeCells count="2">
    <mergeCell ref="B3:M3"/>
    <mergeCell ref="B2:M2"/>
  </mergeCells>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sheetPr>
  <dimension ref="A1:E112"/>
  <sheetViews>
    <sheetView workbookViewId="0">
      <selection activeCell="A1" sqref="A1"/>
    </sheetView>
  </sheetViews>
  <sheetFormatPr baseColWidth="8" defaultRowHeight="15"/>
  <sheetData>
    <row r="1">
      <c r="A1" t="inlineStr">
        <is>
          <t>一级分类</t>
        </is>
      </c>
      <c r="B1" t="inlineStr">
        <is>
          <t>二级概念</t>
        </is>
      </c>
      <c r="C1" t="inlineStr">
        <is>
          <t>判词</t>
        </is>
      </c>
      <c r="D1" t="inlineStr">
        <is>
          <t>代码</t>
        </is>
      </c>
      <c r="E1" t="inlineStr">
        <is>
          <t>名称</t>
        </is>
      </c>
    </row>
    <row r="2">
      <c r="A2" t="inlineStr">
        <is>
          <t>商业航天</t>
        </is>
      </c>
      <c r="B2" t="inlineStr">
        <is>
          <t>卫星数据与遥感应用</t>
        </is>
      </c>
      <c r="C2" t="inlineStr">
        <is>
          <t>相关</t>
        </is>
      </c>
      <c r="D2" t="inlineStr">
        <is>
          <t>000547</t>
        </is>
      </c>
      <c r="E2" t="inlineStr">
        <is>
          <t>航天发展</t>
        </is>
      </c>
    </row>
    <row r="3">
      <c r="A3" t="inlineStr">
        <is>
          <t>商业航天</t>
        </is>
      </c>
      <c r="B3" t="inlineStr">
        <is>
          <t>火箭结构与紧固件</t>
        </is>
      </c>
      <c r="C3" t="inlineStr">
        <is>
          <t>相关</t>
        </is>
      </c>
      <c r="D3" t="inlineStr">
        <is>
          <t>000901</t>
        </is>
      </c>
      <c r="E3" t="inlineStr">
        <is>
          <t>航天科技</t>
        </is>
      </c>
    </row>
    <row r="4">
      <c r="A4" t="inlineStr">
        <is>
          <t>商业航天</t>
        </is>
      </c>
      <c r="B4" t="inlineStr">
        <is>
          <t>环境试验与检测服务</t>
        </is>
      </c>
      <c r="C4" t="inlineStr">
        <is>
          <t>相关</t>
        </is>
      </c>
      <c r="D4" t="inlineStr">
        <is>
          <t>000901</t>
        </is>
      </c>
      <c r="E4" t="inlineStr">
        <is>
          <t>航天科技</t>
        </is>
      </c>
    </row>
    <row r="5">
      <c r="A5" t="inlineStr">
        <is>
          <t>商业航天</t>
        </is>
      </c>
      <c r="B5" t="inlineStr">
        <is>
          <t>星载射频与微波芯片</t>
        </is>
      </c>
      <c r="C5" t="inlineStr">
        <is>
          <t>核心</t>
        </is>
      </c>
      <c r="D5" t="inlineStr">
        <is>
          <t>001270</t>
        </is>
      </c>
      <c r="E5" t="inlineStr">
        <is>
          <t>铖昌科技</t>
        </is>
      </c>
    </row>
    <row r="6">
      <c r="A6" t="inlineStr">
        <is>
          <t>商业航天</t>
        </is>
      </c>
      <c r="B6" t="inlineStr">
        <is>
          <t>星载电子与核心元器件</t>
        </is>
      </c>
      <c r="C6" t="inlineStr">
        <is>
          <t>相关</t>
        </is>
      </c>
      <c r="D6" t="inlineStr">
        <is>
          <t>002025</t>
        </is>
      </c>
      <c r="E6" t="inlineStr">
        <is>
          <t>航天电器</t>
        </is>
      </c>
    </row>
    <row r="7">
      <c r="A7" t="inlineStr">
        <is>
          <t>商业航天</t>
        </is>
      </c>
      <c r="B7" t="inlineStr">
        <is>
          <t>航天电子与测控组件</t>
        </is>
      </c>
      <c r="C7" t="inlineStr">
        <is>
          <t>相关</t>
        </is>
      </c>
      <c r="D7" t="inlineStr">
        <is>
          <t>002025</t>
        </is>
      </c>
      <c r="E7" t="inlineStr">
        <is>
          <t>航天电器</t>
        </is>
      </c>
    </row>
    <row r="8">
      <c r="A8" t="inlineStr">
        <is>
          <t>商业航天</t>
        </is>
      </c>
      <c r="B8" t="inlineStr">
        <is>
          <t>商业航天配套-通用零部件</t>
        </is>
      </c>
      <c r="C8" t="inlineStr">
        <is>
          <t>相关</t>
        </is>
      </c>
      <c r="D8" t="inlineStr">
        <is>
          <t>002046</t>
        </is>
      </c>
      <c r="E8" t="inlineStr">
        <is>
          <t>国机精工</t>
        </is>
      </c>
    </row>
    <row r="9">
      <c r="A9" t="inlineStr">
        <is>
          <t>商业航天</t>
        </is>
      </c>
      <c r="B9" t="inlineStr">
        <is>
          <t>卫星运营与通信服务</t>
        </is>
      </c>
      <c r="C9" t="inlineStr">
        <is>
          <t>相关</t>
        </is>
      </c>
      <c r="D9" t="inlineStr">
        <is>
          <t>002115</t>
        </is>
      </c>
      <c r="E9" t="inlineStr">
        <is>
          <t>三维通信</t>
        </is>
      </c>
    </row>
    <row r="10">
      <c r="A10" t="inlineStr">
        <is>
          <t>商业航天</t>
        </is>
      </c>
      <c r="B10" t="inlineStr">
        <is>
          <t>航天材料与增材制造</t>
        </is>
      </c>
      <c r="C10" t="inlineStr">
        <is>
          <t>相关</t>
        </is>
      </c>
      <c r="D10" t="inlineStr">
        <is>
          <t>002149</t>
        </is>
      </c>
      <c r="E10" t="inlineStr">
        <is>
          <t>西部材料</t>
        </is>
      </c>
    </row>
    <row r="11">
      <c r="A11" t="inlineStr">
        <is>
          <t>商业航天</t>
        </is>
      </c>
      <c r="B11" t="inlineStr">
        <is>
          <t>卫星载荷-遥感与探测</t>
        </is>
      </c>
      <c r="C11" t="inlineStr">
        <is>
          <t>核心</t>
        </is>
      </c>
      <c r="D11" t="inlineStr">
        <is>
          <t>002413</t>
        </is>
      </c>
      <c r="E11" t="inlineStr">
        <is>
          <t>雷科防务</t>
        </is>
      </c>
    </row>
    <row r="12">
      <c r="A12" t="inlineStr">
        <is>
          <t>商业航天</t>
        </is>
      </c>
      <c r="B12" t="inlineStr">
        <is>
          <t>地面站与测运控</t>
        </is>
      </c>
      <c r="C12" t="inlineStr">
        <is>
          <t>核心</t>
        </is>
      </c>
      <c r="D12" t="inlineStr">
        <is>
          <t>002413</t>
        </is>
      </c>
      <c r="E12" t="inlineStr">
        <is>
          <t>雷科防务</t>
        </is>
      </c>
    </row>
    <row r="13">
      <c r="A13" t="inlineStr">
        <is>
          <t>商业航天</t>
        </is>
      </c>
      <c r="B13" t="inlineStr">
        <is>
          <t>卫星数据与遥感应用</t>
        </is>
      </c>
      <c r="C13" t="inlineStr">
        <is>
          <t>核心</t>
        </is>
      </c>
      <c r="D13" t="inlineStr">
        <is>
          <t>002413</t>
        </is>
      </c>
      <c r="E13" t="inlineStr">
        <is>
          <t>雷科防务</t>
        </is>
      </c>
    </row>
    <row r="14">
      <c r="A14" t="inlineStr">
        <is>
          <t>商业航天</t>
        </is>
      </c>
      <c r="B14" t="inlineStr">
        <is>
          <t>卫星通信终端与天线</t>
        </is>
      </c>
      <c r="C14" t="inlineStr">
        <is>
          <t>相关</t>
        </is>
      </c>
      <c r="D14" t="inlineStr">
        <is>
          <t>002446</t>
        </is>
      </c>
      <c r="E14" t="inlineStr">
        <is>
          <t>盛路通信</t>
        </is>
      </c>
    </row>
    <row r="15">
      <c r="A15" t="inlineStr">
        <is>
          <t>商业航天</t>
        </is>
      </c>
      <c r="B15" t="inlineStr">
        <is>
          <t>卫星通信终端与天线</t>
        </is>
      </c>
      <c r="C15" t="inlineStr">
        <is>
          <t>相关</t>
        </is>
      </c>
      <c r="D15" t="inlineStr">
        <is>
          <t>002465</t>
        </is>
      </c>
      <c r="E15" t="inlineStr">
        <is>
          <t>海格通信</t>
        </is>
      </c>
    </row>
    <row r="16">
      <c r="A16" t="inlineStr">
        <is>
          <t>商业航天</t>
        </is>
      </c>
      <c r="B16" t="inlineStr">
        <is>
          <t>导航定位与授时服务</t>
        </is>
      </c>
      <c r="C16" t="inlineStr">
        <is>
          <t>相关</t>
        </is>
      </c>
      <c r="D16" t="inlineStr">
        <is>
          <t>002465</t>
        </is>
      </c>
      <c r="E16" t="inlineStr">
        <is>
          <t>海格通信</t>
        </is>
      </c>
    </row>
    <row r="17">
      <c r="A17" t="inlineStr">
        <is>
          <t>商业航天</t>
        </is>
      </c>
      <c r="B17" t="inlineStr">
        <is>
          <t>火箭总体与动力</t>
        </is>
      </c>
      <c r="C17" t="inlineStr">
        <is>
          <t>相关</t>
        </is>
      </c>
      <c r="D17" t="inlineStr">
        <is>
          <t>002471</t>
        </is>
      </c>
      <c r="E17" t="inlineStr">
        <is>
          <t>中超控股</t>
        </is>
      </c>
    </row>
    <row r="18">
      <c r="A18" t="inlineStr">
        <is>
          <t>商业航天</t>
        </is>
      </c>
      <c r="B18" t="inlineStr">
        <is>
          <t>卫星通信终端与天线</t>
        </is>
      </c>
      <c r="C18" t="inlineStr">
        <is>
          <t>相关</t>
        </is>
      </c>
      <c r="D18" t="inlineStr">
        <is>
          <t>002519</t>
        </is>
      </c>
      <c r="E18" t="inlineStr">
        <is>
          <t>银河电子</t>
        </is>
      </c>
    </row>
    <row r="19">
      <c r="A19" t="inlineStr">
        <is>
          <t>商业航天</t>
        </is>
      </c>
      <c r="B19" t="inlineStr">
        <is>
          <t>卫星通信终端与天线</t>
        </is>
      </c>
      <c r="C19" t="inlineStr">
        <is>
          <t>相关</t>
        </is>
      </c>
      <c r="D19" t="inlineStr">
        <is>
          <t>002583</t>
        </is>
      </c>
      <c r="E19" t="inlineStr">
        <is>
          <t>海能达</t>
        </is>
      </c>
    </row>
    <row r="20">
      <c r="A20" t="inlineStr">
        <is>
          <t>商业航天</t>
        </is>
      </c>
      <c r="B20" t="inlineStr">
        <is>
          <t>卫星结构与机构</t>
        </is>
      </c>
      <c r="C20" t="inlineStr">
        <is>
          <t>相关</t>
        </is>
      </c>
      <c r="D20" t="inlineStr">
        <is>
          <t>002600</t>
        </is>
      </c>
      <c r="E20" t="inlineStr">
        <is>
          <t>领益智造</t>
        </is>
      </c>
    </row>
    <row r="21">
      <c r="A21" t="inlineStr">
        <is>
          <t>商业航天</t>
        </is>
      </c>
      <c r="B21" t="inlineStr">
        <is>
          <t>卫星通信终端与天线</t>
        </is>
      </c>
      <c r="C21" t="inlineStr">
        <is>
          <t>相关</t>
        </is>
      </c>
      <c r="D21" t="inlineStr">
        <is>
          <t>002792</t>
        </is>
      </c>
      <c r="E21" t="inlineStr">
        <is>
          <t>通宇通讯</t>
        </is>
      </c>
    </row>
    <row r="22">
      <c r="A22" t="inlineStr">
        <is>
          <t>商业航天</t>
        </is>
      </c>
      <c r="B22" t="inlineStr">
        <is>
          <t>卫星通信终端与天线</t>
        </is>
      </c>
      <c r="C22" t="inlineStr">
        <is>
          <t>相关</t>
        </is>
      </c>
      <c r="D22" t="inlineStr">
        <is>
          <t>002829</t>
        </is>
      </c>
      <c r="E22" t="inlineStr">
        <is>
          <t>星网宇达</t>
        </is>
      </c>
    </row>
    <row r="23">
      <c r="A23" t="inlineStr">
        <is>
          <t>商业航天</t>
        </is>
      </c>
      <c r="B23" t="inlineStr">
        <is>
          <t>商业航天股权与产业投资</t>
        </is>
      </c>
      <c r="C23" t="inlineStr">
        <is>
          <t>相关</t>
        </is>
      </c>
      <c r="D23" t="inlineStr">
        <is>
          <t>002865</t>
        </is>
      </c>
      <c r="E23" t="inlineStr">
        <is>
          <t>钧达股份</t>
        </is>
      </c>
    </row>
    <row r="24">
      <c r="A24" t="inlineStr">
        <is>
          <t>商业航天</t>
        </is>
      </c>
      <c r="B24" t="inlineStr">
        <is>
          <t>星载电子与核心元器件</t>
        </is>
      </c>
      <c r="C24" t="inlineStr">
        <is>
          <t>相关</t>
        </is>
      </c>
      <c r="D24" t="inlineStr">
        <is>
          <t>002935</t>
        </is>
      </c>
      <c r="E24" t="inlineStr">
        <is>
          <t>天奥电子</t>
        </is>
      </c>
    </row>
    <row r="25">
      <c r="A25" t="inlineStr">
        <is>
          <t>商业航天</t>
        </is>
      </c>
      <c r="B25" t="inlineStr">
        <is>
          <t>导航定位与授时服务</t>
        </is>
      </c>
      <c r="C25" t="inlineStr">
        <is>
          <t>相关</t>
        </is>
      </c>
      <c r="D25" t="inlineStr">
        <is>
          <t>002935</t>
        </is>
      </c>
      <c r="E25" t="inlineStr">
        <is>
          <t>天奥电子</t>
        </is>
      </c>
    </row>
    <row r="26">
      <c r="A26" t="inlineStr">
        <is>
          <t>商业航天</t>
        </is>
      </c>
      <c r="B26" t="inlineStr">
        <is>
          <t>火箭总体与动力</t>
        </is>
      </c>
      <c r="C26" t="inlineStr">
        <is>
          <t>相关</t>
        </is>
      </c>
      <c r="D26" t="inlineStr">
        <is>
          <t>003009</t>
        </is>
      </c>
      <c r="E26" t="inlineStr">
        <is>
          <t>中天火箭</t>
        </is>
      </c>
    </row>
    <row r="27">
      <c r="A27" t="inlineStr">
        <is>
          <t>商业航天</t>
        </is>
      </c>
      <c r="B27" t="inlineStr">
        <is>
          <t>航天材料与增材制造</t>
        </is>
      </c>
      <c r="C27" t="inlineStr">
        <is>
          <t>相关</t>
        </is>
      </c>
      <c r="D27" t="inlineStr">
        <is>
          <t>003009</t>
        </is>
      </c>
      <c r="E27" t="inlineStr">
        <is>
          <t>中天火箭</t>
        </is>
      </c>
    </row>
    <row r="28">
      <c r="A28" t="inlineStr">
        <is>
          <t>商业航天</t>
        </is>
      </c>
      <c r="B28" t="inlineStr">
        <is>
          <t>导航定位与授时服务</t>
        </is>
      </c>
      <c r="C28" t="inlineStr">
        <is>
          <t>核心</t>
        </is>
      </c>
      <c r="D28" t="inlineStr">
        <is>
          <t>300045</t>
        </is>
      </c>
      <c r="E28" t="inlineStr">
        <is>
          <t>华力创通</t>
        </is>
      </c>
    </row>
    <row r="29">
      <c r="A29" t="inlineStr">
        <is>
          <t>商业航天</t>
        </is>
      </c>
      <c r="B29" t="inlineStr">
        <is>
          <t>卫星通信终端与天线</t>
        </is>
      </c>
      <c r="C29" t="inlineStr">
        <is>
          <t>核心</t>
        </is>
      </c>
      <c r="D29" t="inlineStr">
        <is>
          <t>300045</t>
        </is>
      </c>
      <c r="E29" t="inlineStr">
        <is>
          <t>华力创通</t>
        </is>
      </c>
    </row>
    <row r="30">
      <c r="A30" t="inlineStr">
        <is>
          <t>商业航天</t>
        </is>
      </c>
      <c r="B30" t="inlineStr">
        <is>
          <t>星载电子与核心元器件</t>
        </is>
      </c>
      <c r="C30" t="inlineStr">
        <is>
          <t>核心</t>
        </is>
      </c>
      <c r="D30" t="inlineStr">
        <is>
          <t>300053</t>
        </is>
      </c>
      <c r="E30" t="inlineStr">
        <is>
          <t>航宇微</t>
        </is>
      </c>
    </row>
    <row r="31">
      <c r="A31" t="inlineStr">
        <is>
          <t>商业航天</t>
        </is>
      </c>
      <c r="B31" t="inlineStr">
        <is>
          <t>卫星数据与遥感应用</t>
        </is>
      </c>
      <c r="C31" t="inlineStr">
        <is>
          <t>核心</t>
        </is>
      </c>
      <c r="D31" t="inlineStr">
        <is>
          <t>300053</t>
        </is>
      </c>
      <c r="E31" t="inlineStr">
        <is>
          <t>航宇微</t>
        </is>
      </c>
    </row>
    <row r="32">
      <c r="A32" t="inlineStr">
        <is>
          <t>商业航天</t>
        </is>
      </c>
      <c r="B32" t="inlineStr">
        <is>
          <t>航天电子与测控组件</t>
        </is>
      </c>
      <c r="C32" t="inlineStr">
        <is>
          <t>相关</t>
        </is>
      </c>
      <c r="D32" t="inlineStr">
        <is>
          <t>300065</t>
        </is>
      </c>
      <c r="E32" t="inlineStr">
        <is>
          <t>海兰信</t>
        </is>
      </c>
    </row>
    <row r="33">
      <c r="A33" t="inlineStr">
        <is>
          <t>商业航天</t>
        </is>
      </c>
      <c r="B33" t="inlineStr">
        <is>
          <t>发射场与地面保障</t>
        </is>
      </c>
      <c r="C33" t="inlineStr">
        <is>
          <t>相关</t>
        </is>
      </c>
      <c r="D33" t="inlineStr">
        <is>
          <t>300065</t>
        </is>
      </c>
      <c r="E33" t="inlineStr">
        <is>
          <t>海兰信</t>
        </is>
      </c>
    </row>
    <row r="34">
      <c r="A34" t="inlineStr">
        <is>
          <t>商业航天</t>
        </is>
      </c>
      <c r="B34" t="inlineStr">
        <is>
          <t>卫星电源与太阳翼</t>
        </is>
      </c>
      <c r="C34" t="inlineStr">
        <is>
          <t>相关</t>
        </is>
      </c>
      <c r="D34" t="inlineStr">
        <is>
          <t>300102</t>
        </is>
      </c>
      <c r="E34" t="inlineStr">
        <is>
          <t>乾照光电</t>
        </is>
      </c>
    </row>
    <row r="35">
      <c r="A35" t="inlineStr">
        <is>
          <t>商业航天</t>
        </is>
      </c>
      <c r="B35" t="inlineStr">
        <is>
          <t>卫星通信终端与天线</t>
        </is>
      </c>
      <c r="C35" t="inlineStr">
        <is>
          <t>相关</t>
        </is>
      </c>
      <c r="D35" t="inlineStr">
        <is>
          <t>300136</t>
        </is>
      </c>
      <c r="E35" t="inlineStr">
        <is>
          <t>信维通信</t>
        </is>
      </c>
    </row>
    <row r="36">
      <c r="A36" t="inlineStr">
        <is>
          <t>商业航天</t>
        </is>
      </c>
      <c r="B36" t="inlineStr">
        <is>
          <t>火箭推进与流体控制</t>
        </is>
      </c>
      <c r="C36" t="inlineStr">
        <is>
          <t>相关</t>
        </is>
      </c>
      <c r="D36" t="inlineStr">
        <is>
          <t>300228</t>
        </is>
      </c>
      <c r="E36" t="inlineStr">
        <is>
          <t>富瑞特装</t>
        </is>
      </c>
    </row>
    <row r="37">
      <c r="A37" t="inlineStr">
        <is>
          <t>商业航天</t>
        </is>
      </c>
      <c r="B37" t="inlineStr">
        <is>
          <t>发射场与地面保障</t>
        </is>
      </c>
      <c r="C37" t="inlineStr">
        <is>
          <t>相关</t>
        </is>
      </c>
      <c r="D37" t="inlineStr">
        <is>
          <t>300228</t>
        </is>
      </c>
      <c r="E37" t="inlineStr">
        <is>
          <t>富瑞特装</t>
        </is>
      </c>
    </row>
    <row r="38">
      <c r="A38" t="inlineStr">
        <is>
          <t>商业航天</t>
        </is>
      </c>
      <c r="B38" t="inlineStr">
        <is>
          <t>卫星通信终端与天线</t>
        </is>
      </c>
      <c r="C38" t="inlineStr">
        <is>
          <t>相关</t>
        </is>
      </c>
      <c r="D38" t="inlineStr">
        <is>
          <t>300322</t>
        </is>
      </c>
      <c r="E38" t="inlineStr">
        <is>
          <t>硕贝德</t>
        </is>
      </c>
    </row>
    <row r="39">
      <c r="A39" t="inlineStr">
        <is>
          <t>商业航天</t>
        </is>
      </c>
      <c r="B39" t="inlineStr">
        <is>
          <t>卫星平台与核心分系统</t>
        </is>
      </c>
      <c r="C39" t="inlineStr">
        <is>
          <t>相关</t>
        </is>
      </c>
      <c r="D39" t="inlineStr">
        <is>
          <t>300342</t>
        </is>
      </c>
      <c r="E39" t="inlineStr">
        <is>
          <t>天银机电</t>
        </is>
      </c>
    </row>
    <row r="40">
      <c r="A40" t="inlineStr">
        <is>
          <t>商业航天</t>
        </is>
      </c>
      <c r="B40" t="inlineStr">
        <is>
          <t>环境试验与检测服务</t>
        </is>
      </c>
      <c r="C40" t="inlineStr">
        <is>
          <t>相关</t>
        </is>
      </c>
      <c r="D40" t="inlineStr">
        <is>
          <t>300416</t>
        </is>
      </c>
      <c r="E40" t="inlineStr">
        <is>
          <t>苏试试验</t>
        </is>
      </c>
    </row>
    <row r="41">
      <c r="A41" t="inlineStr">
        <is>
          <t>商业航天</t>
        </is>
      </c>
      <c r="B41" t="inlineStr">
        <is>
          <t>卫星通信终端与天线</t>
        </is>
      </c>
      <c r="C41" t="inlineStr">
        <is>
          <t>相关</t>
        </is>
      </c>
      <c r="D41" t="inlineStr">
        <is>
          <t>300433</t>
        </is>
      </c>
      <c r="E41" t="inlineStr">
        <is>
          <t>蓝思科技</t>
        </is>
      </c>
    </row>
    <row r="42">
      <c r="A42" t="inlineStr">
        <is>
          <t>商业航天</t>
        </is>
      </c>
      <c r="B42" t="inlineStr">
        <is>
          <t>商业航天配套-通用零部件</t>
        </is>
      </c>
      <c r="C42" t="inlineStr">
        <is>
          <t>相关</t>
        </is>
      </c>
      <c r="D42" t="inlineStr">
        <is>
          <t>300445</t>
        </is>
      </c>
      <c r="E42" t="inlineStr">
        <is>
          <t>康斯特</t>
        </is>
      </c>
    </row>
    <row r="43">
      <c r="A43" t="inlineStr">
        <is>
          <t>商业航天</t>
        </is>
      </c>
      <c r="B43" t="inlineStr">
        <is>
          <t>星载电子与核心元器件</t>
        </is>
      </c>
      <c r="C43" t="inlineStr">
        <is>
          <t>相关</t>
        </is>
      </c>
      <c r="D43" t="inlineStr">
        <is>
          <t>300455</t>
        </is>
      </c>
      <c r="E43" t="inlineStr">
        <is>
          <t>航天智装</t>
        </is>
      </c>
    </row>
    <row r="44">
      <c r="A44" t="inlineStr">
        <is>
          <t>商业航天</t>
        </is>
      </c>
      <c r="B44" t="inlineStr">
        <is>
          <t>卫星平台与核心分系统</t>
        </is>
      </c>
      <c r="C44" t="inlineStr">
        <is>
          <t>相关</t>
        </is>
      </c>
      <c r="D44" t="inlineStr">
        <is>
          <t>300455</t>
        </is>
      </c>
      <c r="E44" t="inlineStr">
        <is>
          <t>航天智装</t>
        </is>
      </c>
    </row>
    <row r="45">
      <c r="A45" t="inlineStr">
        <is>
          <t>商业航天</t>
        </is>
      </c>
      <c r="B45" t="inlineStr">
        <is>
          <t>航天电子与测控组件</t>
        </is>
      </c>
      <c r="C45" t="inlineStr">
        <is>
          <t>相关</t>
        </is>
      </c>
      <c r="D45" t="inlineStr">
        <is>
          <t>300455</t>
        </is>
      </c>
      <c r="E45" t="inlineStr">
        <is>
          <t>航天智装</t>
        </is>
      </c>
    </row>
    <row r="46">
      <c r="A46" t="inlineStr">
        <is>
          <t>商业航天</t>
        </is>
      </c>
      <c r="B46" t="inlineStr">
        <is>
          <t>卫星结构与机构</t>
        </is>
      </c>
      <c r="C46" t="inlineStr">
        <is>
          <t>相关</t>
        </is>
      </c>
      <c r="D46" t="inlineStr">
        <is>
          <t>300680</t>
        </is>
      </c>
      <c r="E46" t="inlineStr">
        <is>
          <t>隆盛科技</t>
        </is>
      </c>
    </row>
    <row r="47">
      <c r="A47" t="inlineStr">
        <is>
          <t>商业航天</t>
        </is>
      </c>
      <c r="B47" t="inlineStr">
        <is>
          <t>卫星电源与太阳翼</t>
        </is>
      </c>
      <c r="C47" t="inlineStr">
        <is>
          <t>相关</t>
        </is>
      </c>
      <c r="D47" t="inlineStr">
        <is>
          <t>300680</t>
        </is>
      </c>
      <c r="E47" t="inlineStr">
        <is>
          <t>隆盛科技</t>
        </is>
      </c>
    </row>
    <row r="48">
      <c r="A48" t="inlineStr">
        <is>
          <t>商业航天</t>
        </is>
      </c>
      <c r="B48" t="inlineStr">
        <is>
          <t>卫星载荷-通信与转发</t>
        </is>
      </c>
      <c r="C48" t="inlineStr">
        <is>
          <t>相关</t>
        </is>
      </c>
      <c r="D48" t="inlineStr">
        <is>
          <t>300762</t>
        </is>
      </c>
      <c r="E48" t="inlineStr">
        <is>
          <t>上海瀚讯</t>
        </is>
      </c>
    </row>
    <row r="49">
      <c r="A49" t="inlineStr">
        <is>
          <t>商业航天</t>
        </is>
      </c>
      <c r="B49" t="inlineStr">
        <is>
          <t>地面站与测运控</t>
        </is>
      </c>
      <c r="C49" t="inlineStr">
        <is>
          <t>相关</t>
        </is>
      </c>
      <c r="D49" t="inlineStr">
        <is>
          <t>300762</t>
        </is>
      </c>
      <c r="E49" t="inlineStr">
        <is>
          <t>上海瀚讯</t>
        </is>
      </c>
    </row>
    <row r="50">
      <c r="A50" t="inlineStr">
        <is>
          <t>商业航天</t>
        </is>
      </c>
      <c r="B50" t="inlineStr">
        <is>
          <t>卫星通信终端与天线</t>
        </is>
      </c>
      <c r="C50" t="inlineStr">
        <is>
          <t>相关</t>
        </is>
      </c>
      <c r="D50" t="inlineStr">
        <is>
          <t>300762</t>
        </is>
      </c>
      <c r="E50" t="inlineStr">
        <is>
          <t>上海瀚讯</t>
        </is>
      </c>
    </row>
    <row r="51">
      <c r="A51" t="inlineStr">
        <is>
          <t>商业航天</t>
        </is>
      </c>
      <c r="B51" t="inlineStr">
        <is>
          <t>火箭结构与紧固件</t>
        </is>
      </c>
      <c r="C51" t="inlineStr">
        <is>
          <t>相关</t>
        </is>
      </c>
      <c r="D51" t="inlineStr">
        <is>
          <t>301005</t>
        </is>
      </c>
      <c r="E51" t="inlineStr">
        <is>
          <t>超捷股份</t>
        </is>
      </c>
    </row>
    <row r="52">
      <c r="A52" t="inlineStr">
        <is>
          <t>商业航天</t>
        </is>
      </c>
      <c r="B52" t="inlineStr">
        <is>
          <t>环境试验与检测服务</t>
        </is>
      </c>
      <c r="C52" t="inlineStr">
        <is>
          <t>相关</t>
        </is>
      </c>
      <c r="D52" t="inlineStr">
        <is>
          <t>301306</t>
        </is>
      </c>
      <c r="E52" t="inlineStr">
        <is>
          <t>西测测试</t>
        </is>
      </c>
    </row>
    <row r="53">
      <c r="A53" t="inlineStr">
        <is>
          <t>商业航天</t>
        </is>
      </c>
      <c r="B53" t="inlineStr">
        <is>
          <t>星载电子与核心元器件</t>
        </is>
      </c>
      <c r="C53" t="inlineStr">
        <is>
          <t>相关</t>
        </is>
      </c>
      <c r="D53" t="inlineStr">
        <is>
          <t>301517</t>
        </is>
      </c>
      <c r="E53" t="inlineStr">
        <is>
          <t>陕西华达</t>
        </is>
      </c>
    </row>
    <row r="54">
      <c r="A54" t="inlineStr">
        <is>
          <t>商业航天</t>
        </is>
      </c>
      <c r="B54" t="inlineStr">
        <is>
          <t>航天材料与增材制造</t>
        </is>
      </c>
      <c r="C54" t="inlineStr">
        <is>
          <t>相关</t>
        </is>
      </c>
      <c r="D54" t="inlineStr">
        <is>
          <t>301522</t>
        </is>
      </c>
      <c r="E54" t="inlineStr">
        <is>
          <t>上大股份</t>
        </is>
      </c>
    </row>
    <row r="55">
      <c r="A55" t="inlineStr">
        <is>
          <t>商业航天</t>
        </is>
      </c>
      <c r="B55" t="inlineStr">
        <is>
          <t>卫星总体与制造</t>
        </is>
      </c>
      <c r="C55" t="inlineStr">
        <is>
          <t>核心</t>
        </is>
      </c>
      <c r="D55" t="inlineStr">
        <is>
          <t>600118</t>
        </is>
      </c>
      <c r="E55" t="inlineStr">
        <is>
          <t>中国卫星</t>
        </is>
      </c>
    </row>
    <row r="56">
      <c r="A56" t="inlineStr">
        <is>
          <t>商业航天</t>
        </is>
      </c>
      <c r="B56" t="inlineStr">
        <is>
          <t>卫星平台与核心分系统</t>
        </is>
      </c>
      <c r="C56" t="inlineStr">
        <is>
          <t>核心</t>
        </is>
      </c>
      <c r="D56" t="inlineStr">
        <is>
          <t>600118</t>
        </is>
      </c>
      <c r="E56" t="inlineStr">
        <is>
          <t>中国卫星</t>
        </is>
      </c>
    </row>
    <row r="57">
      <c r="A57" t="inlineStr">
        <is>
          <t>商业航天</t>
        </is>
      </c>
      <c r="B57" t="inlineStr">
        <is>
          <t>卫星数据与遥感应用</t>
        </is>
      </c>
      <c r="C57" t="inlineStr">
        <is>
          <t>核心</t>
        </is>
      </c>
      <c r="D57" t="inlineStr">
        <is>
          <t>600118</t>
        </is>
      </c>
      <c r="E57" t="inlineStr">
        <is>
          <t>中国卫星</t>
        </is>
      </c>
    </row>
    <row r="58">
      <c r="A58" t="inlineStr">
        <is>
          <t>商业航天</t>
        </is>
      </c>
      <c r="B58" t="inlineStr">
        <is>
          <t>商业航天配套-通用零部件</t>
        </is>
      </c>
      <c r="C58" t="inlineStr">
        <is>
          <t>相关</t>
        </is>
      </c>
      <c r="D58" t="inlineStr">
        <is>
          <t>600343</t>
        </is>
      </c>
      <c r="E58" t="inlineStr">
        <is>
          <t>航天动力</t>
        </is>
      </c>
    </row>
    <row r="59">
      <c r="A59" t="inlineStr">
        <is>
          <t>商业航天</t>
        </is>
      </c>
      <c r="B59" t="inlineStr">
        <is>
          <t>地面站与测运控</t>
        </is>
      </c>
      <c r="C59" t="inlineStr">
        <is>
          <t>相关</t>
        </is>
      </c>
      <c r="D59" t="inlineStr">
        <is>
          <t>600345</t>
        </is>
      </c>
      <c r="E59" t="inlineStr">
        <is>
          <t>长江通信</t>
        </is>
      </c>
    </row>
    <row r="60">
      <c r="A60" t="inlineStr">
        <is>
          <t>商业航天</t>
        </is>
      </c>
      <c r="B60" t="inlineStr">
        <is>
          <t>卫星互联网网络与系统</t>
        </is>
      </c>
      <c r="C60" t="inlineStr">
        <is>
          <t>相关</t>
        </is>
      </c>
      <c r="D60" t="inlineStr">
        <is>
          <t>600345</t>
        </is>
      </c>
      <c r="E60" t="inlineStr">
        <is>
          <t>长江通信</t>
        </is>
      </c>
    </row>
    <row r="61">
      <c r="A61" t="inlineStr">
        <is>
          <t>商业航天</t>
        </is>
      </c>
      <c r="B61" t="inlineStr">
        <is>
          <t>发射场与地面保障</t>
        </is>
      </c>
      <c r="C61" t="inlineStr">
        <is>
          <t>相关</t>
        </is>
      </c>
      <c r="D61" t="inlineStr">
        <is>
          <t>600481</t>
        </is>
      </c>
      <c r="E61" t="inlineStr">
        <is>
          <t>双良节能</t>
        </is>
      </c>
    </row>
    <row r="62">
      <c r="A62" t="inlineStr">
        <is>
          <t>商业航天</t>
        </is>
      </c>
      <c r="B62" t="inlineStr">
        <is>
          <t>发射场与地面保障</t>
        </is>
      </c>
      <c r="C62" t="inlineStr">
        <is>
          <t>相关</t>
        </is>
      </c>
      <c r="D62" t="inlineStr">
        <is>
          <t>600501</t>
        </is>
      </c>
      <c r="E62" t="inlineStr">
        <is>
          <t>航天晨光</t>
        </is>
      </c>
    </row>
    <row r="63">
      <c r="A63" t="inlineStr">
        <is>
          <t>商业航天</t>
        </is>
      </c>
      <c r="B63" t="inlineStr">
        <is>
          <t>商业航天配套-通用零部件</t>
        </is>
      </c>
      <c r="C63" t="inlineStr">
        <is>
          <t>相关</t>
        </is>
      </c>
      <c r="D63" t="inlineStr">
        <is>
          <t>600592</t>
        </is>
      </c>
      <c r="E63" t="inlineStr">
        <is>
          <t>龙溪股份</t>
        </is>
      </c>
    </row>
    <row r="64">
      <c r="A64" t="inlineStr">
        <is>
          <t>商业航天</t>
        </is>
      </c>
      <c r="B64" t="inlineStr">
        <is>
          <t>卫星通信终端与天线</t>
        </is>
      </c>
      <c r="C64" t="inlineStr">
        <is>
          <t>相关</t>
        </is>
      </c>
      <c r="D64" t="inlineStr">
        <is>
          <t>600775</t>
        </is>
      </c>
      <c r="E64" t="inlineStr">
        <is>
          <t>南京熊猫</t>
        </is>
      </c>
    </row>
    <row r="65">
      <c r="A65" t="inlineStr">
        <is>
          <t>商业航天</t>
        </is>
      </c>
      <c r="B65" t="inlineStr">
        <is>
          <t>航天电子与测控组件</t>
        </is>
      </c>
      <c r="C65" t="inlineStr">
        <is>
          <t>相关</t>
        </is>
      </c>
      <c r="D65" t="inlineStr">
        <is>
          <t>600879</t>
        </is>
      </c>
      <c r="E65" t="inlineStr">
        <is>
          <t>航天电子</t>
        </is>
      </c>
    </row>
    <row r="66">
      <c r="A66" t="inlineStr">
        <is>
          <t>商业航天</t>
        </is>
      </c>
      <c r="B66" t="inlineStr">
        <is>
          <t>星载电子与核心元器件</t>
        </is>
      </c>
      <c r="C66" t="inlineStr">
        <is>
          <t>相关</t>
        </is>
      </c>
      <c r="D66" t="inlineStr">
        <is>
          <t>600879</t>
        </is>
      </c>
      <c r="E66" t="inlineStr">
        <is>
          <t>航天电子</t>
        </is>
      </c>
    </row>
    <row r="67">
      <c r="A67" t="inlineStr">
        <is>
          <t>商业航天</t>
        </is>
      </c>
      <c r="B67" t="inlineStr">
        <is>
          <t>卫星载荷-通信与转发</t>
        </is>
      </c>
      <c r="C67" t="inlineStr">
        <is>
          <t>相关</t>
        </is>
      </c>
      <c r="D67" t="inlineStr">
        <is>
          <t>600879</t>
        </is>
      </c>
      <c r="E67" t="inlineStr">
        <is>
          <t>航天电子</t>
        </is>
      </c>
    </row>
    <row r="68">
      <c r="A68" t="inlineStr">
        <is>
          <t>商业航天</t>
        </is>
      </c>
      <c r="B68" t="inlineStr">
        <is>
          <t>商业航天股权与产业投资</t>
        </is>
      </c>
      <c r="C68" t="inlineStr">
        <is>
          <t>相关</t>
        </is>
      </c>
      <c r="D68" t="inlineStr">
        <is>
          <t>600895</t>
        </is>
      </c>
      <c r="E68" t="inlineStr">
        <is>
          <t>张江高科</t>
        </is>
      </c>
    </row>
    <row r="69">
      <c r="A69" t="inlineStr">
        <is>
          <t>商业航天</t>
        </is>
      </c>
      <c r="B69" t="inlineStr">
        <is>
          <t>卫星运营与通信服务</t>
        </is>
      </c>
      <c r="C69" t="inlineStr">
        <is>
          <t>核心</t>
        </is>
      </c>
      <c r="D69" t="inlineStr">
        <is>
          <t>601698</t>
        </is>
      </c>
      <c r="E69" t="inlineStr">
        <is>
          <t>中国卫通</t>
        </is>
      </c>
    </row>
    <row r="70">
      <c r="A70" t="inlineStr">
        <is>
          <t>商业航天</t>
        </is>
      </c>
      <c r="B70" t="inlineStr">
        <is>
          <t>卫星互联网网络与系统</t>
        </is>
      </c>
      <c r="C70" t="inlineStr">
        <is>
          <t>核心</t>
        </is>
      </c>
      <c r="D70" t="inlineStr">
        <is>
          <t>601698</t>
        </is>
      </c>
      <c r="E70" t="inlineStr">
        <is>
          <t>中国卫通</t>
        </is>
      </c>
    </row>
    <row r="71">
      <c r="A71" t="inlineStr">
        <is>
          <t>商业航天</t>
        </is>
      </c>
      <c r="B71" t="inlineStr">
        <is>
          <t>商业航天股权与产业投资</t>
        </is>
      </c>
      <c r="C71" t="inlineStr">
        <is>
          <t>相关</t>
        </is>
      </c>
      <c r="D71" t="inlineStr">
        <is>
          <t>603017</t>
        </is>
      </c>
      <c r="E71" t="inlineStr">
        <is>
          <t>中衡设计</t>
        </is>
      </c>
    </row>
    <row r="72">
      <c r="A72" t="inlineStr">
        <is>
          <t>商业航天</t>
        </is>
      </c>
      <c r="B72" t="inlineStr">
        <is>
          <t>卫星总体与制造</t>
        </is>
      </c>
      <c r="C72" t="inlineStr">
        <is>
          <t>相关</t>
        </is>
      </c>
      <c r="D72" t="inlineStr">
        <is>
          <t>603131</t>
        </is>
      </c>
      <c r="E72" t="inlineStr">
        <is>
          <t>上海沪工</t>
        </is>
      </c>
    </row>
    <row r="73">
      <c r="A73" t="inlineStr">
        <is>
          <t>商业航天</t>
        </is>
      </c>
      <c r="B73" t="inlineStr">
        <is>
          <t>卫星平台与核心分系统</t>
        </is>
      </c>
      <c r="C73" t="inlineStr">
        <is>
          <t>相关</t>
        </is>
      </c>
      <c r="D73" t="inlineStr">
        <is>
          <t>603131</t>
        </is>
      </c>
      <c r="E73" t="inlineStr">
        <is>
          <t>上海沪工</t>
        </is>
      </c>
    </row>
    <row r="74">
      <c r="A74" t="inlineStr">
        <is>
          <t>商业航天</t>
        </is>
      </c>
      <c r="B74" t="inlineStr">
        <is>
          <t>卫星通信终端与天线</t>
        </is>
      </c>
      <c r="C74" t="inlineStr">
        <is>
          <t>相关</t>
        </is>
      </c>
      <c r="D74" t="inlineStr">
        <is>
          <t>603211</t>
        </is>
      </c>
      <c r="E74" t="inlineStr">
        <is>
          <t>晋拓股份</t>
        </is>
      </c>
    </row>
    <row r="75">
      <c r="A75" t="inlineStr">
        <is>
          <t>商业航天</t>
        </is>
      </c>
      <c r="B75" t="inlineStr">
        <is>
          <t>星载电子与核心元器件</t>
        </is>
      </c>
      <c r="C75" t="inlineStr">
        <is>
          <t>相关</t>
        </is>
      </c>
      <c r="D75" t="inlineStr">
        <is>
          <t>603267</t>
        </is>
      </c>
      <c r="E75" t="inlineStr">
        <is>
          <t>鸿远电子</t>
        </is>
      </c>
    </row>
    <row r="76">
      <c r="A76" t="inlineStr">
        <is>
          <t>商业航天</t>
        </is>
      </c>
      <c r="B76" t="inlineStr">
        <is>
          <t>卫星通信终端与天线</t>
        </is>
      </c>
      <c r="C76" t="inlineStr">
        <is>
          <t>相关</t>
        </is>
      </c>
      <c r="D76" t="inlineStr">
        <is>
          <t>603305</t>
        </is>
      </c>
      <c r="E76" t="inlineStr">
        <is>
          <t>旭升集团</t>
        </is>
      </c>
    </row>
    <row r="77">
      <c r="A77" t="inlineStr">
        <is>
          <t>商业航天</t>
        </is>
      </c>
      <c r="B77" t="inlineStr">
        <is>
          <t>航天材料与增材制造</t>
        </is>
      </c>
      <c r="C77" t="inlineStr">
        <is>
          <t>相关</t>
        </is>
      </c>
      <c r="D77" t="inlineStr">
        <is>
          <t>603601</t>
        </is>
      </c>
      <c r="E77" t="inlineStr">
        <is>
          <t>再升科技</t>
        </is>
      </c>
    </row>
    <row r="78">
      <c r="A78" t="inlineStr">
        <is>
          <t>商业航天</t>
        </is>
      </c>
      <c r="B78" t="inlineStr">
        <is>
          <t>商业航天股权与产业投资</t>
        </is>
      </c>
      <c r="C78" t="inlineStr">
        <is>
          <t>相关</t>
        </is>
      </c>
      <c r="D78" t="inlineStr">
        <is>
          <t>603679</t>
        </is>
      </c>
      <c r="E78" t="inlineStr">
        <is>
          <t>华体科技</t>
        </is>
      </c>
    </row>
    <row r="79">
      <c r="A79" t="inlineStr">
        <is>
          <t>商业航天</t>
        </is>
      </c>
      <c r="B79" t="inlineStr">
        <is>
          <t>火箭结构与紧固件</t>
        </is>
      </c>
      <c r="C79" t="inlineStr">
        <is>
          <t>相关</t>
        </is>
      </c>
      <c r="D79" t="inlineStr">
        <is>
          <t>603809</t>
        </is>
      </c>
      <c r="E79" t="inlineStr">
        <is>
          <t>豪能股份</t>
        </is>
      </c>
    </row>
    <row r="80">
      <c r="A80" t="inlineStr">
        <is>
          <t>商业航天</t>
        </is>
      </c>
      <c r="B80" t="inlineStr">
        <is>
          <t>火箭推进与流体控制</t>
        </is>
      </c>
      <c r="C80" t="inlineStr">
        <is>
          <t>相关</t>
        </is>
      </c>
      <c r="D80" t="inlineStr">
        <is>
          <t>603809</t>
        </is>
      </c>
      <c r="E80" t="inlineStr">
        <is>
          <t>豪能股份</t>
        </is>
      </c>
    </row>
    <row r="81">
      <c r="A81" t="inlineStr">
        <is>
          <t>商业航天</t>
        </is>
      </c>
      <c r="B81" t="inlineStr">
        <is>
          <t>发射场与地面保障</t>
        </is>
      </c>
      <c r="C81" t="inlineStr">
        <is>
          <t>相关</t>
        </is>
      </c>
      <c r="D81" t="inlineStr">
        <is>
          <t>605090</t>
        </is>
      </c>
      <c r="E81" t="inlineStr">
        <is>
          <t>九丰能源</t>
        </is>
      </c>
    </row>
    <row r="82">
      <c r="A82" t="inlineStr">
        <is>
          <t>商业航天</t>
        </is>
      </c>
      <c r="B82" t="inlineStr">
        <is>
          <t>火箭结构与紧固件</t>
        </is>
      </c>
      <c r="C82" t="inlineStr">
        <is>
          <t>核心</t>
        </is>
      </c>
      <c r="D82" t="inlineStr">
        <is>
          <t>605123</t>
        </is>
      </c>
      <c r="E82" t="inlineStr">
        <is>
          <t>派克新材</t>
        </is>
      </c>
    </row>
    <row r="83">
      <c r="A83" t="inlineStr">
        <is>
          <t>商业航天</t>
        </is>
      </c>
      <c r="B83" t="inlineStr">
        <is>
          <t>火箭总体与动力</t>
        </is>
      </c>
      <c r="C83" t="inlineStr">
        <is>
          <t>核心</t>
        </is>
      </c>
      <c r="D83" t="inlineStr">
        <is>
          <t>605123</t>
        </is>
      </c>
      <c r="E83" t="inlineStr">
        <is>
          <t>派克新材</t>
        </is>
      </c>
    </row>
    <row r="84">
      <c r="A84" t="inlineStr">
        <is>
          <t>商业航天</t>
        </is>
      </c>
      <c r="B84" t="inlineStr">
        <is>
          <t>卫星结构与机构</t>
        </is>
      </c>
      <c r="C84" t="inlineStr">
        <is>
          <t>核心</t>
        </is>
      </c>
      <c r="D84" t="inlineStr">
        <is>
          <t>605123</t>
        </is>
      </c>
      <c r="E84" t="inlineStr">
        <is>
          <t>派克新材</t>
        </is>
      </c>
    </row>
    <row r="85">
      <c r="A85" t="inlineStr">
        <is>
          <t>商业航天</t>
        </is>
      </c>
      <c r="B85" t="inlineStr">
        <is>
          <t>火箭总体与动力</t>
        </is>
      </c>
      <c r="C85" t="inlineStr">
        <is>
          <t>相关</t>
        </is>
      </c>
      <c r="D85" t="inlineStr">
        <is>
          <t>688102</t>
        </is>
      </c>
      <c r="E85" t="inlineStr">
        <is>
          <t>斯瑞新材</t>
        </is>
      </c>
    </row>
    <row r="86">
      <c r="A86" t="inlineStr">
        <is>
          <t>商业航天</t>
        </is>
      </c>
      <c r="B86" t="inlineStr">
        <is>
          <t>航天材料与增材制造</t>
        </is>
      </c>
      <c r="C86" t="inlineStr">
        <is>
          <t>相关</t>
        </is>
      </c>
      <c r="D86" t="inlineStr">
        <is>
          <t>688102</t>
        </is>
      </c>
      <c r="E86" t="inlineStr">
        <is>
          <t>斯瑞新材</t>
        </is>
      </c>
    </row>
    <row r="87">
      <c r="A87" t="inlineStr">
        <is>
          <t>商业航天</t>
        </is>
      </c>
      <c r="B87" t="inlineStr">
        <is>
          <t>卫星通信终端与天线</t>
        </is>
      </c>
      <c r="C87" t="inlineStr">
        <is>
          <t>相关</t>
        </is>
      </c>
      <c r="D87" t="inlineStr">
        <is>
          <t>688153</t>
        </is>
      </c>
      <c r="E87" t="inlineStr">
        <is>
          <t>唯捷创芯</t>
        </is>
      </c>
    </row>
    <row r="88">
      <c r="A88" t="inlineStr">
        <is>
          <t>商业航天</t>
        </is>
      </c>
      <c r="B88" t="inlineStr">
        <is>
          <t>卫星通信终端与天线</t>
        </is>
      </c>
      <c r="C88" t="inlineStr">
        <is>
          <t>核心</t>
        </is>
      </c>
      <c r="D88" t="inlineStr">
        <is>
          <t>688311</t>
        </is>
      </c>
      <c r="E88" t="inlineStr">
        <is>
          <t>盟升电子</t>
        </is>
      </c>
    </row>
    <row r="89">
      <c r="A89" t="inlineStr">
        <is>
          <t>商业航天</t>
        </is>
      </c>
      <c r="B89" t="inlineStr">
        <is>
          <t>航天材料与增材制造</t>
        </is>
      </c>
      <c r="C89" t="inlineStr">
        <is>
          <t>核心</t>
        </is>
      </c>
      <c r="D89" t="inlineStr">
        <is>
          <t>688333</t>
        </is>
      </c>
      <c r="E89" t="inlineStr">
        <is>
          <t>铂力特</t>
        </is>
      </c>
    </row>
    <row r="90">
      <c r="A90" t="inlineStr">
        <is>
          <t>商业航天</t>
        </is>
      </c>
      <c r="B90" t="inlineStr">
        <is>
          <t>火箭结构与紧固件</t>
        </is>
      </c>
      <c r="C90" t="inlineStr">
        <is>
          <t>核心</t>
        </is>
      </c>
      <c r="D90" t="inlineStr">
        <is>
          <t>688333</t>
        </is>
      </c>
      <c r="E90" t="inlineStr">
        <is>
          <t>铂力特</t>
        </is>
      </c>
    </row>
    <row r="91">
      <c r="A91" t="inlineStr">
        <is>
          <t>商业航天</t>
        </is>
      </c>
      <c r="B91" t="inlineStr">
        <is>
          <t>火箭总体与动力</t>
        </is>
      </c>
      <c r="C91" t="inlineStr">
        <is>
          <t>核心</t>
        </is>
      </c>
      <c r="D91" t="inlineStr">
        <is>
          <t>688333</t>
        </is>
      </c>
      <c r="E91" t="inlineStr">
        <is>
          <t>铂力特</t>
        </is>
      </c>
    </row>
    <row r="92">
      <c r="A92" t="inlineStr">
        <is>
          <t>商业航天</t>
        </is>
      </c>
      <c r="B92" t="inlineStr">
        <is>
          <t>卫星载荷-通信与转发</t>
        </is>
      </c>
      <c r="C92" t="inlineStr">
        <is>
          <t>核心</t>
        </is>
      </c>
      <c r="D92" t="inlineStr">
        <is>
          <t>688375</t>
        </is>
      </c>
      <c r="E92" t="inlineStr">
        <is>
          <t>国博电子</t>
        </is>
      </c>
    </row>
    <row r="93">
      <c r="A93" t="inlineStr">
        <is>
          <t>商业航天</t>
        </is>
      </c>
      <c r="B93" t="inlineStr">
        <is>
          <t>星载电子与核心元器件</t>
        </is>
      </c>
      <c r="C93" t="inlineStr">
        <is>
          <t>核心</t>
        </is>
      </c>
      <c r="D93" t="inlineStr">
        <is>
          <t>688375</t>
        </is>
      </c>
      <c r="E93" t="inlineStr">
        <is>
          <t>国博电子</t>
        </is>
      </c>
    </row>
    <row r="94">
      <c r="A94" t="inlineStr">
        <is>
          <t>商业航天</t>
        </is>
      </c>
      <c r="B94" t="inlineStr">
        <is>
          <t>卫星载荷-通信与转发</t>
        </is>
      </c>
      <c r="C94" t="inlineStr">
        <is>
          <t>相关</t>
        </is>
      </c>
      <c r="D94" t="inlineStr">
        <is>
          <t>688387</t>
        </is>
      </c>
      <c r="E94" t="inlineStr">
        <is>
          <t>信科移动-U</t>
        </is>
      </c>
    </row>
    <row r="95">
      <c r="A95" t="inlineStr">
        <is>
          <t>商业航天</t>
        </is>
      </c>
      <c r="B95" t="inlineStr">
        <is>
          <t>卫星互联网网络与系统</t>
        </is>
      </c>
      <c r="C95" t="inlineStr">
        <is>
          <t>相关</t>
        </is>
      </c>
      <c r="D95" t="inlineStr">
        <is>
          <t>688387</t>
        </is>
      </c>
      <c r="E95" t="inlineStr">
        <is>
          <t>信科移动-U</t>
        </is>
      </c>
    </row>
    <row r="96">
      <c r="A96" t="inlineStr">
        <is>
          <t>商业航天</t>
        </is>
      </c>
      <c r="B96" t="inlineStr">
        <is>
          <t>卫星通信终端与天线</t>
        </is>
      </c>
      <c r="C96" t="inlineStr">
        <is>
          <t>相关</t>
        </is>
      </c>
      <c r="D96" t="inlineStr">
        <is>
          <t>688387</t>
        </is>
      </c>
      <c r="E96" t="inlineStr">
        <is>
          <t>信科移动-U</t>
        </is>
      </c>
    </row>
    <row r="97">
      <c r="A97" t="inlineStr">
        <is>
          <t>商业航天</t>
        </is>
      </c>
      <c r="B97" t="inlineStr">
        <is>
          <t>卫星互联网网络与系统</t>
        </is>
      </c>
      <c r="C97" t="inlineStr">
        <is>
          <t>相关</t>
        </is>
      </c>
      <c r="D97" t="inlineStr">
        <is>
          <t>688418</t>
        </is>
      </c>
      <c r="E97" t="inlineStr">
        <is>
          <t>震有科技</t>
        </is>
      </c>
    </row>
    <row r="98">
      <c r="A98" t="inlineStr">
        <is>
          <t>商业航天</t>
        </is>
      </c>
      <c r="B98" t="inlineStr">
        <is>
          <t>卫星结构与机构</t>
        </is>
      </c>
      <c r="C98" t="inlineStr">
        <is>
          <t>核心</t>
        </is>
      </c>
      <c r="D98" t="inlineStr">
        <is>
          <t>688523</t>
        </is>
      </c>
      <c r="E98" t="inlineStr">
        <is>
          <t>航天环宇</t>
        </is>
      </c>
    </row>
    <row r="99">
      <c r="A99" t="inlineStr">
        <is>
          <t>商业航天</t>
        </is>
      </c>
      <c r="B99" t="inlineStr">
        <is>
          <t>卫星电源与太阳翼</t>
        </is>
      </c>
      <c r="C99" t="inlineStr">
        <is>
          <t>核心</t>
        </is>
      </c>
      <c r="D99" t="inlineStr">
        <is>
          <t>688523</t>
        </is>
      </c>
      <c r="E99" t="inlineStr">
        <is>
          <t>航天环宇</t>
        </is>
      </c>
    </row>
    <row r="100">
      <c r="A100" t="inlineStr">
        <is>
          <t>商业航天</t>
        </is>
      </c>
      <c r="B100" t="inlineStr">
        <is>
          <t>地面站与测运控</t>
        </is>
      </c>
      <c r="C100" t="inlineStr">
        <is>
          <t>核心</t>
        </is>
      </c>
      <c r="D100" t="inlineStr">
        <is>
          <t>688523</t>
        </is>
      </c>
      <c r="E100" t="inlineStr">
        <is>
          <t>航天环宇</t>
        </is>
      </c>
    </row>
    <row r="101">
      <c r="A101" t="inlineStr">
        <is>
          <t>商业航天</t>
        </is>
      </c>
      <c r="B101" t="inlineStr">
        <is>
          <t>航天电子与测控组件</t>
        </is>
      </c>
      <c r="C101" t="inlineStr">
        <is>
          <t>相关</t>
        </is>
      </c>
      <c r="D101" t="inlineStr">
        <is>
          <t>688539</t>
        </is>
      </c>
      <c r="E101" t="inlineStr">
        <is>
          <t>高华科技</t>
        </is>
      </c>
    </row>
    <row r="102">
      <c r="A102" t="inlineStr">
        <is>
          <t>商业航天</t>
        </is>
      </c>
      <c r="B102" t="inlineStr">
        <is>
          <t>地面站与测运控</t>
        </is>
      </c>
      <c r="C102" t="inlineStr">
        <is>
          <t>核心</t>
        </is>
      </c>
      <c r="D102" t="inlineStr">
        <is>
          <t>688568</t>
        </is>
      </c>
      <c r="E102" t="inlineStr">
        <is>
          <t>中科星图</t>
        </is>
      </c>
    </row>
    <row r="103">
      <c r="A103" t="inlineStr">
        <is>
          <t>商业航天</t>
        </is>
      </c>
      <c r="B103" t="inlineStr">
        <is>
          <t>卫星数据与遥感应用</t>
        </is>
      </c>
      <c r="C103" t="inlineStr">
        <is>
          <t>核心</t>
        </is>
      </c>
      <c r="D103" t="inlineStr">
        <is>
          <t>688568</t>
        </is>
      </c>
      <c r="E103" t="inlineStr">
        <is>
          <t>中科星图</t>
        </is>
      </c>
    </row>
    <row r="104">
      <c r="A104" t="inlineStr">
        <is>
          <t>商业航天</t>
        </is>
      </c>
      <c r="B104" t="inlineStr">
        <is>
          <t>环境试验与检测服务</t>
        </is>
      </c>
      <c r="C104" t="inlineStr">
        <is>
          <t>相关</t>
        </is>
      </c>
      <c r="D104" t="inlineStr">
        <is>
          <t>688682</t>
        </is>
      </c>
      <c r="E104" t="inlineStr">
        <is>
          <t>霍莱沃</t>
        </is>
      </c>
    </row>
    <row r="105">
      <c r="A105" t="inlineStr">
        <is>
          <t>商业航天</t>
        </is>
      </c>
      <c r="B105" t="inlineStr">
        <is>
          <t>卫星平台与核心分系统</t>
        </is>
      </c>
      <c r="C105" t="inlineStr">
        <is>
          <t>相关</t>
        </is>
      </c>
      <c r="D105" t="inlineStr">
        <is>
          <t>688776</t>
        </is>
      </c>
      <c r="E105" t="inlineStr">
        <is>
          <t>国光电气</t>
        </is>
      </c>
    </row>
    <row r="106">
      <c r="A106" t="inlineStr">
        <is>
          <t>商业航天</t>
        </is>
      </c>
      <c r="B106" t="inlineStr">
        <is>
          <t>卫星载荷-通信与转发</t>
        </is>
      </c>
      <c r="C106" t="inlineStr">
        <is>
          <t>相关</t>
        </is>
      </c>
      <c r="D106" t="inlineStr">
        <is>
          <t>688776</t>
        </is>
      </c>
      <c r="E106" t="inlineStr">
        <is>
          <t>国光电气</t>
        </is>
      </c>
    </row>
    <row r="107">
      <c r="A107" t="inlineStr">
        <is>
          <t>商业航天</t>
        </is>
      </c>
      <c r="B107" t="inlineStr">
        <is>
          <t>地面站与测运控</t>
        </is>
      </c>
      <c r="C107" t="inlineStr">
        <is>
          <t>核心</t>
        </is>
      </c>
      <c r="D107" t="inlineStr">
        <is>
          <t>920116</t>
        </is>
      </c>
      <c r="E107" t="inlineStr">
        <is>
          <t>星图测控</t>
        </is>
      </c>
    </row>
    <row r="108">
      <c r="A108" t="inlineStr">
        <is>
          <t>商业航天</t>
        </is>
      </c>
      <c r="B108" t="inlineStr">
        <is>
          <t>火箭结构与紧固件</t>
        </is>
      </c>
      <c r="C108" t="inlineStr">
        <is>
          <t>相关</t>
        </is>
      </c>
      <c r="D108" t="inlineStr">
        <is>
          <t>920169</t>
        </is>
      </c>
      <c r="E108" t="inlineStr">
        <is>
          <t>七丰精工</t>
        </is>
      </c>
    </row>
    <row r="109">
      <c r="A109" t="inlineStr">
        <is>
          <t>商业航天</t>
        </is>
      </c>
      <c r="B109" t="inlineStr">
        <is>
          <t>星载电子与核心元器件</t>
        </is>
      </c>
      <c r="C109" t="inlineStr">
        <is>
          <t>相关</t>
        </is>
      </c>
      <c r="D109" t="inlineStr">
        <is>
          <t>920640</t>
        </is>
      </c>
      <c r="E109" t="inlineStr">
        <is>
          <t>富士达</t>
        </is>
      </c>
    </row>
    <row r="110">
      <c r="A110" t="inlineStr">
        <is>
          <t>商业航天</t>
        </is>
      </c>
      <c r="B110" t="inlineStr">
        <is>
          <t>卫星通信终端与天线</t>
        </is>
      </c>
      <c r="C110" t="inlineStr">
        <is>
          <t>相关</t>
        </is>
      </c>
      <c r="D110" t="inlineStr">
        <is>
          <t>002512</t>
        </is>
      </c>
      <c r="E110" t="inlineStr">
        <is>
          <t>达华智能</t>
        </is>
      </c>
    </row>
    <row r="111">
      <c r="A111" t="inlineStr">
        <is>
          <t>商业航天</t>
        </is>
      </c>
      <c r="B111" t="inlineStr">
        <is>
          <t>卫星运营与通信服务</t>
        </is>
      </c>
      <c r="C111" t="inlineStr">
        <is>
          <t>相关</t>
        </is>
      </c>
      <c r="D111" t="inlineStr">
        <is>
          <t>002512</t>
        </is>
      </c>
      <c r="E111" t="inlineStr">
        <is>
          <t>达华智能</t>
        </is>
      </c>
    </row>
    <row r="112">
      <c r="A112" t="inlineStr">
        <is>
          <t>商业航天</t>
        </is>
      </c>
      <c r="B112" t="inlineStr">
        <is>
          <t>卫星数据与遥感应用</t>
        </is>
      </c>
      <c r="C112" t="inlineStr">
        <is>
          <t>核心</t>
        </is>
      </c>
      <c r="D112" t="inlineStr">
        <is>
          <t>688066</t>
        </is>
      </c>
      <c r="E112" t="inlineStr">
        <is>
          <t>航天宏图</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2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8" customWidth="1" min="2" max="2"/>
    <col width="42" customWidth="1" min="3" max="3"/>
    <col width="18" customWidth="1" min="4" max="4"/>
    <col width="18" customWidth="1" min="5" max="5"/>
    <col width="18" customWidth="1" min="6" max="6"/>
  </cols>
  <sheetData>
    <row r="2" ht="32" customHeight="1">
      <c r="B2" s="1" t="inlineStr">
        <is>
          <t>概念统计 · 核心/相关分布</t>
        </is>
      </c>
    </row>
    <row r="3">
      <c r="B3" s="2" t="inlineStr">
        <is>
          <t>公式引用隐藏展开表精确计数；一只股票可对应多个概念。</t>
        </is>
      </c>
    </row>
    <row r="4">
      <c r="B4" s="10" t="inlineStr">
        <is>
          <t>一级分类</t>
        </is>
      </c>
      <c r="C4" s="10" t="inlineStr">
        <is>
          <t>二级概念</t>
        </is>
      </c>
      <c r="D4" s="10" t="inlineStr">
        <is>
          <t>核心（只）</t>
        </is>
      </c>
      <c r="E4" s="10" t="inlineStr">
        <is>
          <t>相关（只）</t>
        </is>
      </c>
      <c r="F4" s="10" t="inlineStr">
        <is>
          <t>合计（只）</t>
        </is>
      </c>
    </row>
    <row r="5">
      <c r="B5" t="inlineStr">
        <is>
          <t>商业航天</t>
        </is>
      </c>
      <c r="C5" s="11" t="inlineStr">
        <is>
          <t>卫星互联网网络与系统</t>
        </is>
      </c>
      <c r="D5" s="12">
        <f>COUNTIFS('概念展开'!$A$2:$A$112,B5,'概念展开'!$B$2:$B$112,C5,'概念展开'!$C$2:$C$112,"核心")</f>
        <v/>
      </c>
      <c r="E5" s="12">
        <f>COUNTIFS('概念展开'!$A$2:$A$112,B5,'概念展开'!$B$2:$B$112,C5,'概念展开'!$C$2:$C$112,"相关")</f>
        <v/>
      </c>
      <c r="F5">
        <f>SUM(D5:E5)</f>
        <v/>
      </c>
    </row>
    <row r="6">
      <c r="B6" s="13" t="inlineStr">
        <is>
          <t>商业航天</t>
        </is>
      </c>
      <c r="C6" s="14" t="inlineStr">
        <is>
          <t>卫星平台与核心分系统</t>
        </is>
      </c>
      <c r="D6" s="15">
        <f>COUNTIFS('概念展开'!$A$2:$A$112,B6,'概念展开'!$B$2:$B$112,C6,'概念展开'!$C$2:$C$112,"核心")</f>
        <v/>
      </c>
      <c r="E6" s="15">
        <f>COUNTIFS('概念展开'!$A$2:$A$112,B6,'概念展开'!$B$2:$B$112,C6,'概念展开'!$C$2:$C$112,"相关")</f>
        <v/>
      </c>
      <c r="F6" s="13">
        <f>SUM(D6:E6)</f>
        <v/>
      </c>
    </row>
    <row r="7">
      <c r="B7" t="inlineStr">
        <is>
          <t>商业航天</t>
        </is>
      </c>
      <c r="C7" s="11" t="inlineStr">
        <is>
          <t>卫星总体与制造</t>
        </is>
      </c>
      <c r="D7" s="12">
        <f>COUNTIFS('概念展开'!$A$2:$A$112,B7,'概念展开'!$B$2:$B$112,C7,'概念展开'!$C$2:$C$112,"核心")</f>
        <v/>
      </c>
      <c r="E7" s="12">
        <f>COUNTIFS('概念展开'!$A$2:$A$112,B7,'概念展开'!$B$2:$B$112,C7,'概念展开'!$C$2:$C$112,"相关")</f>
        <v/>
      </c>
      <c r="F7">
        <f>SUM(D7:E7)</f>
        <v/>
      </c>
    </row>
    <row r="8">
      <c r="B8" s="13" t="inlineStr">
        <is>
          <t>商业航天</t>
        </is>
      </c>
      <c r="C8" s="14" t="inlineStr">
        <is>
          <t>卫星数据与遥感应用</t>
        </is>
      </c>
      <c r="D8" s="15">
        <f>COUNTIFS('概念展开'!$A$2:$A$112,B8,'概念展开'!$B$2:$B$112,C8,'概念展开'!$C$2:$C$112,"核心")</f>
        <v/>
      </c>
      <c r="E8" s="15">
        <f>COUNTIFS('概念展开'!$A$2:$A$112,B8,'概念展开'!$B$2:$B$112,C8,'概念展开'!$C$2:$C$112,"相关")</f>
        <v/>
      </c>
      <c r="F8" s="13">
        <f>SUM(D8:E8)</f>
        <v/>
      </c>
    </row>
    <row r="9">
      <c r="B9" t="inlineStr">
        <is>
          <t>商业航天</t>
        </is>
      </c>
      <c r="C9" s="11" t="inlineStr">
        <is>
          <t>卫星电源与太阳翼</t>
        </is>
      </c>
      <c r="D9" s="12">
        <f>COUNTIFS('概念展开'!$A$2:$A$112,B9,'概念展开'!$B$2:$B$112,C9,'概念展开'!$C$2:$C$112,"核心")</f>
        <v/>
      </c>
      <c r="E9" s="12">
        <f>COUNTIFS('概念展开'!$A$2:$A$112,B9,'概念展开'!$B$2:$B$112,C9,'概念展开'!$C$2:$C$112,"相关")</f>
        <v/>
      </c>
      <c r="F9">
        <f>SUM(D9:E9)</f>
        <v/>
      </c>
    </row>
    <row r="10">
      <c r="B10" s="13" t="inlineStr">
        <is>
          <t>商业航天</t>
        </is>
      </c>
      <c r="C10" s="14" t="inlineStr">
        <is>
          <t>卫星结构与机构</t>
        </is>
      </c>
      <c r="D10" s="15">
        <f>COUNTIFS('概念展开'!$A$2:$A$112,B10,'概念展开'!$B$2:$B$112,C10,'概念展开'!$C$2:$C$112,"核心")</f>
        <v/>
      </c>
      <c r="E10" s="15">
        <f>COUNTIFS('概念展开'!$A$2:$A$112,B10,'概念展开'!$B$2:$B$112,C10,'概念展开'!$C$2:$C$112,"相关")</f>
        <v/>
      </c>
      <c r="F10" s="13">
        <f>SUM(D10:E10)</f>
        <v/>
      </c>
    </row>
    <row r="11">
      <c r="B11" t="inlineStr">
        <is>
          <t>商业航天</t>
        </is>
      </c>
      <c r="C11" s="11" t="inlineStr">
        <is>
          <t>卫星载荷-通信与转发</t>
        </is>
      </c>
      <c r="D11" s="12">
        <f>COUNTIFS('概念展开'!$A$2:$A$112,B11,'概念展开'!$B$2:$B$112,C11,'概念展开'!$C$2:$C$112,"核心")</f>
        <v/>
      </c>
      <c r="E11" s="12">
        <f>COUNTIFS('概念展开'!$A$2:$A$112,B11,'概念展开'!$B$2:$B$112,C11,'概念展开'!$C$2:$C$112,"相关")</f>
        <v/>
      </c>
      <c r="F11">
        <f>SUM(D11:E11)</f>
        <v/>
      </c>
    </row>
    <row r="12">
      <c r="B12" s="13" t="inlineStr">
        <is>
          <t>商业航天</t>
        </is>
      </c>
      <c r="C12" s="14" t="inlineStr">
        <is>
          <t>卫星载荷-遥感与探测</t>
        </is>
      </c>
      <c r="D12" s="15">
        <f>COUNTIFS('概念展开'!$A$2:$A$112,B12,'概念展开'!$B$2:$B$112,C12,'概念展开'!$C$2:$C$112,"核心")</f>
        <v/>
      </c>
      <c r="E12" s="15">
        <f>COUNTIFS('概念展开'!$A$2:$A$112,B12,'概念展开'!$B$2:$B$112,C12,'概念展开'!$C$2:$C$112,"相关")</f>
        <v/>
      </c>
      <c r="F12" s="13">
        <f>SUM(D12:E12)</f>
        <v/>
      </c>
    </row>
    <row r="13">
      <c r="B13" t="inlineStr">
        <is>
          <t>商业航天</t>
        </is>
      </c>
      <c r="C13" s="11" t="inlineStr">
        <is>
          <t>卫星运营与通信服务</t>
        </is>
      </c>
      <c r="D13" s="12">
        <f>COUNTIFS('概念展开'!$A$2:$A$112,B13,'概念展开'!$B$2:$B$112,C13,'概念展开'!$C$2:$C$112,"核心")</f>
        <v/>
      </c>
      <c r="E13" s="12">
        <f>COUNTIFS('概念展开'!$A$2:$A$112,B13,'概念展开'!$B$2:$B$112,C13,'概念展开'!$C$2:$C$112,"相关")</f>
        <v/>
      </c>
      <c r="F13">
        <f>SUM(D13:E13)</f>
        <v/>
      </c>
    </row>
    <row r="14">
      <c r="B14" s="13" t="inlineStr">
        <is>
          <t>商业航天</t>
        </is>
      </c>
      <c r="C14" s="14" t="inlineStr">
        <is>
          <t>卫星通信终端与天线</t>
        </is>
      </c>
      <c r="D14" s="15">
        <f>COUNTIFS('概念展开'!$A$2:$A$112,B14,'概念展开'!$B$2:$B$112,C14,'概念展开'!$C$2:$C$112,"核心")</f>
        <v/>
      </c>
      <c r="E14" s="15">
        <f>COUNTIFS('概念展开'!$A$2:$A$112,B14,'概念展开'!$B$2:$B$112,C14,'概念展开'!$C$2:$C$112,"相关")</f>
        <v/>
      </c>
      <c r="F14" s="13">
        <f>SUM(D14:E14)</f>
        <v/>
      </c>
    </row>
    <row r="15">
      <c r="B15" t="inlineStr">
        <is>
          <t>商业航天</t>
        </is>
      </c>
      <c r="C15" s="11" t="inlineStr">
        <is>
          <t>发射场与地面保障</t>
        </is>
      </c>
      <c r="D15" s="12">
        <f>COUNTIFS('概念展开'!$A$2:$A$112,B15,'概念展开'!$B$2:$B$112,C15,'概念展开'!$C$2:$C$112,"核心")</f>
        <v/>
      </c>
      <c r="E15" s="12">
        <f>COUNTIFS('概念展开'!$A$2:$A$112,B15,'概念展开'!$B$2:$B$112,C15,'概念展开'!$C$2:$C$112,"相关")</f>
        <v/>
      </c>
      <c r="F15">
        <f>SUM(D15:E15)</f>
        <v/>
      </c>
    </row>
    <row r="16">
      <c r="B16" s="13" t="inlineStr">
        <is>
          <t>商业航天</t>
        </is>
      </c>
      <c r="C16" s="14" t="inlineStr">
        <is>
          <t>商业航天股权与产业投资</t>
        </is>
      </c>
      <c r="D16" s="15">
        <f>COUNTIFS('概念展开'!$A$2:$A$112,B16,'概念展开'!$B$2:$B$112,C16,'概念展开'!$C$2:$C$112,"核心")</f>
        <v/>
      </c>
      <c r="E16" s="15">
        <f>COUNTIFS('概念展开'!$A$2:$A$112,B16,'概念展开'!$B$2:$B$112,C16,'概念展开'!$C$2:$C$112,"相关")</f>
        <v/>
      </c>
      <c r="F16" s="13">
        <f>SUM(D16:E16)</f>
        <v/>
      </c>
    </row>
    <row r="17">
      <c r="B17" t="inlineStr">
        <is>
          <t>商业航天</t>
        </is>
      </c>
      <c r="C17" s="11" t="inlineStr">
        <is>
          <t>商业航天配套-通用零部件</t>
        </is>
      </c>
      <c r="D17" s="12">
        <f>COUNTIFS('概念展开'!$A$2:$A$112,B17,'概念展开'!$B$2:$B$112,C17,'概念展开'!$C$2:$C$112,"核心")</f>
        <v/>
      </c>
      <c r="E17" s="12">
        <f>COUNTIFS('概念展开'!$A$2:$A$112,B17,'概念展开'!$B$2:$B$112,C17,'概念展开'!$C$2:$C$112,"相关")</f>
        <v/>
      </c>
      <c r="F17">
        <f>SUM(D17:E17)</f>
        <v/>
      </c>
    </row>
    <row r="18">
      <c r="B18" s="13" t="inlineStr">
        <is>
          <t>商业航天</t>
        </is>
      </c>
      <c r="C18" s="14" t="inlineStr">
        <is>
          <t>地面站与测运控</t>
        </is>
      </c>
      <c r="D18" s="15">
        <f>COUNTIFS('概念展开'!$A$2:$A$112,B18,'概念展开'!$B$2:$B$112,C18,'概念展开'!$C$2:$C$112,"核心")</f>
        <v/>
      </c>
      <c r="E18" s="15">
        <f>COUNTIFS('概念展开'!$A$2:$A$112,B18,'概念展开'!$B$2:$B$112,C18,'概念展开'!$C$2:$C$112,"相关")</f>
        <v/>
      </c>
      <c r="F18" s="13">
        <f>SUM(D18:E18)</f>
        <v/>
      </c>
    </row>
    <row r="19">
      <c r="B19" t="inlineStr">
        <is>
          <t>商业航天</t>
        </is>
      </c>
      <c r="C19" s="11" t="inlineStr">
        <is>
          <t>导航定位与授时服务</t>
        </is>
      </c>
      <c r="D19" s="12">
        <f>COUNTIFS('概念展开'!$A$2:$A$112,B19,'概念展开'!$B$2:$B$112,C19,'概念展开'!$C$2:$C$112,"核心")</f>
        <v/>
      </c>
      <c r="E19" s="12">
        <f>COUNTIFS('概念展开'!$A$2:$A$112,B19,'概念展开'!$B$2:$B$112,C19,'概念展开'!$C$2:$C$112,"相关")</f>
        <v/>
      </c>
      <c r="F19">
        <f>SUM(D19:E19)</f>
        <v/>
      </c>
    </row>
    <row r="20">
      <c r="B20" s="13" t="inlineStr">
        <is>
          <t>商业航天</t>
        </is>
      </c>
      <c r="C20" s="14" t="inlineStr">
        <is>
          <t>星载射频与微波芯片</t>
        </is>
      </c>
      <c r="D20" s="15">
        <f>COUNTIFS('概念展开'!$A$2:$A$112,B20,'概念展开'!$B$2:$B$112,C20,'概念展开'!$C$2:$C$112,"核心")</f>
        <v/>
      </c>
      <c r="E20" s="15">
        <f>COUNTIFS('概念展开'!$A$2:$A$112,B20,'概念展开'!$B$2:$B$112,C20,'概念展开'!$C$2:$C$112,"相关")</f>
        <v/>
      </c>
      <c r="F20" s="13">
        <f>SUM(D20:E20)</f>
        <v/>
      </c>
    </row>
    <row r="21">
      <c r="B21" t="inlineStr">
        <is>
          <t>商业航天</t>
        </is>
      </c>
      <c r="C21" s="11" t="inlineStr">
        <is>
          <t>星载电子与核心元器件</t>
        </is>
      </c>
      <c r="D21" s="12">
        <f>COUNTIFS('概念展开'!$A$2:$A$112,B21,'概念展开'!$B$2:$B$112,C21,'概念展开'!$C$2:$C$112,"核心")</f>
        <v/>
      </c>
      <c r="E21" s="12">
        <f>COUNTIFS('概念展开'!$A$2:$A$112,B21,'概念展开'!$B$2:$B$112,C21,'概念展开'!$C$2:$C$112,"相关")</f>
        <v/>
      </c>
      <c r="F21">
        <f>SUM(D21:E21)</f>
        <v/>
      </c>
    </row>
    <row r="22">
      <c r="B22" s="13" t="inlineStr">
        <is>
          <t>商业航天</t>
        </is>
      </c>
      <c r="C22" s="14" t="inlineStr">
        <is>
          <t>火箭总体与动力</t>
        </is>
      </c>
      <c r="D22" s="15">
        <f>COUNTIFS('概念展开'!$A$2:$A$112,B22,'概念展开'!$B$2:$B$112,C22,'概念展开'!$C$2:$C$112,"核心")</f>
        <v/>
      </c>
      <c r="E22" s="15">
        <f>COUNTIFS('概念展开'!$A$2:$A$112,B22,'概念展开'!$B$2:$B$112,C22,'概念展开'!$C$2:$C$112,"相关")</f>
        <v/>
      </c>
      <c r="F22" s="13">
        <f>SUM(D22:E22)</f>
        <v/>
      </c>
    </row>
    <row r="23">
      <c r="B23" t="inlineStr">
        <is>
          <t>商业航天</t>
        </is>
      </c>
      <c r="C23" s="11" t="inlineStr">
        <is>
          <t>火箭推进与流体控制</t>
        </is>
      </c>
      <c r="D23" s="12">
        <f>COUNTIFS('概念展开'!$A$2:$A$112,B23,'概念展开'!$B$2:$B$112,C23,'概念展开'!$C$2:$C$112,"核心")</f>
        <v/>
      </c>
      <c r="E23" s="12">
        <f>COUNTIFS('概念展开'!$A$2:$A$112,B23,'概念展开'!$B$2:$B$112,C23,'概念展开'!$C$2:$C$112,"相关")</f>
        <v/>
      </c>
      <c r="F23">
        <f>SUM(D23:E23)</f>
        <v/>
      </c>
    </row>
    <row r="24">
      <c r="B24" s="13" t="inlineStr">
        <is>
          <t>商业航天</t>
        </is>
      </c>
      <c r="C24" s="14" t="inlineStr">
        <is>
          <t>火箭结构与紧固件</t>
        </is>
      </c>
      <c r="D24" s="15">
        <f>COUNTIFS('概念展开'!$A$2:$A$112,B24,'概念展开'!$B$2:$B$112,C24,'概念展开'!$C$2:$C$112,"核心")</f>
        <v/>
      </c>
      <c r="E24" s="15">
        <f>COUNTIFS('概念展开'!$A$2:$A$112,B24,'概念展开'!$B$2:$B$112,C24,'概念展开'!$C$2:$C$112,"相关")</f>
        <v/>
      </c>
      <c r="F24" s="13">
        <f>SUM(D24:E24)</f>
        <v/>
      </c>
    </row>
    <row r="25">
      <c r="B25" t="inlineStr">
        <is>
          <t>商业航天</t>
        </is>
      </c>
      <c r="C25" s="11" t="inlineStr">
        <is>
          <t>环境试验与检测服务</t>
        </is>
      </c>
      <c r="D25" s="12">
        <f>COUNTIFS('概念展开'!$A$2:$A$112,B25,'概念展开'!$B$2:$B$112,C25,'概念展开'!$C$2:$C$112,"核心")</f>
        <v/>
      </c>
      <c r="E25" s="12">
        <f>COUNTIFS('概念展开'!$A$2:$A$112,B25,'概念展开'!$B$2:$B$112,C25,'概念展开'!$C$2:$C$112,"相关")</f>
        <v/>
      </c>
      <c r="F25">
        <f>SUM(D25:E25)</f>
        <v/>
      </c>
    </row>
    <row r="26">
      <c r="B26" s="13" t="inlineStr">
        <is>
          <t>商业航天</t>
        </is>
      </c>
      <c r="C26" s="14" t="inlineStr">
        <is>
          <t>航天材料与增材制造</t>
        </is>
      </c>
      <c r="D26" s="15">
        <f>COUNTIFS('概念展开'!$A$2:$A$112,B26,'概念展开'!$B$2:$B$112,C26,'概念展开'!$C$2:$C$112,"核心")</f>
        <v/>
      </c>
      <c r="E26" s="15">
        <f>COUNTIFS('概念展开'!$A$2:$A$112,B26,'概念展开'!$B$2:$B$112,C26,'概念展开'!$C$2:$C$112,"相关")</f>
        <v/>
      </c>
      <c r="F26" s="13">
        <f>SUM(D26:E26)</f>
        <v/>
      </c>
    </row>
    <row r="27">
      <c r="B27" t="inlineStr">
        <is>
          <t>商业航天</t>
        </is>
      </c>
      <c r="C27" s="11" t="inlineStr">
        <is>
          <t>航天电子与测控组件</t>
        </is>
      </c>
      <c r="D27" s="12">
        <f>COUNTIFS('概念展开'!$A$2:$A$112,B27,'概念展开'!$B$2:$B$112,C27,'概念展开'!$C$2:$C$112,"核心")</f>
        <v/>
      </c>
      <c r="E27" s="12">
        <f>COUNTIFS('概念展开'!$A$2:$A$112,B27,'概念展开'!$B$2:$B$112,C27,'概念展开'!$C$2:$C$112,"相关")</f>
        <v/>
      </c>
      <c r="F27">
        <f>SUM(D27:E27)</f>
        <v/>
      </c>
    </row>
    <row r="28">
      <c r="B28" s="16" t="inlineStr">
        <is>
          <t>合计（概念次数，非股票去重数）</t>
        </is>
      </c>
      <c r="D28" s="16">
        <f>SUM(D5:D27)</f>
        <v/>
      </c>
      <c r="E28" s="16">
        <f>SUM(E5:E27)</f>
        <v/>
      </c>
      <c r="F28" s="16">
        <f>SUM(F5:F27)</f>
        <v/>
      </c>
    </row>
  </sheetData>
  <autoFilter ref="B4:F27"/>
  <mergeCells count="2">
    <mergeCell ref="B2:F2"/>
    <mergeCell ref="B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2026-10-27T05:10:56Z</dcterms:created>
  <dcterms:modified xmlns:dcterms="http://purl.org/dc/terms/" xmlns:xsi="http://www.w3.org/2001/XMLSchema-instance" xsi:type="dcterms:W3CDTF">2026-10-27T05:10:58Z</dcterms:modified>
</cp:coreProperties>
</file>