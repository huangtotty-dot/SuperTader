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 sheetId="1" state="visible" r:id="rId1"/>
    <sheet xmlns:r="http://schemas.openxmlformats.org/officeDocument/2006/relationships" name="清洗总表" sheetId="2" state="visible" r:id="rId2"/>
    <sheet xmlns:r="http://schemas.openxmlformats.org/officeDocument/2006/relationships" name="保留股池" sheetId="3" state="visible" r:id="rId3"/>
    <sheet xmlns:r="http://schemas.openxmlformats.org/officeDocument/2006/relationships" name="摘除与迁出" sheetId="4" state="visible" r:id="rId4"/>
    <sheet xmlns:r="http://schemas.openxmlformats.org/officeDocument/2006/relationships" name="数据存储复核" sheetId="5" state="visible" r:id="rId5"/>
    <sheet xmlns:r="http://schemas.openxmlformats.org/officeDocument/2006/relationships" name="概念统计" sheetId="6" state="visible" r:id="rId6"/>
  </sheets>
  <definedNames>
    <definedName name="_xlnm._FilterDatabase" localSheetId="1" hidden="1">'清洗总表'!$B$4:$M$102</definedName>
    <definedName name="_xlnm._FilterDatabase" localSheetId="2" hidden="1">'保留股池'!$B$4:$M$81</definedName>
    <definedName name="_xlnm._FilterDatabase" localSheetId="3" hidden="1">'摘除与迁出'!$B$4:$M$25</definedName>
    <definedName name="_xlnm._FilterDatabase" localSheetId="4" hidden="1">'数据存储复核'!$B$4:$M$19</definedName>
    <definedName name="_xlnm._FilterDatabase" localSheetId="5" hidden="1">'概念统计'!$B$4:$E$29</definedName>
  </definedNames>
  <calcPr calcId="124519" calcMode="auto" fullCalcOnLoad="1" forceFullCalc="1"/>
</workbook>
</file>

<file path=xl/styles.xml><?xml version="1.0" encoding="utf-8"?>
<styleSheet xmlns="http://schemas.openxmlformats.org/spreadsheetml/2006/main">
  <numFmts count="0"/>
  <fonts count="17">
    <font>
      <name val="Calibri"/>
      <family val="2"/>
      <color theme="1"/>
      <sz val="11"/>
      <scheme val="minor"/>
    </font>
    <font>
      <name val="Microsoft YaHei"/>
      <b val="1"/>
      <color rgb="00122B49"/>
      <sz val="18"/>
    </font>
    <font>
      <name val="Microsoft YaHei"/>
      <color rgb="00666666"/>
      <sz val="10"/>
    </font>
    <font>
      <name val="Microsoft YaHei"/>
      <b val="1"/>
      <color rgb="00FFFFFF"/>
    </font>
    <font>
      <name val="Microsoft YaHei"/>
      <color rgb="000066CC"/>
      <sz val="10"/>
    </font>
    <font>
      <name val="Microsoft YaHei"/>
      <color rgb="00FF0000"/>
      <sz val="10"/>
    </font>
    <font>
      <b val="1"/>
      <color rgb="00FFFFFF"/>
    </font>
    <font>
      <color rgb="000066CC"/>
    </font>
    <font>
      <color rgb="00008000"/>
    </font>
    <font>
      <color rgb="00000000"/>
    </font>
    <font>
      <b val="1"/>
    </font>
    <font>
      <b val="1"/>
      <color rgb="00000000"/>
    </font>
    <font>
      <name val="Microsoft YaHei"/>
      <b val="1"/>
      <color rgb="00333333"/>
    </font>
    <font>
      <name val="Microsoft YaHei"/>
      <b val="1"/>
      <color rgb="00008000"/>
      <sz val="14"/>
    </font>
    <font>
      <b val="1"/>
      <color rgb="00122B49"/>
      <sz val="13"/>
    </font>
    <font>
      <b val="1"/>
      <color rgb="000066CC"/>
    </font>
    <font>
      <color rgb="00666666"/>
      <sz val="10"/>
    </font>
  </fonts>
  <fills count="4">
    <fill>
      <patternFill/>
    </fill>
    <fill>
      <patternFill patternType="gray125"/>
    </fill>
    <fill>
      <patternFill patternType="solid">
        <fgColor rgb="00122B49"/>
      </patternFill>
    </fill>
    <fill>
      <patternFill patternType="solid">
        <fgColor rgb="00F5F5F5"/>
      </patternFill>
    </fill>
  </fills>
  <borders count="2">
    <border>
      <left/>
      <right/>
      <top/>
      <bottom/>
      <diagonal/>
    </border>
    <border>
      <bottom style="thin">
        <color rgb="00D0D0D0"/>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4" fillId="3" borderId="0" applyAlignment="1" pivotButton="0" quotePrefix="0" xfId="0">
      <alignment horizontal="left" vertical="center"/>
    </xf>
    <xf numFmtId="0" fontId="5" fillId="3" borderId="0" applyAlignment="1" pivotButton="0" quotePrefix="0" xfId="0">
      <alignment horizontal="left" vertical="center"/>
    </xf>
    <xf numFmtId="0" fontId="6" fillId="2" borderId="0" applyAlignment="1" pivotButton="0" quotePrefix="0" xfId="0">
      <alignment horizontal="center"/>
    </xf>
    <xf numFmtId="0" fontId="7" fillId="0" borderId="0" applyAlignment="1" pivotButton="0" quotePrefix="0" xfId="0">
      <alignment horizontal="left" vertical="center"/>
    </xf>
    <xf numFmtId="0" fontId="8" fillId="0" borderId="0" applyAlignment="1" pivotButton="0" quotePrefix="0" xfId="0">
      <alignment horizontal="center" vertical="center"/>
    </xf>
    <xf numFmtId="0" fontId="9" fillId="0" borderId="0" applyAlignment="1" pivotButton="0" quotePrefix="0" xfId="0">
      <alignment horizontal="center" vertical="center"/>
    </xf>
    <xf numFmtId="0" fontId="7" fillId="3" borderId="0" applyAlignment="1" pivotButton="0" quotePrefix="0" xfId="0">
      <alignment horizontal="left" vertical="center"/>
    </xf>
    <xf numFmtId="0" fontId="8" fillId="3" borderId="0" applyAlignment="1" pivotButton="0" quotePrefix="0" xfId="0">
      <alignment horizontal="center" vertical="center"/>
    </xf>
    <xf numFmtId="0" fontId="9" fillId="3" borderId="0" applyAlignment="1" pivotButton="0" quotePrefix="0" xfId="0">
      <alignment horizontal="center" vertical="center"/>
    </xf>
    <xf numFmtId="0" fontId="10" fillId="0" borderId="0" pivotButton="0" quotePrefix="0" xfId="0"/>
    <xf numFmtId="0" fontId="11" fillId="0" borderId="0" pivotButton="0" quotePrefix="0" xfId="0"/>
    <xf numFmtId="0" fontId="12" fillId="0" borderId="0" pivotButton="0" quotePrefix="0" xfId="0"/>
    <xf numFmtId="0" fontId="13" fillId="0" borderId="0" applyAlignment="1" pivotButton="0" quotePrefix="0" xfId="0">
      <alignment horizontal="center"/>
    </xf>
    <xf numFmtId="0" fontId="14" fillId="0" borderId="0" pivotButton="0" quotePrefix="0" xfId="0"/>
    <xf numFmtId="0" fontId="15" fillId="0" borderId="0" pivotButton="0" quotePrefix="0" xfId="0"/>
    <xf numFmtId="0" fontId="7" fillId="0" borderId="0" applyAlignment="1" pivotButton="0" quotePrefix="0" xfId="0">
      <alignment horizontal="left"/>
    </xf>
    <xf numFmtId="0" fontId="16"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4"/>
  <sheetViews>
    <sheetView showGridLines="0" workbookViewId="0">
      <selection activeCell="A1" sqref="A1"/>
    </sheetView>
  </sheetViews>
  <sheetFormatPr baseColWidth="8" defaultRowHeight="15"/>
  <cols>
    <col width="2" customWidth="1" min="1" max="1"/>
    <col width="24" customWidth="1" min="2" max="2"/>
    <col width="18" customWidth="1" min="3" max="3"/>
    <col width="18" customWidth="1" min="4" max="4"/>
    <col width="18" customWidth="1" min="5" max="5"/>
    <col width="18" customWidth="1" min="6" max="6"/>
    <col width="18" customWidth="1" min="7" max="7"/>
    <col width="18" customWidth="1" min="8" max="8"/>
  </cols>
  <sheetData>
    <row r="2" ht="32" customHeight="1">
      <c r="B2" s="1" t="inlineStr">
        <is>
          <t>数据要素概念深度清洗报告</t>
        </is>
      </c>
    </row>
    <row r="3">
      <c r="B3" s="2" t="inlineStr">
        <is>
          <t>复核日期：2026-10-27｜范围：原98只候选｜口径：核心/相关保留，边缘/错标退出，物理AI单列</t>
        </is>
      </c>
    </row>
    <row r="6" ht="26" customHeight="1">
      <c r="B6" s="17" t="inlineStr">
        <is>
          <t>原候选股数（只）</t>
        </is>
      </c>
      <c r="C6" s="18">
        <f>COUNTA('清洗总表'!$B$5:$B$102)</f>
        <v/>
      </c>
    </row>
    <row r="7" ht="26" customHeight="1">
      <c r="B7" s="17" t="inlineStr">
        <is>
          <t>保留数据要素（只）</t>
        </is>
      </c>
      <c r="C7" s="18">
        <f>COUNTA('保留股池'!$B$5:$B$81)</f>
        <v/>
      </c>
    </row>
    <row r="8" ht="26" customHeight="1">
      <c r="B8" s="17" t="inlineStr">
        <is>
          <t>其中：核心（只）</t>
        </is>
      </c>
      <c r="C8" s="18">
        <f>COUNTIF('保留股池'!$H$5:$H$81,"核心")</f>
        <v/>
      </c>
    </row>
    <row r="9" ht="26" customHeight="1">
      <c r="B9" s="17" t="inlineStr">
        <is>
          <t>其中：相关（只）</t>
        </is>
      </c>
      <c r="C9" s="18">
        <f>COUNTIF('保留股池'!$H$5:$H$81,"相关")</f>
        <v/>
      </c>
    </row>
    <row r="10" ht="26" customHeight="1">
      <c r="B10" s="17" t="inlineStr">
        <is>
          <t>迁回物理AI（只）</t>
        </is>
      </c>
      <c r="C10" s="18">
        <f>COUNTIF('摘除与迁出'!$F$5:$F$25,"物理AI")</f>
        <v/>
      </c>
    </row>
    <row r="11" ht="26" customHeight="1">
      <c r="B11" s="17" t="inlineStr">
        <is>
          <t>完全摘除（只）</t>
        </is>
      </c>
      <c r="C11" s="18">
        <f>COUNTIF('摘除与迁出'!$E$5:$E$25,"摘除")</f>
        <v/>
      </c>
    </row>
    <row r="14">
      <c r="B14" s="19" t="inlineStr">
        <is>
          <t>工作表索引</t>
        </is>
      </c>
    </row>
    <row r="15">
      <c r="B15" s="20" t="inlineStr">
        <is>
          <t>清洗总表</t>
        </is>
      </c>
      <c r="C15" s="21" t="inlineStr">
        <is>
          <t>98只全量旧概念、新概念、判词、详细理由及证据</t>
        </is>
      </c>
    </row>
    <row r="16">
      <c r="B16" s="20" t="inlineStr">
        <is>
          <t>保留股池</t>
        </is>
      </c>
      <c r="C16" s="21" t="inlineStr">
        <is>
          <t>清洗后77只核心/相关标的</t>
        </is>
      </c>
    </row>
    <row r="17">
      <c r="B17" s="20" t="inlineStr">
        <is>
          <t>摘除与迁出</t>
        </is>
      </c>
      <c r="C17" s="21" t="inlineStr">
        <is>
          <t>14只摘除及7只物理AI迁移的审计理由</t>
        </is>
      </c>
    </row>
    <row r="18">
      <c r="B18" s="20" t="inlineStr">
        <is>
          <t>数据存储复核</t>
        </is>
      </c>
      <c r="C18" s="21" t="inlineStr">
        <is>
          <t>截图原15只的专项纠正</t>
        </is>
      </c>
    </row>
    <row r="19">
      <c r="B19" s="20" t="inlineStr">
        <is>
          <t>概念统计</t>
        </is>
      </c>
      <c r="C19" s="21" t="inlineStr">
        <is>
          <t>保留股池二级概念的核心/相关数量</t>
        </is>
      </c>
    </row>
    <row r="22">
      <c r="B22" s="22" t="inlineStr">
        <is>
          <t>判定口径：核心=该数据产品/服务是明确主要产品；相关=有真实产品或项目但主要仍为信息化、云、硬件或项目交付。</t>
        </is>
      </c>
    </row>
    <row r="23">
      <c r="B23" s="22" t="inlineStr">
        <is>
          <t>退出口径：边缘=少量参股、自用数据或上游感知设备；错标=无直接证据、业务已失效或二级概念明显不符。</t>
        </is>
      </c>
    </row>
    <row r="24">
      <c r="B24" s="22" t="inlineStr">
        <is>
          <t>主营资料：iFinD ifind_get_stock_info（2026-10-27）；概念证据：逐股年报、公告、公司官网或互动平台，详见Source列。</t>
        </is>
      </c>
    </row>
  </sheetData>
  <mergeCells count="10">
    <mergeCell ref="B22:H22"/>
    <mergeCell ref="C16:G16"/>
    <mergeCell ref="C15:G15"/>
    <mergeCell ref="C19:G19"/>
    <mergeCell ref="B2:H2"/>
    <mergeCell ref="B24:H24"/>
    <mergeCell ref="B3:H3"/>
    <mergeCell ref="C18:G18"/>
    <mergeCell ref="C17:G17"/>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M10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2" customWidth="1" min="2" max="2"/>
    <col width="14" customWidth="1" min="3" max="3"/>
    <col width="32" customWidth="1" min="4" max="4"/>
    <col width="16" customWidth="1" min="5" max="5"/>
    <col width="14" customWidth="1" min="6" max="6"/>
    <col width="28" customWidth="1" min="7" max="7"/>
    <col width="10" customWidth="1" min="8" max="8"/>
    <col width="95" customWidth="1" min="9" max="9"/>
    <col width="36" customWidth="1" min="10" max="10"/>
    <col width="14" customWidth="1" min="11" max="11"/>
    <col width="46" customWidth="1" min="12" max="12"/>
    <col width="72" customWidth="1" min="13" max="13"/>
  </cols>
  <sheetData>
    <row r="2" ht="32" customHeight="1">
      <c r="B2" s="1" t="inlineStr">
        <is>
          <t>数据要素概念深度清洗 · 全量明细</t>
        </is>
      </c>
    </row>
    <row r="3">
      <c r="B3" s="2" t="inlineStr">
        <is>
          <t>98 只逐项复核；理由与二级概念同步重写，证据可点击或复制访问。</t>
        </is>
      </c>
    </row>
    <row r="4" ht="26" customHeight="1">
      <c r="B4" s="3" t="inlineStr">
        <is>
          <t>代码</t>
        </is>
      </c>
      <c r="C4" s="3" t="inlineStr">
        <is>
          <t>名称</t>
        </is>
      </c>
      <c r="D4" s="3" t="inlineStr">
        <is>
          <t>旧概念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000032</t>
        </is>
      </c>
      <c r="C5" s="4" t="inlineStr">
        <is>
          <t>深桑达A</t>
        </is>
      </c>
      <c r="D5" s="4" t="inlineStr">
        <is>
          <t>数据要素_数据存储</t>
        </is>
      </c>
      <c r="E5" s="4" t="inlineStr">
        <is>
          <t>重分类</t>
        </is>
      </c>
      <c r="F5" s="4" t="inlineStr">
        <is>
          <t>数据要素</t>
        </is>
      </c>
      <c r="G5" s="4" t="inlineStr">
        <is>
          <t>数据要素_数据运营</t>
        </is>
      </c>
      <c r="H5" s="4" t="inlineStr">
        <is>
          <t>核心</t>
        </is>
      </c>
      <c r="I5" s="4" t="inlineStr">
        <is>
          <t>中国电子云数据港对接获授权的公共数据与社会数据，开展治理、融合和产品孵化，并以“蚝保宝”等数据产品面向企业及交易所输出。业务重点是持续运营和数据产品服务，而非单纯提供存储资源。</t>
        </is>
      </c>
      <c r="J5" s="4" t="inlineStr">
        <is>
          <t>深桑达A 2024年年度报告摘要</t>
        </is>
      </c>
      <c r="K5" s="4" t="inlineStr">
        <is>
          <t>2025-04-25</t>
        </is>
      </c>
      <c r="L5" s="4" t="inlineStr">
        <is>
          <t>iFinD ifind_get_stock_info (as of 2026-10-27)；深桑达A 2024年年度报告摘要</t>
        </is>
      </c>
      <c r="M5" s="5" t="inlineStr">
        <is>
          <t>https://static.cninfo.com.cn/finalpage/2025-04-25/1223281534.PDF</t>
        </is>
      </c>
    </row>
    <row r="6" ht="24" customHeight="1">
      <c r="B6" s="6" t="inlineStr">
        <is>
          <t>000156</t>
        </is>
      </c>
      <c r="C6" s="6" t="inlineStr">
        <is>
          <t>华数传媒</t>
        </is>
      </c>
      <c r="D6" s="6" t="inlineStr">
        <is>
          <t>物理AI_数据采集</t>
        </is>
      </c>
      <c r="E6" s="6" t="inlineStr">
        <is>
          <t>摘除</t>
        </is>
      </c>
      <c r="F6" s="6" t="inlineStr"/>
      <c r="G6" s="6" t="inlineStr"/>
      <c r="H6" s="6" t="inlineStr">
        <is>
          <t>错标</t>
        </is>
      </c>
      <c r="I6" s="6" t="inlineStr">
        <is>
          <t>主业为有线电视、新媒体、宽带、智慧城市数字化及广电5G，收入来自节目传输、网络接入和数字化项目。数据要素仅是未来投资方向，未核到独立数据产品，更不属于物理AI数据采集。</t>
        </is>
      </c>
      <c r="J6" s="6" t="inlineStr">
        <is>
          <t>华数传媒2025年年度报告</t>
        </is>
      </c>
      <c r="K6" s="6" t="inlineStr">
        <is>
          <t>2026-03-21</t>
        </is>
      </c>
      <c r="L6" s="6" t="inlineStr">
        <is>
          <t>iFinD ifind_get_stock_info (as of 2026-10-27)；华数传媒2025年年度报告</t>
        </is>
      </c>
      <c r="M6" s="7" t="inlineStr">
        <is>
          <t>https://money.finance.sina.com.cn/corp/view/vCB_AllBulletinDetail.php?stockid=000156&amp;id=12009319</t>
        </is>
      </c>
    </row>
    <row r="7" ht="24" customHeight="1">
      <c r="B7" s="4" t="inlineStr">
        <is>
          <t>000158</t>
        </is>
      </c>
      <c r="C7" s="4" t="inlineStr">
        <is>
          <t>常山北明</t>
        </is>
      </c>
      <c r="D7" s="4" t="inlineStr">
        <is>
          <t>数据要素_数据存储</t>
        </is>
      </c>
      <c r="E7" s="4" t="inlineStr">
        <is>
          <t>重分类</t>
        </is>
      </c>
      <c r="F7" s="4" t="inlineStr">
        <is>
          <t>数据要素</t>
        </is>
      </c>
      <c r="G7" s="4" t="inlineStr">
        <is>
          <t>数据要素_数据治理</t>
        </is>
      </c>
      <c r="H7" s="4" t="inlineStr">
        <is>
          <t>相关</t>
        </is>
      </c>
      <c r="I7" s="4" t="inlineStr">
        <is>
          <t>北明软件具备数据资源化、产品化、资产化、资本化流程服务，配有数据资产管理平台，并在交通、港口及企业场景开展统一治理。收入仍主要来自系统集成、行业解决方案和定制软件，不属于底层存储产品。</t>
        </is>
      </c>
      <c r="J7" s="4" t="inlineStr">
        <is>
          <t>常山北明2025年年度报告</t>
        </is>
      </c>
      <c r="K7" s="4" t="inlineStr">
        <is>
          <t>2026-04-03</t>
        </is>
      </c>
      <c r="L7" s="4" t="inlineStr">
        <is>
          <t>iFinD ifind_get_stock_info (as of 2026-10-27)；常山北明2025年年度报告</t>
        </is>
      </c>
      <c r="M7" s="5" t="inlineStr">
        <is>
          <t>http://money.finance.sina.com.cn/corp/view/vCB_AllBulletinDetail.php?stockid=000158&amp;id=12060253</t>
        </is>
      </c>
    </row>
    <row r="8" ht="24" customHeight="1">
      <c r="B8" s="6" t="inlineStr">
        <is>
          <t>000503</t>
        </is>
      </c>
      <c r="C8" s="6" t="inlineStr">
        <is>
          <t>国新健康</t>
        </is>
      </c>
      <c r="D8" s="6" t="inlineStr">
        <is>
          <t>数据要素_医疗数据</t>
        </is>
      </c>
      <c r="E8" s="6" t="inlineStr">
        <is>
          <t>保留</t>
        </is>
      </c>
      <c r="F8" s="6" t="inlineStr">
        <is>
          <t>数据要素</t>
        </is>
      </c>
      <c r="G8" s="6" t="inlineStr">
        <is>
          <t>数据要素_医疗数据</t>
        </is>
      </c>
      <c r="H8" s="6" t="inlineStr">
        <is>
          <t>核心</t>
        </is>
      </c>
      <c r="I8" s="6" t="inlineStr">
        <is>
          <t>公司面向医保部门提供数据应用第三方服务并维护国家医保编码库，同时将商保核保、核赔数据产品上架流通。收费和交付围绕医保、医疗数据治理及场景化应用展开，数据资源与产品形态均明确。</t>
        </is>
      </c>
      <c r="J8" s="6" t="inlineStr">
        <is>
          <t>国新健康2025年年度报告</t>
        </is>
      </c>
      <c r="K8" s="6" t="inlineStr">
        <is>
          <t>2026-04-29</t>
        </is>
      </c>
      <c r="L8" s="6" t="inlineStr">
        <is>
          <t>iFinD ifind_get_stock_info (as of 2026-10-27)；国新健康2025年年度报告</t>
        </is>
      </c>
      <c r="M8" s="7" t="inlineStr">
        <is>
          <t>https://money.finance.sina.com.cn/corp/view/vCB_AllBulletinDetail.php?stockid=000503&amp;id=12247512</t>
        </is>
      </c>
    </row>
    <row r="9" ht="24" customHeight="1">
      <c r="B9" s="4" t="inlineStr">
        <is>
          <t>000681</t>
        </is>
      </c>
      <c r="C9" s="4" t="inlineStr">
        <is>
          <t>视觉中国</t>
        </is>
      </c>
      <c r="D9" s="4" t="inlineStr">
        <is>
          <t>数据要素_图片数据</t>
        </is>
      </c>
      <c r="E9" s="4" t="inlineStr">
        <is>
          <t>保留</t>
        </is>
      </c>
      <c r="F9" s="4" t="inlineStr">
        <is>
          <t>数据要素</t>
        </is>
      </c>
      <c r="G9" s="4" t="inlineStr">
        <is>
          <t>数据要素_图片数据</t>
        </is>
      </c>
      <c r="H9" s="4" t="inlineStr">
        <is>
          <t>核心</t>
        </is>
      </c>
      <c r="I9" s="4" t="inlineStr">
        <is>
          <t>公司拥有合规图片及多模态训练数据，提供采集、标注、审核、认证及授权服务，并通过API、沙箱等方式交付和参与分成。图片及多模态内容经过加工后形成可授权的数据产品，业务链条完整。</t>
        </is>
      </c>
      <c r="J9" s="4" t="inlineStr">
        <is>
          <t>视觉中国2025年半年度报告</t>
        </is>
      </c>
      <c r="K9" s="4" t="inlineStr">
        <is>
          <t>2025-08-28</t>
        </is>
      </c>
      <c r="L9" s="4" t="inlineStr">
        <is>
          <t>iFinD ifind_get_stock_info (as of 2026-10-27)；视觉中国2025年半年度报告</t>
        </is>
      </c>
      <c r="M9" s="5" t="inlineStr">
        <is>
          <t>http://static.cninfo.com.cn/finalpage/2025-08-28/1224596966.PDF</t>
        </is>
      </c>
    </row>
    <row r="10" ht="24" customHeight="1">
      <c r="B10" s="6" t="inlineStr">
        <is>
          <t>000719</t>
        </is>
      </c>
      <c r="C10" s="6" t="inlineStr">
        <is>
          <t>中原传媒</t>
        </is>
      </c>
      <c r="D10" s="6" t="inlineStr">
        <is>
          <t>数据要素_交易所</t>
        </is>
      </c>
      <c r="E10" s="6" t="inlineStr">
        <is>
          <t>摘除</t>
        </is>
      </c>
      <c r="F10" s="6" t="inlineStr"/>
      <c r="G10" s="6" t="inlineStr"/>
      <c r="H10" s="6" t="inlineStr">
        <is>
          <t>边缘</t>
        </is>
      </c>
      <c r="I10" s="6" t="inlineStr">
        <is>
          <t>公司仅出资参股郑州数据交易中心，主营业务仍为出版、发行及相关文化服务。现有证据体现的是财务投资，而非上市公司直接建设或运营数据交易平台，严格口径下不参与数据要素选股。</t>
        </is>
      </c>
      <c r="J10" s="6" t="inlineStr">
        <is>
          <t>中原传媒参股郑州数据交易中心相关说明</t>
        </is>
      </c>
      <c r="K10" s="6" t="inlineStr">
        <is>
          <t>2024-11-18</t>
        </is>
      </c>
      <c r="L10" s="6" t="inlineStr">
        <is>
          <t>iFinD ifind_get_stock_info (as of 2026-10-27)；中原传媒参股郑州数据交易中心相关说明</t>
        </is>
      </c>
      <c r="M10" s="7" t="inlineStr">
        <is>
          <t>https://yuanchuang.10jqka.com.cn/20241118/c663606520.shtml</t>
        </is>
      </c>
    </row>
    <row r="11" ht="24" customHeight="1">
      <c r="B11" s="4" t="inlineStr">
        <is>
          <t>000810</t>
        </is>
      </c>
      <c r="C11" s="4" t="inlineStr">
        <is>
          <t>创维数字</t>
        </is>
      </c>
      <c r="D11" s="4" t="inlineStr">
        <is>
          <t>物理AI_数据采集</t>
        </is>
      </c>
      <c r="E11" s="4" t="inlineStr">
        <is>
          <t>迁出数据要素</t>
        </is>
      </c>
      <c r="F11" s="4" t="inlineStr">
        <is>
          <t>物理AI</t>
        </is>
      </c>
      <c r="G11" s="4" t="inlineStr">
        <is>
          <t>物理AI_智能终端</t>
        </is>
      </c>
      <c r="H11" s="4" t="inlineStr">
        <is>
          <t>相关</t>
        </is>
      </c>
      <c r="I11" s="4" t="inlineStr">
        <is>
          <t>机顶盒、宽带连接终端、XR设备及摄像机属于智能终端硬件，现有主营资料未显示其对外提供数据采集、加工或数据集服务。应保留在物理AI终端链，而不是数据要素或数据采集概念。</t>
        </is>
      </c>
      <c r="J11" s="4" t="inlineStr">
        <is>
          <t>创维数字2025年年度报告摘要</t>
        </is>
      </c>
      <c r="K11" s="4" t="inlineStr">
        <is>
          <t>2026-03-28</t>
        </is>
      </c>
      <c r="L11" s="4" t="inlineStr">
        <is>
          <t>iFinD ifind_get_stock_info (as of 2026-10-27)；创维数字2025年年度报告摘要</t>
        </is>
      </c>
      <c r="M11" s="5" t="inlineStr">
        <is>
          <t>http://static.cninfo.com.cn/finalpage/2026-03-28/1225044554.PDF</t>
        </is>
      </c>
    </row>
    <row r="12" ht="24" customHeight="1">
      <c r="B12" s="6" t="inlineStr">
        <is>
          <t>000815</t>
        </is>
      </c>
      <c r="C12" s="6" t="inlineStr">
        <is>
          <t>美利云</t>
        </is>
      </c>
      <c r="D12" s="6" t="inlineStr">
        <is>
          <t>数据要素_数据存储</t>
        </is>
      </c>
      <c r="E12" s="6" t="inlineStr">
        <is>
          <t>升级</t>
        </is>
      </c>
      <c r="F12" s="6" t="inlineStr">
        <is>
          <t>数据要素</t>
        </is>
      </c>
      <c r="G12" s="6" t="inlineStr">
        <is>
          <t>数据要素_数据存储</t>
        </is>
      </c>
      <c r="H12" s="6" t="inlineStr">
        <is>
          <t>相关</t>
        </is>
      </c>
      <c r="I12" s="6" t="inlineStr">
        <is>
          <t>公司已于2024年底停止造纸，旧“造纸为主”理由失效；誉成云创目前提供机架、网络接入及运维并按合同收费，云业务已成为主体。其本质仍是IDC基础设施服务，而非数据内容运营，故列相关而非核心。</t>
        </is>
      </c>
      <c r="J12" s="6" t="inlineStr">
        <is>
          <t>美利云2025年年度报告</t>
        </is>
      </c>
      <c r="K12" s="6" t="inlineStr">
        <is>
          <t>2026-04-24</t>
        </is>
      </c>
      <c r="L12" s="6" t="inlineStr">
        <is>
          <t>iFinD ifind_get_stock_info (as of 2026-10-27)；美利云2025年年度报告</t>
        </is>
      </c>
      <c r="M12" s="7" t="inlineStr">
        <is>
          <t>http://static.cninfo.com.cn/finalpage/2026-04-24/1225160605.PDF</t>
        </is>
      </c>
    </row>
    <row r="13" ht="24" customHeight="1">
      <c r="B13" s="4" t="inlineStr">
        <is>
          <t>000938</t>
        </is>
      </c>
      <c r="C13" s="4" t="inlineStr">
        <is>
          <t>紫光股份</t>
        </is>
      </c>
      <c r="D13" s="4" t="inlineStr">
        <is>
          <t>数据要素_数据存储</t>
        </is>
      </c>
      <c r="E13" s="4" t="inlineStr">
        <is>
          <t>保留</t>
        </is>
      </c>
      <c r="F13" s="4" t="inlineStr">
        <is>
          <t>数据要素</t>
        </is>
      </c>
      <c r="G13" s="4" t="inlineStr">
        <is>
          <t>数据要素_数据存储</t>
        </is>
      </c>
      <c r="H13" s="4" t="inlineStr">
        <is>
          <t>相关</t>
        </is>
      </c>
      <c r="I13" s="4" t="inlineStr">
        <is>
          <t>新华三ONEStor、UniStor等产品处理块、文件、对象及非结构化数据，通过软硬件、软件授权和解决方案交付。产品确属数据存储基础设施，但上市公司业务还覆盖网络、计算及云服务，因此维持相关。</t>
        </is>
      </c>
      <c r="J13" s="4" t="inlineStr">
        <is>
          <t>H3C ONEStor分布式存储软件</t>
        </is>
      </c>
      <c r="K13" s="4" t="inlineStr">
        <is>
          <t>无日期</t>
        </is>
      </c>
      <c r="L13" s="4" t="inlineStr">
        <is>
          <t>iFinD ifind_get_stock_info (as of 2026-10-27)；H3C ONEStor分布式存储软件</t>
        </is>
      </c>
      <c r="M13" s="5" t="inlineStr">
        <is>
          <t>https://www.h3c.com/cn/Products_And_Solution/Storage/H3C/Products/Mass_Storage_Device/Products_Series/Software/ONEStor_5.0/</t>
        </is>
      </c>
    </row>
    <row r="14" ht="24" customHeight="1">
      <c r="B14" s="6" t="inlineStr">
        <is>
          <t>000948</t>
        </is>
      </c>
      <c r="C14" s="6" t="inlineStr">
        <is>
          <t>南天信息</t>
        </is>
      </c>
      <c r="D14" s="6" t="inlineStr">
        <is>
          <t>数据要素_数据存储</t>
        </is>
      </c>
      <c r="E14" s="6" t="inlineStr">
        <is>
          <t>重分类</t>
        </is>
      </c>
      <c r="F14" s="6" t="inlineStr">
        <is>
          <t>数据要素</t>
        </is>
      </c>
      <c r="G14" s="6" t="inlineStr">
        <is>
          <t>数据要素_数据治理</t>
        </is>
      </c>
      <c r="H14" s="6" t="inlineStr">
        <is>
          <t>相关</t>
        </is>
      </c>
      <c r="I14" s="6" t="inlineStr">
        <is>
          <t>南天数据资产管理平台覆盖数据集成、治理、目录、盘点和运营，主要面向金融客户以IT项目方式交付。其价值在于把分散数据加工为可管理、可使用的资产，而非提供底层存储介质。</t>
        </is>
      </c>
      <c r="J14" s="6" t="inlineStr">
        <is>
          <t>南天数据资产管理平台</t>
        </is>
      </c>
      <c r="K14" s="6" t="inlineStr">
        <is>
          <t>2024-07-30</t>
        </is>
      </c>
      <c r="L14" s="6" t="inlineStr">
        <is>
          <t>iFinD ifind_get_stock_info (as of 2026-10-27)；南天数据资产管理平台</t>
        </is>
      </c>
      <c r="M14" s="7" t="inlineStr">
        <is>
          <t>https://www.nantian.com.cn/case-detail/2375.html</t>
        </is>
      </c>
    </row>
    <row r="15" ht="24" customHeight="1">
      <c r="B15" s="4" t="inlineStr">
        <is>
          <t>002009</t>
        </is>
      </c>
      <c r="C15" s="4" t="inlineStr">
        <is>
          <t>天奇股份</t>
        </is>
      </c>
      <c r="D15" s="4" t="inlineStr">
        <is>
          <t>物理AI_数据采集</t>
        </is>
      </c>
      <c r="E15" s="4" t="inlineStr">
        <is>
          <t>迁出数据要素</t>
        </is>
      </c>
      <c r="F15" s="4" t="inlineStr">
        <is>
          <t>物理AI</t>
        </is>
      </c>
      <c r="G15" s="4" t="inlineStr">
        <is>
          <t>物理AI_数据采集</t>
        </is>
      </c>
      <c r="H15" s="4" t="inlineStr">
        <is>
          <t>相关</t>
        </is>
      </c>
      <c r="I15" s="4" t="inlineStr">
        <is>
          <t>具身智能业务及实训中心采集多模态真机数据，用于机器人训练和交付验证，相关能力随装备、实训及解决方案项目落地。该标签适用于物理AI训练链，不应混入数据要素股池。</t>
        </is>
      </c>
      <c r="J15" s="4" t="inlineStr">
        <is>
          <t>天奇股份2025年年度报告摘要</t>
        </is>
      </c>
      <c r="K15" s="4" t="inlineStr">
        <is>
          <t>2026-04-28</t>
        </is>
      </c>
      <c r="L15" s="4" t="inlineStr">
        <is>
          <t>iFinD ifind_get_stock_info (as of 2026-10-27)；天奇股份2025年年度报告摘要</t>
        </is>
      </c>
      <c r="M15" s="5" t="inlineStr">
        <is>
          <t>https://static.cninfo.com.cn/finalpage/2026-04-28/1225218333.PDF</t>
        </is>
      </c>
    </row>
    <row r="16" ht="24" customHeight="1">
      <c r="B16" s="6" t="inlineStr">
        <is>
          <t>002065</t>
        </is>
      </c>
      <c r="C16" s="6" t="inlineStr">
        <is>
          <t>东华软件</t>
        </is>
      </c>
      <c r="D16" s="6" t="inlineStr">
        <is>
          <t>数据要素_交易所</t>
        </is>
      </c>
      <c r="E16" s="6" t="inlineStr">
        <is>
          <t>重分类</t>
        </is>
      </c>
      <c r="F16" s="6" t="inlineStr">
        <is>
          <t>数据要素</t>
        </is>
      </c>
      <c r="G16" s="6" t="inlineStr">
        <is>
          <t>数据要素_数据治理</t>
        </is>
      </c>
      <c r="H16" s="6" t="inlineStr">
        <is>
          <t>相关</t>
        </is>
      </c>
      <c r="I16" s="6" t="inlineStr">
        <is>
          <t>年报列明大数据平台、数据交易所及金融数据资产管理平台建设；“替代数据通”整合公积金、社保、税务、司法和工商数据。主要是软件、集成和项目交付，不能据此认定为交易所运营方。</t>
        </is>
      </c>
      <c r="J16" s="6" t="inlineStr">
        <is>
          <t>东华软件2025年年度报告</t>
        </is>
      </c>
      <c r="K16" s="6" t="inlineStr">
        <is>
          <t>2026-04-10</t>
        </is>
      </c>
      <c r="L16" s="6" t="inlineStr">
        <is>
          <t>iFinD ifind_get_stock_info (as of 2026-10-27)；东华软件2025年年度报告</t>
        </is>
      </c>
      <c r="M16" s="7" t="inlineStr">
        <is>
          <t>http://static.cninfo.com.cn/finalpage/2026-04-10/1225090051.PDF</t>
        </is>
      </c>
    </row>
    <row r="17" ht="24" customHeight="1">
      <c r="B17" s="4" t="inlineStr">
        <is>
          <t>002076</t>
        </is>
      </c>
      <c r="C17" s="4" t="inlineStr">
        <is>
          <t>星光股份</t>
        </is>
      </c>
      <c r="D17" s="4" t="inlineStr">
        <is>
          <t>数据要素_其他行业数据</t>
        </is>
      </c>
      <c r="E17" s="4" t="inlineStr">
        <is>
          <t>摘除</t>
        </is>
      </c>
      <c r="F17" s="4" t="inlineStr"/>
      <c r="G17" s="4" t="inlineStr"/>
      <c r="H17" s="4" t="inlineStr">
        <is>
          <t>错标</t>
        </is>
      </c>
      <c r="I17" s="4" t="inlineStr">
        <is>
          <t>公司拟收购“造价通”事项已于2025年6月终止，相关合资公司亦未实缴，不能把造价通建材价格库计入上市公司。现有主营与独立行业数据产品之间缺少可核验的承接关系。</t>
        </is>
      </c>
      <c r="J17" s="4" t="inlineStr">
        <is>
          <t>星光股份终止收购相关公告及2025年半年度报告</t>
        </is>
      </c>
      <c r="K17" s="4" t="inlineStr">
        <is>
          <t>2025-08-30</t>
        </is>
      </c>
      <c r="L17" s="4" t="inlineStr">
        <is>
          <t>iFinD ifind_get_stock_info (as of 2026-10-27)；星光股份终止收购相关公告及2025年半年度报告</t>
        </is>
      </c>
      <c r="M17" s="5" t="inlineStr">
        <is>
          <t>https://money.finance.sina.com.cn/corp/view/vCB_AllBulletinDetail.php?stockid=002076&amp;id=11423604</t>
        </is>
      </c>
    </row>
    <row r="18" ht="24" customHeight="1">
      <c r="B18" s="6" t="inlineStr">
        <is>
          <t>002095</t>
        </is>
      </c>
      <c r="C18" s="6" t="inlineStr">
        <is>
          <t>生意宝</t>
        </is>
      </c>
      <c r="D18" s="6" t="inlineStr">
        <is>
          <t>数据要素_大宗数据</t>
        </is>
      </c>
      <c r="E18" s="6" t="inlineStr">
        <is>
          <t>升级</t>
        </is>
      </c>
      <c r="F18" s="6" t="inlineStr">
        <is>
          <t>数据要素</t>
        </is>
      </c>
      <c r="G18" s="6" t="inlineStr">
        <is>
          <t>数据要素_大宗数据</t>
        </is>
      </c>
      <c r="H18" s="6" t="inlineStr">
        <is>
          <t>核心</t>
        </is>
      </c>
      <c r="I18" s="6" t="inlineStr">
        <is>
          <t>生意社持续加工大宗商品价格数据，形成多品种基准价，并通过期货通订阅及价格、指数API提供服务。数据来源、加工过程、产品形态和订阅或接口交付方式均明确，大宗数据是直接产品。</t>
        </is>
      </c>
      <c r="J18" s="6" t="inlineStr">
        <is>
          <t>生意社接口服务</t>
        </is>
      </c>
      <c r="K18" s="6" t="inlineStr">
        <is>
          <t>2019-02-22</t>
        </is>
      </c>
      <c r="L18" s="6" t="inlineStr">
        <is>
          <t>iFinD ifind_get_stock_info (as of 2026-10-27)；生意社接口服务</t>
        </is>
      </c>
      <c r="M18" s="7" t="inlineStr">
        <is>
          <t>https://www.100ppi.com/help/service/api.html</t>
        </is>
      </c>
    </row>
    <row r="19" ht="24" customHeight="1">
      <c r="B19" s="4" t="inlineStr">
        <is>
          <t>002152</t>
        </is>
      </c>
      <c r="C19" s="4" t="inlineStr">
        <is>
          <t>广电运通</t>
        </is>
      </c>
      <c r="D19" s="4" t="inlineStr">
        <is>
          <t>数据要素_数据存储</t>
        </is>
      </c>
      <c r="E19" s="4" t="inlineStr">
        <is>
          <t>重分类</t>
        </is>
      </c>
      <c r="F19" s="4" t="inlineStr">
        <is>
          <t>数据要素</t>
        </is>
      </c>
      <c r="G19" s="4" t="inlineStr">
        <is>
          <t>数据要素_数据运营</t>
        </is>
      </c>
      <c r="H19" s="4" t="inlineStr">
        <is>
          <t>相关</t>
        </is>
      </c>
      <c r="I19" s="4" t="inlineStr">
        <is>
          <t>运通信息、清远数投参与公共数据运营，“清易贷”“清易保”等产品已上架，中数智汇拥有产业链及ESG数据集。业务覆盖数据治理、产品开发和场景运营，但上市公司仍包含大量智能终端业务。</t>
        </is>
      </c>
      <c r="J19" s="4" t="inlineStr">
        <is>
          <t>广电运通公共数据运营业务说明</t>
        </is>
      </c>
      <c r="K19" s="4" t="inlineStr">
        <is>
          <t>2025-08-01</t>
        </is>
      </c>
      <c r="L19" s="4" t="inlineStr">
        <is>
          <t>iFinD ifind_get_stock_info (as of 2026-10-27)；广电运通公共数据运营业务说明</t>
        </is>
      </c>
      <c r="M19" s="5" t="inlineStr">
        <is>
          <t>https://www.grgbanking.com/cn/news/detail.html?id=2308</t>
        </is>
      </c>
    </row>
    <row r="20" ht="24" customHeight="1">
      <c r="B20" s="6" t="inlineStr">
        <is>
          <t>002153</t>
        </is>
      </c>
      <c r="C20" s="6" t="inlineStr">
        <is>
          <t>石基信息</t>
        </is>
      </c>
      <c r="D20" s="6" t="inlineStr">
        <is>
          <t>数据要素_酒店数据</t>
        </is>
      </c>
      <c r="E20" s="6" t="inlineStr">
        <is>
          <t>保留</t>
        </is>
      </c>
      <c r="F20" s="6" t="inlineStr">
        <is>
          <t>数据要素</t>
        </is>
      </c>
      <c r="G20" s="6" t="inlineStr">
        <is>
          <t>数据要素_酒店数据</t>
        </is>
      </c>
      <c r="H20" s="6" t="inlineStr">
        <is>
          <t>相关</t>
        </is>
      </c>
      <c r="I20" s="6" t="inlineStr">
        <is>
          <t>DAYLIGHT PMS、Cambridge等系统处理酒店订单、餐饮和经营数据，并以SaaS订阅方式收费。公司持续处理行业数据，但主要销售酒店信息系统及订阅服务，而非独立数据库或数据产品。</t>
        </is>
      </c>
      <c r="J20" s="6" t="inlineStr">
        <is>
          <t>石基信息2024年年度报告摘要</t>
        </is>
      </c>
      <c r="K20" s="6" t="inlineStr">
        <is>
          <t>2025-04-29</t>
        </is>
      </c>
      <c r="L20" s="6" t="inlineStr">
        <is>
          <t>iFinD ifind_get_stock_info (as of 2026-10-27)；石基信息2024年年度报告摘要</t>
        </is>
      </c>
      <c r="M20" s="7" t="inlineStr">
        <is>
          <t>https://static.cninfo.com.cn/finalpage/2025-04-29/1223378885.PDF</t>
        </is>
      </c>
    </row>
    <row r="21" ht="24" customHeight="1">
      <c r="B21" s="4" t="inlineStr">
        <is>
          <t>002235</t>
        </is>
      </c>
      <c r="C21" s="4" t="inlineStr">
        <is>
          <t>安妮股份</t>
        </is>
      </c>
      <c r="D21" s="4" t="inlineStr">
        <is>
          <t>数据要素_数据确权</t>
        </is>
      </c>
      <c r="E21" s="4" t="inlineStr">
        <is>
          <t>升级</t>
        </is>
      </c>
      <c r="F21" s="4" t="inlineStr">
        <is>
          <t>数据要素</t>
        </is>
      </c>
      <c r="G21" s="4" t="inlineStr">
        <is>
          <t>数据要素_数据确权</t>
        </is>
      </c>
      <c r="H21" s="4" t="inlineStr">
        <is>
          <t>核心</t>
        </is>
      </c>
      <c r="I21" s="4" t="inlineStr">
        <is>
          <t>“版权家”提供确权、授权、维权、信息及资产管理，以区块链完成数字版权存证并记录授权全过程，具备明确的数据确权产品链条。版权业务收入占比有限，但产品与数据确权标签高度匹配。</t>
        </is>
      </c>
      <c r="J21" s="4" t="inlineStr">
        <is>
          <t>安妮股份2025年年度报告</t>
        </is>
      </c>
      <c r="K21" s="4" t="inlineStr">
        <is>
          <t>2026-04-28</t>
        </is>
      </c>
      <c r="L21" s="4" t="inlineStr">
        <is>
          <t>iFinD ifind_get_stock_info (as of 2026-10-27)；安妮股份2025年年度报告</t>
        </is>
      </c>
      <c r="M21" s="5" t="inlineStr">
        <is>
          <t>https://money.finance.sina.com.cn/corp/view/vCB_AllBulletinDetail.php?stockid=002235&amp;id=12229256</t>
        </is>
      </c>
    </row>
    <row r="22" ht="24" customHeight="1">
      <c r="B22" s="6" t="inlineStr">
        <is>
          <t>002238</t>
        </is>
      </c>
      <c r="C22" s="6" t="inlineStr">
        <is>
          <t>天威视讯</t>
        </is>
      </c>
      <c r="D22" s="6" t="inlineStr">
        <is>
          <t>数据要素_网络可视化监管</t>
        </is>
      </c>
      <c r="E22" s="6" t="inlineStr">
        <is>
          <t>重分类</t>
        </is>
      </c>
      <c r="F22" s="6" t="inlineStr">
        <is>
          <t>数据要素</t>
        </is>
      </c>
      <c r="G22" s="6" t="inlineStr">
        <is>
          <t>数据要素_数据存储</t>
        </is>
      </c>
      <c r="H22" s="6" t="inlineStr">
        <is>
          <t>相关</t>
        </is>
      </c>
      <c r="I22" s="6" t="inlineStr">
        <is>
          <t>未找到公司从事网络可视化监管的可靠证据；其深汕、南山、龙华数据中心提供机柜托管、服务器及网络资源租用，更符合数据存储基础设施。上市公司主业仍包含有线电视，故列相关。</t>
        </is>
      </c>
      <c r="J22" s="6" t="inlineStr">
        <is>
          <t>天威视讯2025年年度报告</t>
        </is>
      </c>
      <c r="K22" s="6" t="inlineStr">
        <is>
          <t>2026-04-22</t>
        </is>
      </c>
      <c r="L22" s="6" t="inlineStr">
        <is>
          <t>iFinD ifind_get_stock_info (as of 2026-10-27)；天威视讯2025年年度报告</t>
        </is>
      </c>
      <c r="M22" s="7" t="inlineStr">
        <is>
          <t>https://static.cninfo.com.cn/finalpage/2026-04-22/1225142912.PDF</t>
        </is>
      </c>
    </row>
    <row r="23" ht="24" customHeight="1">
      <c r="B23" s="4" t="inlineStr">
        <is>
          <t>002331</t>
        </is>
      </c>
      <c r="C23" s="4" t="inlineStr">
        <is>
          <t>皖通科技</t>
        </is>
      </c>
      <c r="D23" s="4" t="inlineStr">
        <is>
          <t>数据要素_交通数据</t>
        </is>
      </c>
      <c r="E23" s="4" t="inlineStr">
        <is>
          <t>保留</t>
        </is>
      </c>
      <c r="F23" s="4" t="inlineStr">
        <is>
          <t>数据要素</t>
        </is>
      </c>
      <c r="G23" s="4" t="inlineStr">
        <is>
          <t>数据要素_交通数据</t>
        </is>
      </c>
      <c r="H23" s="4" t="inlineStr">
        <is>
          <t>相关</t>
        </is>
      </c>
      <c r="I23" s="4" t="inlineStr">
        <is>
          <t>港航云、CiTOS和交通数据中台汇聚车流、闸口、堆场及物流订单数据，用于港航和交通管理场景。相关能力主要随软硬件、系统集成和运维项目交付，尚未体现独立数据销售成为主体。</t>
        </is>
      </c>
      <c r="J23" s="4" t="inlineStr">
        <is>
          <t>皖通科技：以数据要素激活交通发展新势能</t>
        </is>
      </c>
      <c r="K23" s="4" t="inlineStr">
        <is>
          <t>无可靠日期</t>
        </is>
      </c>
      <c r="L23" s="4" t="inlineStr">
        <is>
          <t>iFinD ifind_get_stock_info (as of 2026-10-27)；皖通科技：以数据要素激活交通发展新势能</t>
        </is>
      </c>
      <c r="M23" s="5" t="inlineStr">
        <is>
          <t>http://www.wantong-tech.net/detail/21_2165</t>
        </is>
      </c>
    </row>
    <row r="24" ht="24" customHeight="1">
      <c r="B24" s="6" t="inlineStr">
        <is>
          <t>002354</t>
        </is>
      </c>
      <c r="C24" s="6" t="inlineStr">
        <is>
          <t>天娱数科</t>
        </is>
      </c>
      <c r="D24" s="6" t="inlineStr">
        <is>
          <t>物理AI_数据采集</t>
        </is>
      </c>
      <c r="E24" s="6" t="inlineStr">
        <is>
          <t>迁出数据要素</t>
        </is>
      </c>
      <c r="F24" s="6" t="inlineStr">
        <is>
          <t>物理AI</t>
        </is>
      </c>
      <c r="G24" s="6" t="inlineStr">
        <is>
          <t>物理AI_数据采集</t>
        </is>
      </c>
      <c r="H24" s="6" t="inlineStr">
        <is>
          <t>相关</t>
        </is>
      </c>
      <c r="I24" s="6" t="inlineStr">
        <is>
          <t>Behavision形成3D、多模态和机器人任务数据，并通过空间智能MaaS、数据集服务等方式交付，直接服务于机器人及物理AI训练。业务与物理AI相关，但不应与数据要素公共数据流通混为一组。</t>
        </is>
      </c>
      <c r="J24" s="6" t="inlineStr">
        <is>
          <t>天娱数科物理AI数据业务说明</t>
        </is>
      </c>
      <c r="K24" s="6" t="inlineStr">
        <is>
          <t>2025-07-28</t>
        </is>
      </c>
      <c r="L24" s="6" t="inlineStr">
        <is>
          <t>iFinD ifind_get_stock_info (as of 2026-10-27)；天娱数科物理AI数据业务说明</t>
        </is>
      </c>
      <c r="M24" s="7" t="inlineStr">
        <is>
          <t>https://www.tianyushuke.com/xwmt/2025/2025-07-28/907.html</t>
        </is>
      </c>
    </row>
    <row r="25" ht="24" customHeight="1">
      <c r="B25" s="4" t="inlineStr">
        <is>
          <t>002368</t>
        </is>
      </c>
      <c r="C25" s="4" t="inlineStr">
        <is>
          <t>太极股份</t>
        </is>
      </c>
      <c r="D25" s="4" t="inlineStr">
        <is>
          <t>数据要素_数据存储</t>
        </is>
      </c>
      <c r="E25" s="4" t="inlineStr">
        <is>
          <t>重分类</t>
        </is>
      </c>
      <c r="F25" s="4" t="inlineStr">
        <is>
          <t>数据要素</t>
        </is>
      </c>
      <c r="G25" s="4" t="inlineStr">
        <is>
          <t>数据要素_数据库</t>
        </is>
      </c>
      <c r="H25" s="4" t="inlineStr">
        <is>
          <t>相关</t>
        </is>
      </c>
      <c r="I25" s="4" t="inlineStr">
        <is>
          <t>电科金仓KingbaseES、KES及分布式HTAP数据库通过许可、一体机和项目方式交付，承担数据组织、查询、事务处理和管理功能。产品层级是数据库软件，不等同于通用存储设备。</t>
        </is>
      </c>
      <c r="J25" s="4" t="inlineStr">
        <is>
          <t>太极股份2024年年度报告</t>
        </is>
      </c>
      <c r="K25" s="4" t="inlineStr">
        <is>
          <t>2025-04-02</t>
        </is>
      </c>
      <c r="L25" s="4" t="inlineStr">
        <is>
          <t>iFinD ifind_get_stock_info (as of 2026-10-27)；太极股份2024年年度报告</t>
        </is>
      </c>
      <c r="M25" s="5" t="inlineStr">
        <is>
          <t>https://money.finance.sina.com.cn/corp/view/vCB_AllBulletinDetail.php?stockid=002368&amp;id=10840405</t>
        </is>
      </c>
    </row>
    <row r="26" ht="24" customHeight="1">
      <c r="B26" s="6" t="inlineStr">
        <is>
          <t>002373</t>
        </is>
      </c>
      <c r="C26" s="6" t="inlineStr">
        <is>
          <t>千方科技</t>
        </is>
      </c>
      <c r="D26" s="6" t="inlineStr">
        <is>
          <t>数据要素_交通数据</t>
        </is>
      </c>
      <c r="E26" s="6" t="inlineStr">
        <is>
          <t>保留</t>
        </is>
      </c>
      <c r="F26" s="6" t="inlineStr">
        <is>
          <t>数据要素</t>
        </is>
      </c>
      <c r="G26" s="6" t="inlineStr">
        <is>
          <t>数据要素_交通数据</t>
        </is>
      </c>
      <c r="H26" s="6" t="inlineStr">
        <is>
          <t>相关</t>
        </is>
      </c>
      <c r="I26" s="6" t="inlineStr">
        <is>
          <t>交通大数据中台及全国公路网平台汇聚视频、收费、位置、货运和气象数据，以产品结合数据运营及TOCC项目交付。公司具有明确交通数据资源和应用能力，但交付仍与系统建设深度融合。</t>
        </is>
      </c>
      <c r="J26" s="6" t="inlineStr">
        <is>
          <t>千方科技参加2023数据资产管理大会</t>
        </is>
      </c>
      <c r="K26" s="6" t="inlineStr">
        <is>
          <t>2023-12-21</t>
        </is>
      </c>
      <c r="L26" s="6" t="inlineStr">
        <is>
          <t>iFinD ifind_get_stock_info (as of 2026-10-27)；千方科技参加2023数据资产管理大会</t>
        </is>
      </c>
      <c r="M26" s="7" t="inlineStr">
        <is>
          <t>https://www.ctfo.com/newsDetails?id=1852</t>
        </is>
      </c>
    </row>
    <row r="27" ht="24" customHeight="1">
      <c r="B27" s="4" t="inlineStr">
        <is>
          <t>002380</t>
        </is>
      </c>
      <c r="C27" s="4" t="inlineStr">
        <is>
          <t>科远智慧</t>
        </is>
      </c>
      <c r="D27" s="4" t="inlineStr">
        <is>
          <t>物理AI_数据采集</t>
        </is>
      </c>
      <c r="E27" s="4" t="inlineStr">
        <is>
          <t>迁出数据要素</t>
        </is>
      </c>
      <c r="F27" s="4" t="inlineStr">
        <is>
          <t>物理AI</t>
        </is>
      </c>
      <c r="G27" s="4" t="inlineStr">
        <is>
          <t>物理AI_数据采集</t>
        </is>
      </c>
      <c r="H27" s="4" t="inlineStr">
        <is>
          <t>相关</t>
        </is>
      </c>
      <c r="I27" s="4" t="inlineStr">
        <is>
          <t>NT6000 DCS、SyncBASE实时数据库和EmpoworX平台采集设备、工艺及质量数据，并随工控、MES、工业互联网项目交付。其采集对象主要是工业生产过程，适合物理AI工业数据链，不并入数据要素。</t>
        </is>
      </c>
      <c r="J27" s="4" t="inlineStr">
        <is>
          <t>科远智慧公司及产品体系介绍</t>
        </is>
      </c>
      <c r="K27" s="4" t="inlineStr">
        <is>
          <t>2018-08-08</t>
        </is>
      </c>
      <c r="L27" s="4" t="inlineStr">
        <is>
          <t>iFinD ifind_get_stock_info (as of 2026-10-27)；科远智慧公司及产品体系介绍</t>
        </is>
      </c>
      <c r="M27" s="5" t="inlineStr">
        <is>
          <t>https://www.sciyon.com/index.php/about/info.html</t>
        </is>
      </c>
    </row>
    <row r="28" ht="24" customHeight="1">
      <c r="B28" s="6" t="inlineStr">
        <is>
          <t>002401</t>
        </is>
      </c>
      <c r="C28" s="6" t="inlineStr">
        <is>
          <t>中远海科</t>
        </is>
      </c>
      <c r="D28" s="6" t="inlineStr">
        <is>
          <t>数据要素_航运数据</t>
        </is>
      </c>
      <c r="E28" s="6" t="inlineStr">
        <is>
          <t>升级</t>
        </is>
      </c>
      <c r="F28" s="6" t="inlineStr">
        <is>
          <t>数据要素</t>
        </is>
      </c>
      <c r="G28" s="6" t="inlineStr">
        <is>
          <t>数据要素_航运数据</t>
        </is>
      </c>
      <c r="H28" s="6" t="inlineStr">
        <is>
          <t>核心</t>
        </is>
      </c>
      <c r="I28" s="6" t="inlineStr">
        <is>
          <t>“船视宝”以SaaS、API和半定制方式交付，并在上海数交所等挂牌；全要素航运数据集已形成规模化产品。数字航运与供应链是主要业务板块，数据产品、收费方式和业务占比均有支撑。</t>
        </is>
      </c>
      <c r="J28" s="6" t="inlineStr">
        <is>
          <t>中远海科2025年年度报告</t>
        </is>
      </c>
      <c r="K28" s="6" t="inlineStr">
        <is>
          <t>2026-03-28</t>
        </is>
      </c>
      <c r="L28" s="6" t="inlineStr">
        <is>
          <t>iFinD ifind_get_stock_info (as of 2026-10-27)；中远海科2025年年度报告</t>
        </is>
      </c>
      <c r="M28" s="7" t="inlineStr">
        <is>
          <t>http://money.finance.sina.com.cn/corp/view/vCB_AllBulletinDetail.php?stockid=002401&amp;id=12027926</t>
        </is>
      </c>
    </row>
    <row r="29" ht="24" customHeight="1">
      <c r="B29" s="4" t="inlineStr">
        <is>
          <t>002410</t>
        </is>
      </c>
      <c r="C29" s="4" t="inlineStr">
        <is>
          <t>广联达</t>
        </is>
      </c>
      <c r="D29" s="4" t="inlineStr">
        <is>
          <t>数据要素_其他行业数据</t>
        </is>
      </c>
      <c r="E29" s="4" t="inlineStr">
        <is>
          <t>保留</t>
        </is>
      </c>
      <c r="F29" s="4" t="inlineStr">
        <is>
          <t>数据要素</t>
        </is>
      </c>
      <c r="G29" s="4" t="inlineStr">
        <is>
          <t>数据要素_其他行业数据</t>
        </is>
      </c>
      <c r="H29" s="4" t="inlineStr">
        <is>
          <t>核心</t>
        </is>
      </c>
      <c r="I29" s="4" t="inlineStr">
        <is>
          <t>广材网、广材助手提供信息价、市场价、采购建议价及人工询价，指标网提供成本、清单和劳务数据，并与计价软件打通。建筑造价数据经持续加工形成订阅及软件数据服务。</t>
        </is>
      </c>
      <c r="J29" s="4" t="inlineStr">
        <is>
          <t>广联达广材数据服务</t>
        </is>
      </c>
      <c r="K29" s="4" t="inlineStr">
        <is>
          <t>2025-08-27</t>
        </is>
      </c>
      <c r="L29" s="4" t="inlineStr">
        <is>
          <t>iFinD ifind_get_stock_info (as of 2026-10-27)；广联达广材数据服务</t>
        </is>
      </c>
      <c r="M29" s="5" t="inlineStr">
        <is>
          <t>https://www.glodon.com/product/209.html</t>
        </is>
      </c>
    </row>
    <row r="30" ht="24" customHeight="1">
      <c r="B30" s="6" t="inlineStr">
        <is>
          <t>002609</t>
        </is>
      </c>
      <c r="C30" s="6" t="inlineStr">
        <is>
          <t>捷顺科技</t>
        </is>
      </c>
      <c r="D30" s="6" t="inlineStr">
        <is>
          <t>数据要素_汽车数据</t>
        </is>
      </c>
      <c r="E30" s="6" t="inlineStr">
        <is>
          <t>降级重分类</t>
        </is>
      </c>
      <c r="F30" s="6" t="inlineStr">
        <is>
          <t>数据要素</t>
        </is>
      </c>
      <c r="G30" s="6" t="inlineStr">
        <is>
          <t>数据要素_交通数据</t>
        </is>
      </c>
      <c r="H30" s="6" t="inlineStr">
        <is>
          <t>相关</t>
        </is>
      </c>
      <c r="I30" s="6" t="inlineStr">
        <is>
          <t>捷停车、顺易通汇聚停车场、车位和缴费数据，以交易手续费、车位代运营及数据产品挂牌交付。智慧停车运营尚非全部收入主体，硬件和资产运营仍重要，因此归停车交通数据相关而非泛汽车数据核心。</t>
        </is>
      </c>
      <c r="J30" s="6" t="inlineStr">
        <is>
          <t>捷顺科技2025年年度报告</t>
        </is>
      </c>
      <c r="K30" s="6" t="inlineStr">
        <is>
          <t>2026-04-30</t>
        </is>
      </c>
      <c r="L30" s="6" t="inlineStr">
        <is>
          <t>iFinD ifind_get_stock_info (as of 2026-10-27)；捷顺科技2025年年度报告</t>
        </is>
      </c>
      <c r="M30" s="7" t="inlineStr">
        <is>
          <t>https://money.finance.sina.com.cn/corp/view/vCB_AllBulletinDetail.php?stockid=002609&amp;id=12285782</t>
        </is>
      </c>
    </row>
    <row r="31" ht="24" customHeight="1">
      <c r="B31" s="4" t="inlineStr">
        <is>
          <t>002642</t>
        </is>
      </c>
      <c r="C31" s="4" t="inlineStr">
        <is>
          <t>荣联科技</t>
        </is>
      </c>
      <c r="D31" s="4" t="inlineStr">
        <is>
          <t>数据要素_数据存储</t>
        </is>
      </c>
      <c r="E31" s="4" t="inlineStr">
        <is>
          <t>保留</t>
        </is>
      </c>
      <c r="F31" s="4" t="inlineStr">
        <is>
          <t>数据要素</t>
        </is>
      </c>
      <c r="G31" s="4" t="inlineStr">
        <is>
          <t>数据要素_数据存储</t>
        </is>
      </c>
      <c r="H31" s="4" t="inlineStr">
        <is>
          <t>相关</t>
        </is>
      </c>
      <c r="I31" s="4" t="inlineStr">
        <is>
          <t>为企业建设数据中心、存储和容灾系统，并对物联网、生物医疗数据做清洗、备份和分析，收入按系统集成、技术服务和产品交付。未见自有数据库或独立数据订阅主产品，维持数据存储相关。</t>
        </is>
      </c>
      <c r="J31" s="4" t="inlineStr">
        <is>
          <t>荣联科技2025年年度报告</t>
        </is>
      </c>
      <c r="K31" s="4" t="inlineStr">
        <is>
          <t>2026-03-28</t>
        </is>
      </c>
      <c r="L31" s="4" t="inlineStr">
        <is>
          <t>iFinD ifind_get_stock_info (as of 2026-10-27)；荣联科技2025年年度报告</t>
        </is>
      </c>
      <c r="M31" s="5" t="inlineStr">
        <is>
          <t>https://static.cninfo.com.cn/finalpage/2026-03-28/1225043883.PDF</t>
        </is>
      </c>
    </row>
    <row r="32" ht="24" customHeight="1">
      <c r="B32" s="6" t="inlineStr">
        <is>
          <t>002649</t>
        </is>
      </c>
      <c r="C32" s="6" t="inlineStr">
        <is>
          <t>博彦科技</t>
        </is>
      </c>
      <c r="D32" s="6" t="inlineStr">
        <is>
          <t>数据要素_数据标注</t>
        </is>
      </c>
      <c r="E32" s="6" t="inlineStr">
        <is>
          <t>保留</t>
        </is>
      </c>
      <c r="F32" s="6" t="inlineStr">
        <is>
          <t>数据要素</t>
        </is>
      </c>
      <c r="G32" s="6" t="inlineStr">
        <is>
          <t>数据要素_数据标注</t>
        </is>
      </c>
      <c r="H32" s="6" t="inlineStr">
        <is>
          <t>相关</t>
        </is>
      </c>
      <c r="I32" s="6" t="inlineStr">
        <is>
          <t>人工智能计算平台、AI Agent平台把训练数据标注嵌入模型开发、训练和部署一站式方案，按项目及研发工程收费。公司主体仍是IT外包与运维，未见标注数据集作为独立主产品。</t>
        </is>
      </c>
      <c r="J32" s="6" t="inlineStr">
        <is>
          <t>博彦科技2025年半年度报告</t>
        </is>
      </c>
      <c r="K32" s="6" t="inlineStr">
        <is>
          <t>2025-08-28</t>
        </is>
      </c>
      <c r="L32" s="6" t="inlineStr">
        <is>
          <t>iFinD ifind_get_stock_info (as of 2026-10-27)；博彦科技2025年半年度报告</t>
        </is>
      </c>
      <c r="M32" s="7" t="inlineStr">
        <is>
          <t>https://vip.stock.finance.sina.com.cn/corp/view/vCB_AllBulletinDetail.php?stockid=002649&amp;id=11397085</t>
        </is>
      </c>
    </row>
    <row r="33" ht="24" customHeight="1">
      <c r="B33" s="4" t="inlineStr">
        <is>
          <t>002777</t>
        </is>
      </c>
      <c r="C33" s="4" t="inlineStr">
        <is>
          <t>久远银海</t>
        </is>
      </c>
      <c r="D33" s="4" t="inlineStr">
        <is>
          <t>数据要素_医疗数据</t>
        </is>
      </c>
      <c r="E33" s="4" t="inlineStr">
        <is>
          <t>保留</t>
        </is>
      </c>
      <c r="F33" s="4" t="inlineStr">
        <is>
          <t>数据要素</t>
        </is>
      </c>
      <c r="G33" s="4" t="inlineStr">
        <is>
          <t>数据要素_医疗数据</t>
        </is>
      </c>
      <c r="H33" s="4" t="inlineStr">
        <is>
          <t>相关</t>
        </is>
      </c>
      <c r="I33" s="4" t="inlineStr">
        <is>
          <t>诚信宝、医商通、信用就医及津医保处理医保、医疗和人社数据，以软件、运维和联合运营交付，贵州子公司提供商保结算等服务。数据产品已落地但收入仍归入软件运维。</t>
        </is>
      </c>
      <c r="J33" s="4" t="inlineStr">
        <is>
          <t>久远银海2025年年度报告</t>
        </is>
      </c>
      <c r="K33" s="4" t="inlineStr">
        <is>
          <t>2026-03-27</t>
        </is>
      </c>
      <c r="L33" s="4" t="inlineStr">
        <is>
          <t>iFinD ifind_get_stock_info (as of 2026-10-27)；久远银海2025年年度报告</t>
        </is>
      </c>
      <c r="M33" s="5" t="inlineStr">
        <is>
          <t>https://money.finance.sina.com.cn/corp/view/vCB_AllBulletinDetail.php?stockid=002777&amp;id=12020502</t>
        </is>
      </c>
    </row>
    <row r="34" ht="24" customHeight="1">
      <c r="B34" s="6" t="inlineStr">
        <is>
          <t>002869</t>
        </is>
      </c>
      <c r="C34" s="6" t="inlineStr">
        <is>
          <t>金溢科技</t>
        </is>
      </c>
      <c r="D34" s="6" t="inlineStr">
        <is>
          <t>数据要素_交通数据</t>
        </is>
      </c>
      <c r="E34" s="6" t="inlineStr">
        <is>
          <t>摘除</t>
        </is>
      </c>
      <c r="F34" s="6" t="inlineStr"/>
      <c r="G34" s="6" t="inlineStr"/>
      <c r="H34" s="6" t="inlineStr">
        <is>
          <t>边缘</t>
        </is>
      </c>
      <c r="I34" s="6" t="inlineStr">
        <is>
          <t>OBU、RSU、RFID及全息路口采集车辆身份、收费和路况数据，主要以智能终端、路侧设备及边端系统项目销售。未核到独立交通数据产品收费，属于上游感知和项目交付，严格口径下移出数据要素。</t>
        </is>
      </c>
      <c r="J34" s="6" t="inlineStr">
        <is>
          <t>金溢科技2024年年度报告</t>
        </is>
      </c>
      <c r="K34" s="6" t="inlineStr">
        <is>
          <t>2025-04-22</t>
        </is>
      </c>
      <c r="L34" s="6" t="inlineStr">
        <is>
          <t>iFinD ifind_get_stock_info (as of 2026-10-27)；金溢科技2024年年度报告</t>
        </is>
      </c>
      <c r="M34" s="7" t="inlineStr">
        <is>
          <t>http://money.finance.sina.com.cn/corp/view/vCB_AllBulletinDetail.php?stockid=002869&amp;id=10921058</t>
        </is>
      </c>
    </row>
    <row r="35" ht="24" customHeight="1">
      <c r="B35" s="4" t="inlineStr">
        <is>
          <t>002908</t>
        </is>
      </c>
      <c r="C35" s="4" t="inlineStr">
        <is>
          <t>德生科技</t>
        </is>
      </c>
      <c r="D35" s="4" t="inlineStr">
        <is>
          <t>数据要素_其他行业数据</t>
        </is>
      </c>
      <c r="E35" s="4" t="inlineStr">
        <is>
          <t>升级</t>
        </is>
      </c>
      <c r="F35" s="4" t="inlineStr">
        <is>
          <t>数据要素</t>
        </is>
      </c>
      <c r="G35" s="4" t="inlineStr">
        <is>
          <t>数据要素_其他行业数据</t>
        </is>
      </c>
      <c r="H35" s="4" t="inlineStr">
        <is>
          <t>核心</t>
        </is>
      </c>
      <c r="I35" s="4" t="inlineStr">
        <is>
          <t>全口径劳动力平台、就业分析及政务核验产品处理授权人社和就业数据，通过就业运营、数据专区运维及服务合同收费。人社运营及大数据服务已是明确主要产品，数据服务并非单纯内部自用。</t>
        </is>
      </c>
      <c r="J35" s="4" t="inlineStr">
        <is>
          <t>德生科技2025年年度报告</t>
        </is>
      </c>
      <c r="K35" s="4" t="inlineStr">
        <is>
          <t>2026-04-25</t>
        </is>
      </c>
      <c r="L35" s="4" t="inlineStr">
        <is>
          <t>iFinD ifind_get_stock_info (as of 2026-10-27)；德生科技2025年年度报告</t>
        </is>
      </c>
      <c r="M35" s="5" t="inlineStr">
        <is>
          <t>https://money.finance.sina.com.cn/corp/view/vCB_AllBulletinDetail.php?stockid=002908&amp;id=12189979</t>
        </is>
      </c>
    </row>
    <row r="36" ht="24" customHeight="1">
      <c r="B36" s="6" t="inlineStr">
        <is>
          <t>002912</t>
        </is>
      </c>
      <c r="C36" s="6" t="inlineStr">
        <is>
          <t>中新赛克</t>
        </is>
      </c>
      <c r="D36" s="6" t="inlineStr">
        <is>
          <t>数据要素_网络可视化监管</t>
        </is>
      </c>
      <c r="E36" s="6" t="inlineStr">
        <is>
          <t>保留</t>
        </is>
      </c>
      <c r="F36" s="6" t="inlineStr">
        <is>
          <t>数据要素</t>
        </is>
      </c>
      <c r="G36" s="6" t="inlineStr">
        <is>
          <t>数据要素_网络可视化监管</t>
        </is>
      </c>
      <c r="H36" s="6" t="inlineStr">
        <is>
          <t>相关</t>
        </is>
      </c>
      <c r="I36" s="6" t="inlineStr">
        <is>
          <t>宽带网、移动网产品提取网络流量，DFP、AIP及数据融合平台做多模态研判，以软硬件、安装调试和培训交付。主体仍是网络可视化监管设备和方案，数据运营产品占比较小。</t>
        </is>
      </c>
      <c r="J36" s="6" t="inlineStr">
        <is>
          <t>中新赛克2025年年度报告</t>
        </is>
      </c>
      <c r="K36" s="6" t="inlineStr">
        <is>
          <t>2026-03-18</t>
        </is>
      </c>
      <c r="L36" s="6" t="inlineStr">
        <is>
          <t>iFinD ifind_get_stock_info (as of 2026-10-27)；中新赛克2025年年度报告</t>
        </is>
      </c>
      <c r="M36" s="7" t="inlineStr">
        <is>
          <t>https://money.finance.sina.com.cn/corp/view/vCB_AllBulletinDetail.php?stockid=002912&amp;id=12001026</t>
        </is>
      </c>
    </row>
    <row r="37" ht="24" customHeight="1">
      <c r="B37" s="4" t="inlineStr">
        <is>
          <t>003005</t>
        </is>
      </c>
      <c r="C37" s="4" t="inlineStr">
        <is>
          <t>竞业达</t>
        </is>
      </c>
      <c r="D37" s="4" t="inlineStr">
        <is>
          <t>数据要素_其他行业数据</t>
        </is>
      </c>
      <c r="E37" s="4" t="inlineStr">
        <is>
          <t>重分类</t>
        </is>
      </c>
      <c r="F37" s="4" t="inlineStr">
        <is>
          <t>数据要素</t>
        </is>
      </c>
      <c r="G37" s="4" t="inlineStr">
        <is>
          <t>数据要素_教育数据</t>
        </is>
      </c>
      <c r="H37" s="4" t="inlineStr">
        <is>
          <t>相关</t>
        </is>
      </c>
      <c r="I37" s="4" t="inlineStr">
        <is>
          <t>星云产业需求数据库、课堂质量诊断和AIGC服务处理教学、考务数据，以教育信息化方案、产品和订阅交付。安全中台仅提供招考视频、证书和密钥安全，不是独立数据安全产品。</t>
        </is>
      </c>
      <c r="J37" s="4" t="inlineStr">
        <is>
          <t>竞业达2025年年度报告摘要</t>
        </is>
      </c>
      <c r="K37" s="4" t="inlineStr">
        <is>
          <t>2026-04-29</t>
        </is>
      </c>
      <c r="L37" s="4" t="inlineStr">
        <is>
          <t>iFinD ifind_get_stock_info (as of 2026-10-27)；竞业达2025年年度报告摘要</t>
        </is>
      </c>
      <c r="M37" s="5" t="inlineStr">
        <is>
          <t>https://disc.static.szse.cn/download/disc/disk03/finalpage/2026-04-29/19917dfc-97c1-477c-a9f1-85880ace76cc.PDF</t>
        </is>
      </c>
    </row>
    <row r="38" ht="24" customHeight="1">
      <c r="B38" s="6" t="inlineStr">
        <is>
          <t>300085</t>
        </is>
      </c>
      <c r="C38" s="6" t="inlineStr">
        <is>
          <t>银之杰</t>
        </is>
      </c>
      <c r="D38" s="6" t="inlineStr">
        <is>
          <t>数据要素_其他行业数据</t>
        </is>
      </c>
      <c r="E38" s="6" t="inlineStr">
        <is>
          <t>摘除</t>
        </is>
      </c>
      <c r="F38" s="6" t="inlineStr"/>
      <c r="G38" s="6" t="inlineStr"/>
      <c r="H38" s="6" t="inlineStr">
        <is>
          <t>边缘</t>
        </is>
      </c>
      <c r="I38" s="6" t="inlineStr">
        <is>
          <t>金融软件、数据中台为银行处理业务数据并按软件和设备交付，征信逻辑主要来自联营及参股机构。上市公司自身未见独立征信数据主产品，且其他业务占比较大，严格口径下不再纳入数据要素。</t>
        </is>
      </c>
      <c r="J38" s="6" t="inlineStr">
        <is>
          <t>银之杰2025年年度报告</t>
        </is>
      </c>
      <c r="K38" s="6" t="inlineStr">
        <is>
          <t>2026-04-15</t>
        </is>
      </c>
      <c r="L38" s="6" t="inlineStr">
        <is>
          <t>iFinD ifind_get_stock_info (as of 2026-10-27)；银之杰2025年年度报告</t>
        </is>
      </c>
      <c r="M38" s="7" t="inlineStr">
        <is>
          <t>https://money.finance.sina.com.cn/corp/view/vCB_AllBulletinDetail.php?stockid=300085&amp;id=12089901</t>
        </is>
      </c>
    </row>
    <row r="39" ht="24" customHeight="1">
      <c r="B39" s="4" t="inlineStr">
        <is>
          <t>300166</t>
        </is>
      </c>
      <c r="C39" s="4" t="inlineStr">
        <is>
          <t>东方国信</t>
        </is>
      </c>
      <c r="D39" s="4" t="inlineStr">
        <is>
          <t>数据要素_数据清洗</t>
        </is>
      </c>
      <c r="E39" s="4" t="inlineStr">
        <is>
          <t>降级</t>
        </is>
      </c>
      <c r="F39" s="4" t="inlineStr">
        <is>
          <t>数据要素</t>
        </is>
      </c>
      <c r="G39" s="4" t="inlineStr">
        <is>
          <t>数据要素_数据清洗</t>
        </is>
      </c>
      <c r="H39" s="4" t="inlineStr">
        <is>
          <t>相关</t>
        </is>
      </c>
      <c r="I39" s="4" t="inlineStr">
        <is>
          <t>CirroData、BELAKE及“早安老板”处理企业、标讯数据的采集、清洗、标注和检索，以定制软件、系统集成和软件产品交付。数据清洗并非独立主产品，且公司明确称未与北数所合作，交易所映射删除。</t>
        </is>
      </c>
      <c r="J39" s="4" t="inlineStr">
        <is>
          <t>东方国信2025年年度报告及互动平台答复</t>
        </is>
      </c>
      <c r="K39" s="4" t="inlineStr">
        <is>
          <t>2026-04-24</t>
        </is>
      </c>
      <c r="L39" s="4" t="inlineStr">
        <is>
          <t>iFinD ifind_get_stock_info (as of 2026-10-27)；东方国信2025年年度报告及互动平台答复</t>
        </is>
      </c>
      <c r="M39" s="5" t="inlineStr">
        <is>
          <t>https://money.finance.sina.com.cn/corp/view/vCB_AllBulletinDetail.php?stockid=300166&amp;id=12175116</t>
        </is>
      </c>
    </row>
    <row r="40" ht="24" customHeight="1">
      <c r="B40" s="6" t="inlineStr">
        <is>
          <t>300168</t>
        </is>
      </c>
      <c r="C40" s="6" t="inlineStr">
        <is>
          <t>万达信息</t>
        </is>
      </c>
      <c r="D40" s="6" t="inlineStr">
        <is>
          <t>数据要素_交易所</t>
        </is>
      </c>
      <c r="E40" s="6" t="inlineStr">
        <is>
          <t>重分类</t>
        </is>
      </c>
      <c r="F40" s="6" t="inlineStr">
        <is>
          <t>数据要素</t>
        </is>
      </c>
      <c r="G40" s="6" t="inlineStr">
        <is>
          <t>数据要素_医疗数据</t>
        </is>
      </c>
      <c r="H40" s="6" t="inlineStr">
        <is>
          <t>相关</t>
        </is>
      </c>
      <c r="I40" s="6" t="inlineStr">
        <is>
          <t>OMOP糖尿病模型评估、“灵素”体检解读和宁波医疗流通平台处理医疗健康数据，以软件开发、运维、授权运营及挂牌产品交付。公司是上数所第三方服务商而非交易所运营方。</t>
        </is>
      </c>
      <c r="J40" s="6" t="inlineStr">
        <is>
          <t>万达信息2025年年度报告</t>
        </is>
      </c>
      <c r="K40" s="6" t="inlineStr">
        <is>
          <t>2026-04-29</t>
        </is>
      </c>
      <c r="L40" s="6" t="inlineStr">
        <is>
          <t>iFinD ifind_get_stock_info (as of 2026-10-27)；万达信息2025年年度报告</t>
        </is>
      </c>
      <c r="M40" s="7" t="inlineStr">
        <is>
          <t>http://file.finance.sina.com.cn/211.154.219.97:9494/MRGG/CNSESZ_STOCK/2026/2026-4/2026-04-29/12242514.PDF</t>
        </is>
      </c>
    </row>
    <row r="41" ht="24" customHeight="1">
      <c r="B41" s="4" t="inlineStr">
        <is>
          <t>300226</t>
        </is>
      </c>
      <c r="C41" s="4" t="inlineStr">
        <is>
          <t>上海钢联</t>
        </is>
      </c>
      <c r="D41" s="4" t="inlineStr">
        <is>
          <t>数据要素_大宗数据</t>
        </is>
      </c>
      <c r="E41" s="4" t="inlineStr">
        <is>
          <t>保留</t>
        </is>
      </c>
      <c r="F41" s="4" t="inlineStr">
        <is>
          <t>数据要素</t>
        </is>
      </c>
      <c r="G41" s="4" t="inlineStr">
        <is>
          <t>数据要素_大宗数据</t>
        </is>
      </c>
      <c r="H41" s="4" t="inlineStr">
        <is>
          <t>核心</t>
        </is>
      </c>
      <c r="I41" s="4" t="inlineStr">
        <is>
          <t>Mysteel、钢联数据终端和隆众资讯持续采集钢铁、能源等价格、库存及供需数据，通过数据订阅、数据接口、研究咨询收费。客户购买对象就是持续更新的商品数据和研究成果。</t>
        </is>
      </c>
      <c r="J41" s="4" t="inlineStr">
        <is>
          <t>上海钢联2025年年度报告</t>
        </is>
      </c>
      <c r="K41" s="4" t="inlineStr">
        <is>
          <t>2026-04-28</t>
        </is>
      </c>
      <c r="L41" s="4" t="inlineStr">
        <is>
          <t>iFinD ifind_get_stock_info (as of 2026-10-27)；上海钢联2025年年度报告</t>
        </is>
      </c>
      <c r="M41" s="5" t="inlineStr">
        <is>
          <t>http://money.finance.sina.com.cn/corp/view/vCB_AllBulletinDetail.php?stockid=300226&amp;id=12225019</t>
        </is>
      </c>
    </row>
    <row r="42" ht="24" customHeight="1">
      <c r="B42" s="6" t="inlineStr">
        <is>
          <t>300250</t>
        </is>
      </c>
      <c r="C42" s="6" t="inlineStr">
        <is>
          <t>初灵信息</t>
        </is>
      </c>
      <c r="D42" s="6" t="inlineStr">
        <is>
          <t>数据要素_数据分析</t>
        </is>
      </c>
      <c r="E42" s="6" t="inlineStr">
        <is>
          <t>保留</t>
        </is>
      </c>
      <c r="F42" s="6" t="inlineStr">
        <is>
          <t>数据要素</t>
        </is>
      </c>
      <c r="G42" s="6" t="inlineStr">
        <is>
          <t>数据要素_数据分析</t>
        </is>
      </c>
      <c r="H42" s="6" t="inlineStr">
        <is>
          <t>相关</t>
        </is>
      </c>
      <c r="I42" s="6" t="inlineStr">
        <is>
          <t>DPI数据感知系统、EDPP平台采集解析运营商网络流量，并提供故障定位、视频用户行为分析，主要通过招标销售系统和扩容升级服务。交付的是分析平台而非独立数据库。</t>
        </is>
      </c>
      <c r="J42" s="6" t="inlineStr">
        <is>
          <t>初灵信息2025年年度报告</t>
        </is>
      </c>
      <c r="K42" s="6" t="inlineStr">
        <is>
          <t>2026-04-27</t>
        </is>
      </c>
      <c r="L42" s="6" t="inlineStr">
        <is>
          <t>iFinD ifind_get_stock_info (as of 2026-10-27)；初灵信息2025年年度报告</t>
        </is>
      </c>
      <c r="M42" s="7" t="inlineStr">
        <is>
          <t>https://money.finance.sina.com.cn/corp/view/vCB_AllBulletinDetail.php?stockid=300250&amp;id=12205319</t>
        </is>
      </c>
    </row>
    <row r="43" ht="24" customHeight="1">
      <c r="B43" s="4" t="inlineStr">
        <is>
          <t>300271</t>
        </is>
      </c>
      <c r="C43" s="4" t="inlineStr">
        <is>
          <t>华宇软件</t>
        </is>
      </c>
      <c r="D43" s="4" t="inlineStr">
        <is>
          <t>数据要素_司法数据</t>
        </is>
      </c>
      <c r="E43" s="4" t="inlineStr">
        <is>
          <t>保留</t>
        </is>
      </c>
      <c r="F43" s="4" t="inlineStr">
        <is>
          <t>数据要素</t>
        </is>
      </c>
      <c r="G43" s="4" t="inlineStr">
        <is>
          <t>数据要素_司法数据</t>
        </is>
      </c>
      <c r="H43" s="4" t="inlineStr">
        <is>
          <t>相关</t>
        </is>
      </c>
      <c r="I43" s="4" t="inlineStr">
        <is>
          <t>法律高质量数据集、万象问数处理裁判文书、法规和检察业务数据，以法律大模型、应用软件、系统建设及运维交付。数据主要支撑自有AI和客户办案，未见独立司法数据订阅成为主产品。</t>
        </is>
      </c>
      <c r="J43" s="4" t="inlineStr">
        <is>
          <t>华宇软件2025年年度报告</t>
        </is>
      </c>
      <c r="K43" s="4" t="inlineStr">
        <is>
          <t>2026-04-28</t>
        </is>
      </c>
      <c r="L43" s="4" t="inlineStr">
        <is>
          <t>iFinD ifind_get_stock_info (as of 2026-10-27)；华宇软件2025年年度报告</t>
        </is>
      </c>
      <c r="M43" s="5" t="inlineStr">
        <is>
          <t>https://static.cninfo.com.cn/finalpage/2026-04-28/1225213050.PDF</t>
        </is>
      </c>
    </row>
    <row r="44" ht="24" customHeight="1">
      <c r="B44" s="6" t="inlineStr">
        <is>
          <t>300287</t>
        </is>
      </c>
      <c r="C44" s="6" t="inlineStr">
        <is>
          <t>飞利信</t>
        </is>
      </c>
      <c r="D44" s="6" t="inlineStr">
        <is>
          <t>数据要素_数据清洗</t>
        </is>
      </c>
      <c r="E44" s="6" t="inlineStr">
        <is>
          <t>保留</t>
        </is>
      </c>
      <c r="F44" s="6" t="inlineStr">
        <is>
          <t>数据要素</t>
        </is>
      </c>
      <c r="G44" s="6" t="inlineStr">
        <is>
          <t>数据要素_数据清洗</t>
        </is>
      </c>
      <c r="H44" s="6" t="inlineStr">
        <is>
          <t>相关</t>
        </is>
      </c>
      <c r="I44" s="6" t="inlineStr">
        <is>
          <t>诺玛大数据平台、KingMap和可信数据空间整合电网、政务及时空数据，提供治理、分析和跨域协同，按数据软件及项目交付。数据软件是业务板块之一，但清洗并非独立数据商品。</t>
        </is>
      </c>
      <c r="J44" s="6" t="inlineStr">
        <is>
          <t>飞利信2025年半年度报告</t>
        </is>
      </c>
      <c r="K44" s="6" t="inlineStr">
        <is>
          <t>2025-08-29</t>
        </is>
      </c>
      <c r="L44" s="6" t="inlineStr">
        <is>
          <t>iFinD ifind_get_stock_info (as of 2026-10-27)；飞利信2025年半年度报告</t>
        </is>
      </c>
      <c r="M44" s="7" t="inlineStr">
        <is>
          <t>https://money.finance.sina.com.cn/corp/view/vCB_AllBulletinDetail.php?stockid=300287&amp;id=11412326</t>
        </is>
      </c>
    </row>
    <row r="45" ht="24" customHeight="1">
      <c r="B45" s="4" t="inlineStr">
        <is>
          <t>300311</t>
        </is>
      </c>
      <c r="C45" s="4" t="inlineStr">
        <is>
          <t>任子行</t>
        </is>
      </c>
      <c r="D45" s="4" t="inlineStr">
        <is>
          <t>数据要素_数据安全</t>
        </is>
      </c>
      <c r="E45" s="4" t="inlineStr">
        <is>
          <t>保留</t>
        </is>
      </c>
      <c r="F45" s="4" t="inlineStr">
        <is>
          <t>数据要素</t>
        </is>
      </c>
      <c r="G45" s="4" t="inlineStr">
        <is>
          <t>数据要素_数据安全</t>
        </is>
      </c>
      <c r="H45" s="4" t="inlineStr">
        <is>
          <t>相关</t>
        </is>
      </c>
      <c r="I45" s="4" t="inlineStr">
        <is>
          <t>数安智鉴、数安智巡、数安智枢对文件和数据库分类分级、敏感识别及风险监测，以网络安全软硬件和定制方案销售。产品直接对应数据安全而非数据交易，且已有检测认证。</t>
        </is>
      </c>
      <c r="J45" s="4" t="inlineStr">
        <is>
          <t>任子行2025年年度报告</t>
        </is>
      </c>
      <c r="K45" s="4" t="inlineStr">
        <is>
          <t>2026-04-28</t>
        </is>
      </c>
      <c r="L45" s="4" t="inlineStr">
        <is>
          <t>iFinD ifind_get_stock_info (as of 2026-10-27)；任子行2025年年度报告</t>
        </is>
      </c>
      <c r="M45" s="5" t="inlineStr">
        <is>
          <t>http://file.finance.sina.com.cn/211.154.219.97:9494/MRGG/CNSESZ_STOCK/2026/2026-4/2026-04-28/12232475.PDF</t>
        </is>
      </c>
    </row>
    <row r="46" ht="24" customHeight="1">
      <c r="B46" s="6" t="inlineStr">
        <is>
          <t>300364</t>
        </is>
      </c>
      <c r="C46" s="6" t="inlineStr">
        <is>
          <t>中文在线</t>
        </is>
      </c>
      <c r="D46" s="6" t="inlineStr">
        <is>
          <t>数据要素_内容数据</t>
        </is>
      </c>
      <c r="E46" s="6" t="inlineStr">
        <is>
          <t>保留</t>
        </is>
      </c>
      <c r="F46" s="6" t="inlineStr">
        <is>
          <t>数据要素</t>
        </is>
      </c>
      <c r="G46" s="6" t="inlineStr">
        <is>
          <t>数据要素_内容数据</t>
        </is>
      </c>
      <c r="H46" s="6" t="inlineStr">
        <is>
          <t>核心</t>
        </is>
      </c>
      <c r="I46" s="6" t="inlineStr">
        <is>
          <t>公司聚合出版物、原创文学、音频、视频及平行语料等版权数据，向大模型企业签数据内容及服务合同，同时通过阅读、IP授权变现。多模态语料已是可独立授权产品。</t>
        </is>
      </c>
      <c r="J46" s="6" t="inlineStr">
        <is>
          <t>中文在线2025年半年度报告</t>
        </is>
      </c>
      <c r="K46" s="6" t="inlineStr">
        <is>
          <t>2025-08-23</t>
        </is>
      </c>
      <c r="L46" s="6" t="inlineStr">
        <is>
          <t>iFinD ifind_get_stock_info (as of 2026-10-27)；中文在线2025年半年度报告</t>
        </is>
      </c>
      <c r="M46" s="7" t="inlineStr">
        <is>
          <t>https://static.cninfo.com.cn/finalpage/2025-08-23/1224558446.PDF</t>
        </is>
      </c>
    </row>
    <row r="47" ht="24" customHeight="1">
      <c r="B47" s="4" t="inlineStr">
        <is>
          <t>300469</t>
        </is>
      </c>
      <c r="C47" s="4" t="inlineStr">
        <is>
          <t>信息发展</t>
        </is>
      </c>
      <c r="D47" s="4" t="inlineStr">
        <is>
          <t>数据要素_交通数据</t>
        </is>
      </c>
      <c r="E47" s="4" t="inlineStr">
        <is>
          <t>保留</t>
        </is>
      </c>
      <c r="F47" s="4" t="inlineStr">
        <is>
          <t>数据要素</t>
        </is>
      </c>
      <c r="G47" s="4" t="inlineStr">
        <is>
          <t>数据要素_交通数据</t>
        </is>
      </c>
      <c r="H47" s="4" t="inlineStr">
        <is>
          <t>相关</t>
        </is>
      </c>
      <c r="I47" s="4" t="inlineStr">
        <is>
          <t>交信北斗海南北斗平台处理车辆轨迹、驾驶行为及路网数据，向保险机构提供统计分析和风控报告并收服务费，另按轨迹查询计费。现阶段仍有大量终端和项目交付。</t>
        </is>
      </c>
      <c r="J47" s="4" t="inlineStr">
        <is>
          <t>信息发展2025年年度报告</t>
        </is>
      </c>
      <c r="K47" s="4" t="inlineStr">
        <is>
          <t>2026-04-29</t>
        </is>
      </c>
      <c r="L47" s="4" t="inlineStr">
        <is>
          <t>iFinD ifind_get_stock_info (as of 2026-10-27)；信息发展2025年年度报告</t>
        </is>
      </c>
      <c r="M47" s="5" t="inlineStr">
        <is>
          <t>https://money.finance.sina.com.cn/corp/view/vCB_AllBulletinDetail.php?stockid=300469&amp;id=12269930</t>
        </is>
      </c>
    </row>
    <row r="48" ht="24" customHeight="1">
      <c r="B48" s="6" t="inlineStr">
        <is>
          <t>300552</t>
        </is>
      </c>
      <c r="C48" s="6" t="inlineStr">
        <is>
          <t>万集科技</t>
        </is>
      </c>
      <c r="D48" s="6" t="inlineStr">
        <is>
          <t>数据要素_交通数据</t>
        </is>
      </c>
      <c r="E48" s="6" t="inlineStr">
        <is>
          <t>摘除</t>
        </is>
      </c>
      <c r="F48" s="6" t="inlineStr"/>
      <c r="G48" s="6" t="inlineStr"/>
      <c r="H48" s="6" t="inlineStr">
        <is>
          <t>边缘</t>
        </is>
      </c>
      <c r="I48" s="6" t="inlineStr">
        <is>
          <t>ETC、激光雷达、动态称重和V2X路侧设备采集车辆重量、轮廓、轨迹及路况数据，收入来自智能交通设备和系统项目。未核到独立交通数据产品收费，属于上游感知端。</t>
        </is>
      </c>
      <c r="J48" s="6" t="inlineStr">
        <is>
          <t>万集科技2025年年度报告</t>
        </is>
      </c>
      <c r="K48" s="6" t="inlineStr">
        <is>
          <t>2026-03-31</t>
        </is>
      </c>
      <c r="L48" s="6" t="inlineStr">
        <is>
          <t>iFinD ifind_get_stock_info (as of 2026-10-27)；万集科技2025年年度报告</t>
        </is>
      </c>
      <c r="M48" s="7" t="inlineStr">
        <is>
          <t>https://wanji.net.cn/uploadfile/2026/0331/20260331013334898.pdf</t>
        </is>
      </c>
    </row>
    <row r="49" ht="24" customHeight="1">
      <c r="B49" s="4" t="inlineStr">
        <is>
          <t>300609</t>
        </is>
      </c>
      <c r="C49" s="4" t="inlineStr">
        <is>
          <t>汇纳科技</t>
        </is>
      </c>
      <c r="D49" s="4" t="inlineStr">
        <is>
          <t>数据要素_数据分析</t>
        </is>
      </c>
      <c r="E49" s="4" t="inlineStr">
        <is>
          <t>保留</t>
        </is>
      </c>
      <c r="F49" s="4" t="inlineStr">
        <is>
          <t>数据要素</t>
        </is>
      </c>
      <c r="G49" s="4" t="inlineStr">
        <is>
          <t>数据要素_数据分析</t>
        </is>
      </c>
      <c r="H49" s="4" t="inlineStr">
        <is>
          <t>核心</t>
        </is>
      </c>
      <c r="I49" s="4" t="inlineStr">
        <is>
          <t>汇客云及客流分析系统处理商场、门店客流和经营数据，向零售品牌提供选址、预测、监测订阅，并向商务部门交付客流分析。数据订阅已形成经常性收入且为主要产品线。</t>
        </is>
      </c>
      <c r="J49" s="4" t="inlineStr">
        <is>
          <t>汇纳科技2025年年度报告摘要</t>
        </is>
      </c>
      <c r="K49" s="4" t="inlineStr">
        <is>
          <t>2026-04-25</t>
        </is>
      </c>
      <c r="L49" s="4" t="inlineStr">
        <is>
          <t>iFinD ifind_get_stock_info (as of 2026-10-27)；汇纳科技2025年年度报告摘要</t>
        </is>
      </c>
      <c r="M49" s="5" t="inlineStr">
        <is>
          <t>https://money.finance.sina.com.cn/corp/view/vCB_AllBulletinDetail.php?stockid=300609&amp;id=12198404</t>
        </is>
      </c>
    </row>
    <row r="50" ht="24" customHeight="1">
      <c r="B50" s="6" t="inlineStr">
        <is>
          <t>300766</t>
        </is>
      </c>
      <c r="C50" s="6" t="inlineStr">
        <is>
          <t>每日互动</t>
        </is>
      </c>
      <c r="D50" s="6" t="inlineStr">
        <is>
          <t>数据要素_营销数据</t>
        </is>
      </c>
      <c r="E50" s="6" t="inlineStr">
        <is>
          <t>保留</t>
        </is>
      </c>
      <c r="F50" s="6" t="inlineStr">
        <is>
          <t>数据要素</t>
        </is>
      </c>
      <c r="G50" s="6" t="inlineStr">
        <is>
          <t>数据要素_营销数据</t>
        </is>
      </c>
      <c r="H50" s="6" t="inlineStr">
        <is>
          <t>核心</t>
        </is>
      </c>
      <c r="I50" s="6" t="inlineStr">
        <is>
          <t>营销数盘、增能与风控服务将授权移动数据加工为标签、向量“数件”，按SaaS、接口及数据服务收费。数据服务是绝对主产品；联合计算安全是实现方式，不另标数据安全。</t>
        </is>
      </c>
      <c r="J50" s="6" t="inlineStr">
        <is>
          <t>每日互动2025年年度报告</t>
        </is>
      </c>
      <c r="K50" s="6" t="inlineStr">
        <is>
          <t>2026-04-29</t>
        </is>
      </c>
      <c r="L50" s="6" t="inlineStr">
        <is>
          <t>iFinD ifind_get_stock_info (as of 2026-10-27)；每日互动2025年年度报告</t>
        </is>
      </c>
      <c r="M50" s="7" t="inlineStr">
        <is>
          <t>http://static.cninfo.com.cn/finalpage/2026-04-29/1225238383.PDF</t>
        </is>
      </c>
    </row>
    <row r="51" ht="24" customHeight="1">
      <c r="B51" s="4" t="inlineStr">
        <is>
          <t>300768</t>
        </is>
      </c>
      <c r="C51" s="4" t="inlineStr">
        <is>
          <t>迪普科技</t>
        </is>
      </c>
      <c r="D51" s="4" t="inlineStr">
        <is>
          <t>数据要素_网络可视化监管</t>
        </is>
      </c>
      <c r="E51" s="4" t="inlineStr">
        <is>
          <t>保留</t>
        </is>
      </c>
      <c r="F51" s="4" t="inlineStr">
        <is>
          <t>数据要素</t>
        </is>
      </c>
      <c r="G51" s="4" t="inlineStr">
        <is>
          <t>数据要素_网络可视化监管</t>
        </is>
      </c>
      <c r="H51" s="4" t="inlineStr">
        <is>
          <t>相关</t>
        </is>
      </c>
      <c r="I51" s="4" t="inlineStr">
        <is>
          <t>加密流量编排、全流量态势感知及数据分类分级产品解析网络流量、识别敏感数据，主要以安全软硬件、应用交付和运营服务销售。价值在安全检测防护而非数据资源运营。</t>
        </is>
      </c>
      <c r="J51" s="4" t="inlineStr">
        <is>
          <t>迪普科技2025年年度报告</t>
        </is>
      </c>
      <c r="K51" s="4" t="inlineStr">
        <is>
          <t>2026-04-14</t>
        </is>
      </c>
      <c r="L51" s="4" t="inlineStr">
        <is>
          <t>iFinD ifind_get_stock_info (as of 2026-10-27)；迪普科技2025年年度报告</t>
        </is>
      </c>
      <c r="M51" s="5" t="inlineStr">
        <is>
          <t>http://money.finance.sina.com.cn/corp/view/vCB_AllBulletinDetail.php?stockid=300768&amp;id=12084823</t>
        </is>
      </c>
    </row>
    <row r="52" ht="24" customHeight="1">
      <c r="B52" s="6" t="inlineStr">
        <is>
          <t>300807</t>
        </is>
      </c>
      <c r="C52" s="6" t="inlineStr">
        <is>
          <t>天迈科技</t>
        </is>
      </c>
      <c r="D52" s="6" t="inlineStr">
        <is>
          <t>数据要素_交通数据</t>
        </is>
      </c>
      <c r="E52" s="6" t="inlineStr">
        <is>
          <t>保留</t>
        </is>
      </c>
      <c r="F52" s="6" t="inlineStr">
        <is>
          <t>数据要素</t>
        </is>
      </c>
      <c r="G52" s="6" t="inlineStr">
        <is>
          <t>数据要素_交通数据</t>
        </is>
      </c>
      <c r="H52" s="6" t="inlineStr">
        <is>
          <t>相关</t>
        </is>
      </c>
      <c r="I52" s="6" t="inlineStr">
        <is>
          <t>公交数据决策大脑融合车辆、客流、手机信令和城市规划数据，输出线网优化、调度及监测报告，以智能调度系统、软件项目和运维交付。平台服务公交企业自身经营，未见独立数据商品。</t>
        </is>
      </c>
      <c r="J52" s="6" t="inlineStr">
        <is>
          <t>天迈科技2025年年度报告</t>
        </is>
      </c>
      <c r="K52" s="6" t="inlineStr">
        <is>
          <t>2026-04-13</t>
        </is>
      </c>
      <c r="L52" s="6" t="inlineStr">
        <is>
          <t>iFinD ifind_get_stock_info (as of 2026-10-27)；天迈科技2025年年度报告</t>
        </is>
      </c>
      <c r="M52" s="7" t="inlineStr">
        <is>
          <t>http://money.finance.sina.com.cn/corp/view/vCB_AllBulletinDetail.php?stockid=300807&amp;id=12082189</t>
        </is>
      </c>
    </row>
    <row r="53" ht="24" customHeight="1">
      <c r="B53" s="4" t="inlineStr">
        <is>
          <t>300895</t>
        </is>
      </c>
      <c r="C53" s="4" t="inlineStr">
        <is>
          <t>铜牛信息</t>
        </is>
      </c>
      <c r="D53" s="4" t="inlineStr">
        <is>
          <t>数据要素_数据存储</t>
        </is>
      </c>
      <c r="E53" s="4" t="inlineStr">
        <is>
          <t>保留</t>
        </is>
      </c>
      <c r="F53" s="4" t="inlineStr">
        <is>
          <t>数据要素</t>
        </is>
      </c>
      <c r="G53" s="4" t="inlineStr">
        <is>
          <t>数据要素_数据存储</t>
        </is>
      </c>
      <c r="H53" s="4" t="inlineStr">
        <is>
          <t>相关</t>
        </is>
      </c>
      <c r="I53" s="4" t="inlineStr">
        <is>
          <t>自建IDC和云平台为客户托管服务器，提供带宽、备份、恢复和日志分析，按资源、托管及系统集成收费。公司承载客户数据而不生产或运营自有数据内容，属于数据存储基础设施。</t>
        </is>
      </c>
      <c r="J53" s="4" t="inlineStr">
        <is>
          <t>铜牛信息2025年年度报告</t>
        </is>
      </c>
      <c r="K53" s="4" t="inlineStr">
        <is>
          <t>2026-04-23</t>
        </is>
      </c>
      <c r="L53" s="4" t="inlineStr">
        <is>
          <t>iFinD ifind_get_stock_info (as of 2026-10-27)；铜牛信息2025年年度报告</t>
        </is>
      </c>
      <c r="M53" s="5" t="inlineStr">
        <is>
          <t>https://money.finance.sina.com.cn/corp/view/vCB_AllBulletinDetail.php?stockid=300895&amp;id=12153341</t>
        </is>
      </c>
    </row>
    <row r="54" ht="24" customHeight="1">
      <c r="B54" s="6" t="inlineStr">
        <is>
          <t>300949</t>
        </is>
      </c>
      <c r="C54" s="6" t="inlineStr">
        <is>
          <t>奥雅股份</t>
        </is>
      </c>
      <c r="D54" s="6" t="inlineStr">
        <is>
          <t>数据要素_其他行业数据</t>
        </is>
      </c>
      <c r="E54" s="6" t="inlineStr">
        <is>
          <t>摘除</t>
        </is>
      </c>
      <c r="F54" s="6" t="inlineStr"/>
      <c r="G54" s="6" t="inlineStr"/>
      <c r="H54" s="6" t="inlineStr">
        <is>
          <t>错标</t>
        </is>
      </c>
      <c r="I54" s="6" t="inlineStr">
        <is>
          <t>灵绘、奥创和植物数据库把植物、空间指标用于内部景观生成与文旅设计提效，收入仍来自景观设计和综合文旅项目。未见对外销售数据库、数据订阅或授权运营产品，数字科技不等于数据要素。</t>
        </is>
      </c>
      <c r="J54" s="6" t="inlineStr">
        <is>
          <t>奥雅股份2025年年度报告</t>
        </is>
      </c>
      <c r="K54" s="6" t="inlineStr">
        <is>
          <t>2026-04-29</t>
        </is>
      </c>
      <c r="L54" s="6" t="inlineStr">
        <is>
          <t>iFinD ifind_get_stock_info (as of 2026-10-27)；奥雅股份2025年年度报告</t>
        </is>
      </c>
      <c r="M54" s="7" t="inlineStr">
        <is>
          <t>https://money.finance.sina.com.cn/corp/view/vCB_AllBulletinDetail.php?stockid=300949&amp;id=12255135</t>
        </is>
      </c>
    </row>
    <row r="55" ht="24" customHeight="1">
      <c r="B55" s="4" t="inlineStr">
        <is>
          <t>301159</t>
        </is>
      </c>
      <c r="C55" s="4" t="inlineStr">
        <is>
          <t>三维天地</t>
        </is>
      </c>
      <c r="D55" s="4" t="inlineStr">
        <is>
          <t>数据要素_数据清洗</t>
        </is>
      </c>
      <c r="E55" s="4" t="inlineStr">
        <is>
          <t>保留</t>
        </is>
      </c>
      <c r="F55" s="4" t="inlineStr">
        <is>
          <t>数据要素</t>
        </is>
      </c>
      <c r="G55" s="4" t="inlineStr">
        <is>
          <t>数据要素_数据清洗</t>
        </is>
      </c>
      <c r="H55" s="4" t="inlineStr">
        <is>
          <t>核心</t>
        </is>
      </c>
      <c r="I55" s="4" t="inlineStr">
        <is>
          <t>数据资产管理平台、质量大数据平台直接处理主数据、元数据及质量规则，提供清洗、校验和标准化功能；通过软件许可、实施及运维交付，治理软件本身就是明确产品。</t>
        </is>
      </c>
      <c r="J55" s="4" t="inlineStr">
        <is>
          <t>三维天地2024年年度报告</t>
        </is>
      </c>
      <c r="K55" s="4" t="inlineStr">
        <is>
          <t>2025-04-25</t>
        </is>
      </c>
      <c r="L55" s="4" t="inlineStr">
        <is>
          <t>iFinD ifind_get_stock_info (as of 2026-10-27)；三维天地2024年年度报告</t>
        </is>
      </c>
      <c r="M55" s="5" t="inlineStr">
        <is>
          <t>https://static.cninfo.com.cn/finalpage/2025-04-25/1223266716.pdf</t>
        </is>
      </c>
    </row>
    <row r="56" ht="24" customHeight="1">
      <c r="B56" s="6" t="inlineStr">
        <is>
          <t>301169</t>
        </is>
      </c>
      <c r="C56" s="6" t="inlineStr">
        <is>
          <t>零点有数</t>
        </is>
      </c>
      <c r="D56" s="6" t="inlineStr">
        <is>
          <t>数据要素_数据分析</t>
        </is>
      </c>
      <c r="E56" s="6" t="inlineStr">
        <is>
          <t>保留</t>
        </is>
      </c>
      <c r="F56" s="6" t="inlineStr">
        <is>
          <t>数据要素</t>
        </is>
      </c>
      <c r="G56" s="6" t="inlineStr">
        <is>
          <t>数据要素_数据分析</t>
        </is>
      </c>
      <c r="H56" s="6" t="inlineStr">
        <is>
          <t>核心</t>
        </is>
      </c>
      <c r="I56" s="6" t="inlineStr">
        <is>
          <t>决策分析报告和数据智能应用软件将自主采集、外购及客户数据接入垂直算法模型，形成评估、预测和决策结果；按定制报告、可视化网页、本地部署或SaaS收费，分析结果即主要交付物。</t>
        </is>
      </c>
      <c r="J56" s="6" t="inlineStr">
        <is>
          <t>零点有数2024年度董事会工作报告</t>
        </is>
      </c>
      <c r="K56" s="6" t="inlineStr">
        <is>
          <t>2025-04-21</t>
        </is>
      </c>
      <c r="L56" s="6" t="inlineStr">
        <is>
          <t>iFinD ifind_get_stock_info (as of 2026-10-27)；零点有数2024年度董事会工作报告</t>
        </is>
      </c>
      <c r="M56" s="7" t="inlineStr">
        <is>
          <t>https://static.cninfo.com.cn/finalpage/2025-04-21/1223155909.PDF</t>
        </is>
      </c>
    </row>
    <row r="57" ht="24" customHeight="1">
      <c r="B57" s="4" t="inlineStr">
        <is>
          <t>301178</t>
        </is>
      </c>
      <c r="C57" s="4" t="inlineStr">
        <is>
          <t>天亿马</t>
        </is>
      </c>
      <c r="D57" s="4" t="inlineStr">
        <is>
          <t>数据要素_数据确权</t>
        </is>
      </c>
      <c r="E57" s="4" t="inlineStr">
        <is>
          <t>保留</t>
        </is>
      </c>
      <c r="F57" s="4" t="inlineStr">
        <is>
          <t>数据要素</t>
        </is>
      </c>
      <c r="G57" s="4" t="inlineStr">
        <is>
          <t>数据要素_数据确权</t>
        </is>
      </c>
      <c r="H57" s="4" t="inlineStr">
        <is>
          <t>相关</t>
        </is>
      </c>
      <c r="I57" s="4" t="inlineStr">
        <is>
          <t>控股子公司广东翼启提供公共数据与企业数据融合产品，并覆盖资源普查治理、确权登记、资产管理和入表系统；以解决方案及项目实施收费，系统集成仍为主要业务。</t>
        </is>
      </c>
      <c r="J57" s="4" t="inlineStr">
        <is>
          <t>天亿马2025年半年度报告</t>
        </is>
      </c>
      <c r="K57" s="4" t="inlineStr">
        <is>
          <t>2025-08-29</t>
        </is>
      </c>
      <c r="L57" s="4" t="inlineStr">
        <is>
          <t>iFinD ifind_get_stock_info (as of 2026-10-27)；天亿马2025年半年度报告</t>
        </is>
      </c>
      <c r="M57" s="5" t="inlineStr">
        <is>
          <t>https://vip.stock.finance.sina.com.cn/corp/view/vCB_AllBulletinDetail.php?stockid=301178&amp;id=11412299</t>
        </is>
      </c>
    </row>
    <row r="58" ht="24" customHeight="1">
      <c r="B58" s="6" t="inlineStr">
        <is>
          <t>301215</t>
        </is>
      </c>
      <c r="C58" s="6" t="inlineStr">
        <is>
          <t>中汽股份</t>
        </is>
      </c>
      <c r="D58" s="6" t="inlineStr">
        <is>
          <t>数据要素_汽车数据</t>
        </is>
      </c>
      <c r="E58" s="6" t="inlineStr">
        <is>
          <t>摘除</t>
        </is>
      </c>
      <c r="F58" s="6" t="inlineStr"/>
      <c r="G58" s="6" t="inlineStr"/>
      <c r="H58" s="6" t="inlineStr">
        <is>
          <t>边缘</t>
        </is>
      </c>
      <c r="I58" s="6" t="inlineStr">
        <is>
          <t>试验场在整车、轮胎及智能网联测试中形成车速、工况和性能数据，但客户购买的是场地及配套试验技术服务，按道路时长、里程或包场结算。测试数据服务于报告交付，未核到独立数据库销售。</t>
        </is>
      </c>
      <c r="J58" s="6" t="inlineStr">
        <is>
          <t>中汽股份2025年年度报告</t>
        </is>
      </c>
      <c r="K58" s="6" t="inlineStr">
        <is>
          <t>2026-04-29</t>
        </is>
      </c>
      <c r="L58" s="6" t="inlineStr">
        <is>
          <t>iFinD ifind_get_stock_info (as of 2026-10-27)；中汽股份2025年年度报告</t>
        </is>
      </c>
      <c r="M58" s="7" t="inlineStr">
        <is>
          <t>https://static.cninfo.com.cn/finalpage/2026-04-29/1225242619.PDF</t>
        </is>
      </c>
    </row>
    <row r="59" ht="24" customHeight="1">
      <c r="B59" s="4" t="inlineStr">
        <is>
          <t>301231</t>
        </is>
      </c>
      <c r="C59" s="4" t="inlineStr">
        <is>
          <t>荣信文化</t>
        </is>
      </c>
      <c r="D59" s="4" t="inlineStr">
        <is>
          <t>数据要素_内容数据</t>
        </is>
      </c>
      <c r="E59" s="4" t="inlineStr">
        <is>
          <t>摘除</t>
        </is>
      </c>
      <c r="F59" s="4" t="inlineStr"/>
      <c r="G59" s="4" t="inlineStr"/>
      <c r="H59" s="4" t="inlineStr">
        <is>
          <t>错标</t>
        </is>
      </c>
      <c r="I59" s="4" t="inlineStr">
        <is>
          <t>核心产品是立体书、翻翻书等少儿图书，通过策划、版权授权、印刷和发行实现销售。未核到将图书内容加工为数据库、语料包或数据接口并单独授权收费，出版版权不能直接等同内容数据产品。</t>
        </is>
      </c>
      <c r="J59" s="4" t="inlineStr">
        <is>
          <t>荣信文化2025年半年度报告</t>
        </is>
      </c>
      <c r="K59" s="4" t="inlineStr">
        <is>
          <t>2025-08-28</t>
        </is>
      </c>
      <c r="L59" s="4" t="inlineStr">
        <is>
          <t>iFinD ifind_get_stock_info (as of 2026-10-27)；荣信文化2025年半年度报告</t>
        </is>
      </c>
      <c r="M59" s="5" t="inlineStr">
        <is>
          <t>http://static.cninfo.com.cn/finalpage/2025-08-28/1224600002.PDF</t>
        </is>
      </c>
    </row>
    <row r="60" ht="24" customHeight="1">
      <c r="B60" s="6" t="inlineStr">
        <is>
          <t>301299</t>
        </is>
      </c>
      <c r="C60" s="6" t="inlineStr">
        <is>
          <t>卓创资讯</t>
        </is>
      </c>
      <c r="D60" s="6" t="inlineStr">
        <is>
          <t>数据要素_大宗数据</t>
        </is>
      </c>
      <c r="E60" s="6" t="inlineStr">
        <is>
          <t>保留</t>
        </is>
      </c>
      <c r="F60" s="6" t="inlineStr">
        <is>
          <t>数据要素</t>
        </is>
      </c>
      <c r="G60" s="6" t="inlineStr">
        <is>
          <t>数据要素_大宗数据</t>
        </is>
      </c>
      <c r="H60" s="6" t="inlineStr">
        <is>
          <t>核心</t>
        </is>
      </c>
      <c r="I60" s="6" t="inlineStr">
        <is>
          <t>数据中心、数据终端及定制服务持续处理能源、化工、农业和金属的价格、库存、成本利润、贸易流向数据；以数据包、订阅终端和定制加工交付，客户购买对象就是大宗商品数据。</t>
        </is>
      </c>
      <c r="J60" s="6" t="inlineStr">
        <is>
          <t>卓创资讯2024年年度报告</t>
        </is>
      </c>
      <c r="K60" s="6" t="inlineStr">
        <is>
          <t>2025-04-21</t>
        </is>
      </c>
      <c r="L60" s="6" t="inlineStr">
        <is>
          <t>iFinD ifind_get_stock_info (as of 2026-10-27)；卓创资讯2024年年度报告</t>
        </is>
      </c>
      <c r="M60" s="7" t="inlineStr">
        <is>
          <t>http://static.cninfo.com.cn/finalpage/2025-04-21/1223147927.PDF</t>
        </is>
      </c>
    </row>
    <row r="61" ht="24" customHeight="1">
      <c r="B61" s="4" t="inlineStr">
        <is>
          <t>301313</t>
        </is>
      </c>
      <c r="C61" s="4" t="inlineStr">
        <is>
          <t>凡拓数创</t>
        </is>
      </c>
      <c r="D61" s="4" t="inlineStr">
        <is>
          <t>物理AI_数据采集</t>
        </is>
      </c>
      <c r="E61" s="4" t="inlineStr">
        <is>
          <t>重分类</t>
        </is>
      </c>
      <c r="F61" s="4" t="inlineStr">
        <is>
          <t>数据要素</t>
        </is>
      </c>
      <c r="G61" s="4" t="inlineStr">
        <is>
          <t>数据要素_其他行业数据</t>
        </is>
      </c>
      <c r="H61" s="4" t="inlineStr">
        <is>
          <t>相关</t>
        </is>
      </c>
      <c r="I61" s="4" t="inlineStr">
        <is>
          <t>AI 3D数字孪生平台融合GIS、BIM、CIM、行业模型及感知数据，用于工业、水利水务和城市仿真；主要以软件及系统集成项目交付，数据是孪生应用输入而非独立销售的数据集。</t>
        </is>
      </c>
      <c r="J61" s="4" t="inlineStr">
        <is>
          <t>凡拓数创2024年年度报告</t>
        </is>
      </c>
      <c r="K61" s="4" t="inlineStr">
        <is>
          <t>2025-04-25</t>
        </is>
      </c>
      <c r="L61" s="4" t="inlineStr">
        <is>
          <t>iFinD ifind_get_stock_info (as of 2026-10-27)；凡拓数创2024年年度报告</t>
        </is>
      </c>
      <c r="M61" s="5" t="inlineStr">
        <is>
          <t>https://money.finance.sina.com.cn/corp/view/vCB_AllBulletinDetail.php?stockid=301313&amp;id=10973301</t>
        </is>
      </c>
    </row>
    <row r="62" ht="24" customHeight="1">
      <c r="B62" s="6" t="inlineStr">
        <is>
          <t>301339</t>
        </is>
      </c>
      <c r="C62" s="6" t="inlineStr">
        <is>
          <t>通行宝</t>
        </is>
      </c>
      <c r="D62" s="6" t="inlineStr">
        <is>
          <t>数据要素_交通数据</t>
        </is>
      </c>
      <c r="E62" s="6" t="inlineStr">
        <is>
          <t>保留</t>
        </is>
      </c>
      <c r="F62" s="6" t="inlineStr">
        <is>
          <t>数据要素</t>
        </is>
      </c>
      <c r="G62" s="6" t="inlineStr">
        <is>
          <t>数据要素_交通数据</t>
        </is>
      </c>
      <c r="H62" s="6" t="inlineStr">
        <is>
          <t>相关</t>
        </is>
      </c>
      <c r="I62" s="6" t="inlineStr">
        <is>
          <t>ETC与慧交通平台沉淀车辆通行、货车及供应链协同数据，并向金融机构和合作方提供引流、风控等生态服务。收入仍主要来自ETC和交通系统，数据资产业务规模较小。</t>
        </is>
      </c>
      <c r="J62" s="6" t="inlineStr">
        <is>
          <t>通行宝2024年年度报告</t>
        </is>
      </c>
      <c r="K62" s="6" t="inlineStr">
        <is>
          <t>2025-03-28</t>
        </is>
      </c>
      <c r="L62" s="6" t="inlineStr">
        <is>
          <t>iFinD ifind_get_stock_info (as of 2026-10-27)；通行宝2024年年度报告</t>
        </is>
      </c>
      <c r="M62" s="7" t="inlineStr">
        <is>
          <t>https://money.finance.sina.com.cn/corp/view/vCB_AllBulletinDetail.php?stockid=301339&amp;id=10816711</t>
        </is>
      </c>
    </row>
    <row r="63" ht="24" customHeight="1">
      <c r="B63" s="4" t="inlineStr">
        <is>
          <t>301378</t>
        </is>
      </c>
      <c r="C63" s="4" t="inlineStr">
        <is>
          <t>通达海</t>
        </is>
      </c>
      <c r="D63" s="4" t="inlineStr">
        <is>
          <t>数据要素_司法数据</t>
        </is>
      </c>
      <c r="E63" s="4" t="inlineStr">
        <is>
          <t>保留</t>
        </is>
      </c>
      <c r="F63" s="4" t="inlineStr">
        <is>
          <t>数据要素</t>
        </is>
      </c>
      <c r="G63" s="4" t="inlineStr">
        <is>
          <t>数据要素_司法数据</t>
        </is>
      </c>
      <c r="H63" s="4" t="inlineStr">
        <is>
          <t>相关</t>
        </is>
      </c>
      <c r="I63" s="4" t="inlineStr">
        <is>
          <t>法院办案平台及子公司江苏诉服达处理卷宗、诉讼材料，提供数字化加工、智能编目、校验和挖掘分析；按软件开发验收、平台业务量及司法辅助工作量结算，并非出售独立司法数据库。</t>
        </is>
      </c>
      <c r="J63" s="4" t="inlineStr">
        <is>
          <t>通达海2024年年度报告摘要</t>
        </is>
      </c>
      <c r="K63" s="4" t="inlineStr">
        <is>
          <t>2025-04-24</t>
        </is>
      </c>
      <c r="L63" s="4" t="inlineStr">
        <is>
          <t>iFinD ifind_get_stock_info (as of 2026-10-27)；通达海2024年年度报告摘要</t>
        </is>
      </c>
      <c r="M63" s="5" t="inlineStr">
        <is>
          <t>http://static.cninfo.com.cn/finalpage/2025-04-24/1223234726.PDF</t>
        </is>
      </c>
    </row>
    <row r="64" ht="24" customHeight="1">
      <c r="B64" s="6" t="inlineStr">
        <is>
          <t>301428</t>
        </is>
      </c>
      <c r="C64" s="6" t="inlineStr">
        <is>
          <t>世纪恒通</t>
        </is>
      </c>
      <c r="D64" s="6" t="inlineStr">
        <is>
          <t>数据要素_营销数据</t>
        </is>
      </c>
      <c r="E64" s="6" t="inlineStr">
        <is>
          <t>摘除</t>
        </is>
      </c>
      <c r="F64" s="6" t="inlineStr"/>
      <c r="G64" s="6" t="inlineStr"/>
      <c r="H64" s="6" t="inlineStr">
        <is>
          <t>边缘</t>
        </is>
      </c>
      <c r="I64" s="6" t="inlineStr">
        <is>
          <t>车后服务平台接入商户API，处理车主、优惠券、会员权益和营销触达数据，用于权益运营、客服及营销推广。按企业服务采购和运营项目收费，数据主要支撑自有服务，未核到独立营销数据库产品。</t>
        </is>
      </c>
      <c r="J64" s="6" t="inlineStr">
        <is>
          <t>世纪恒通2024年年度报告摘要</t>
        </is>
      </c>
      <c r="K64" s="6" t="inlineStr">
        <is>
          <t>2025-04-26</t>
        </is>
      </c>
      <c r="L64" s="6" t="inlineStr">
        <is>
          <t>iFinD ifind_get_stock_info (as of 2026-10-27)；世纪恒通2024年年度报告摘要</t>
        </is>
      </c>
      <c r="M64" s="7" t="inlineStr">
        <is>
          <t>https://static.cninfo.com.cn/finalpage/2025-04-26/1223313183.PDF</t>
        </is>
      </c>
    </row>
    <row r="65" ht="24" customHeight="1">
      <c r="B65" s="4" t="inlineStr">
        <is>
          <t>600037</t>
        </is>
      </c>
      <c r="C65" s="4" t="inlineStr">
        <is>
          <t>歌华有线</t>
        </is>
      </c>
      <c r="D65" s="4" t="inlineStr">
        <is>
          <t>数据要素_数据存储</t>
        </is>
      </c>
      <c r="E65" s="4" t="inlineStr">
        <is>
          <t>保留</t>
        </is>
      </c>
      <c r="F65" s="4" t="inlineStr">
        <is>
          <t>数据要素</t>
        </is>
      </c>
      <c r="G65" s="4" t="inlineStr">
        <is>
          <t>数据要素_数据存储</t>
        </is>
      </c>
      <c r="H65" s="4" t="inlineStr">
        <is>
          <t>相关</t>
        </is>
      </c>
      <c r="I65" s="4" t="inlineStr">
        <is>
          <t>主营仍为北京地区有线电视网络，同时建设“歌华云”混合云并具备IaaS、PaaS、SaaS能力，为集团客户提供云和数据业务服务。按云资源及项目服务收费，属于存储基础设施。</t>
        </is>
      </c>
      <c r="J65" s="4" t="inlineStr">
        <is>
          <t>歌华有线2024年年度报告</t>
        </is>
      </c>
      <c r="K65" s="4" t="inlineStr">
        <is>
          <t>2025-04-25</t>
        </is>
      </c>
      <c r="L65" s="4" t="inlineStr">
        <is>
          <t>iFinD ifind_get_stock_info (as of 2026-10-27)；歌华有线2024年年度报告</t>
        </is>
      </c>
      <c r="M65" s="5" t="inlineStr">
        <is>
          <t>http://money.finance.sina.com.cn/corp/view/vCB_AllBulletinDetail.php?stockid=600037&amp;id=10962081</t>
        </is>
      </c>
    </row>
    <row r="66" ht="24" customHeight="1">
      <c r="B66" s="6" t="inlineStr">
        <is>
          <t>600050</t>
        </is>
      </c>
      <c r="C66" s="6" t="inlineStr">
        <is>
          <t>中国联通</t>
        </is>
      </c>
      <c r="D66" s="6" t="inlineStr">
        <is>
          <t>数据要素_数据存储</t>
        </is>
      </c>
      <c r="E66" s="6" t="inlineStr">
        <is>
          <t>保留</t>
        </is>
      </c>
      <c r="F66" s="6" t="inlineStr">
        <is>
          <t>数据要素</t>
        </is>
      </c>
      <c r="G66" s="6" t="inlineStr">
        <is>
          <t>数据要素_数据存储</t>
        </is>
      </c>
      <c r="H66" s="6" t="inlineStr">
        <is>
          <t>相关</t>
        </is>
      </c>
      <c r="I66" s="6" t="inlineStr">
        <is>
          <t>联通云和数据中心面向政企提供云网、机柜、存储及算力资源，按通信、云资源和数据中心服务收费。虽另有政务数据平台及可信数据空间，集团主要交付仍是连接和算网基础设施。</t>
        </is>
      </c>
      <c r="J66" s="6" t="inlineStr">
        <is>
          <t>中国联通2024年年度报告摘要</t>
        </is>
      </c>
      <c r="K66" s="6" t="inlineStr">
        <is>
          <t>2025-03-18</t>
        </is>
      </c>
      <c r="L66" s="6" t="inlineStr">
        <is>
          <t>iFinD ifind_get_stock_info (as of 2026-10-27)；中国联通2024年年度报告摘要</t>
        </is>
      </c>
      <c r="M66" s="7" t="inlineStr">
        <is>
          <t>http://file.finance.sina.com.cn/211.154.219.97:9494/MRGG/CNSESH_STOCK/2025/2025-3/2025-03-19/10790569.PDF</t>
        </is>
      </c>
    </row>
    <row r="67" ht="24" customHeight="1">
      <c r="B67" s="4" t="inlineStr">
        <is>
          <t>600100</t>
        </is>
      </c>
      <c r="C67" s="4" t="inlineStr">
        <is>
          <t>同方股份</t>
        </is>
      </c>
      <c r="D67" s="4" t="inlineStr">
        <is>
          <t>数据要素_学术数据</t>
        </is>
      </c>
      <c r="E67" s="4" t="inlineStr">
        <is>
          <t>保留</t>
        </is>
      </c>
      <c r="F67" s="4" t="inlineStr">
        <is>
          <t>数据要素</t>
        </is>
      </c>
      <c r="G67" s="4" t="inlineStr">
        <is>
          <t>数据要素_学术数据</t>
        </is>
      </c>
      <c r="H67" s="4" t="inlineStr">
        <is>
          <t>核心</t>
        </is>
      </c>
      <c r="I67" s="4" t="inlineStr">
        <is>
          <t>同方知网运营中国知识资源总库及学术期刊、博硕士论文、年鉴等数据库，对文献进行集成加工和检索服务；通过机构订阅、知识服务及挂牌数据产品收费，学术数据库是独立产品。</t>
        </is>
      </c>
      <c r="J67" s="4" t="inlineStr">
        <is>
          <t>同方股份2024年年度报告</t>
        </is>
      </c>
      <c r="K67" s="4" t="inlineStr">
        <is>
          <t>2025-04-29</t>
        </is>
      </c>
      <c r="L67" s="4" t="inlineStr">
        <is>
          <t>iFinD ifind_get_stock_info (as of 2026-10-27)；同方股份2024年年度报告</t>
        </is>
      </c>
      <c r="M67" s="5" t="inlineStr">
        <is>
          <t>http://dataclouds.cninfo.com.cn/shgonggao/2025/2025-04-29/92a1ce42243811f09559fa163e957f7a.pdf</t>
        </is>
      </c>
    </row>
    <row r="68" ht="24" customHeight="1">
      <c r="B68" s="6" t="inlineStr">
        <is>
          <t>600271</t>
        </is>
      </c>
      <c r="C68" s="6" t="inlineStr">
        <is>
          <t>航天信息</t>
        </is>
      </c>
      <c r="D68" s="6" t="inlineStr">
        <is>
          <t>数据要素_其他行业数据</t>
        </is>
      </c>
      <c r="E68" s="6" t="inlineStr">
        <is>
          <t>降级</t>
        </is>
      </c>
      <c r="F68" s="6" t="inlineStr">
        <is>
          <t>数据要素</t>
        </is>
      </c>
      <c r="G68" s="6" t="inlineStr">
        <is>
          <t>数据要素_其他行业数据</t>
        </is>
      </c>
      <c r="H68" s="6" t="inlineStr">
        <is>
          <t>相关</t>
        </is>
      </c>
      <c r="I68" s="6" t="inlineStr">
        <is>
          <t>数字财税及智慧产品处理发票、税务和企业经营数据，通过爱信诺财税软件、平台及项目服务交付。数据能力嵌在财税信息化和合规风控中，未核到独立财税数据库构成核心主产品。</t>
        </is>
      </c>
      <c r="J68" s="6" t="inlineStr">
        <is>
          <t>航天信息2025年年度报告</t>
        </is>
      </c>
      <c r="K68" s="6" t="inlineStr">
        <is>
          <t>2026-04-18</t>
        </is>
      </c>
      <c r="L68" s="6" t="inlineStr">
        <is>
          <t>iFinD ifind_get_stock_info (as of 2026-10-27)；航天信息2025年年度报告</t>
        </is>
      </c>
      <c r="M68" s="7" t="inlineStr">
        <is>
          <t>https://static.cninfo.com.cn/finalpage/2026-04-18/1225122576.PDF</t>
        </is>
      </c>
    </row>
    <row r="69" ht="24" customHeight="1">
      <c r="B69" s="4" t="inlineStr">
        <is>
          <t>600602</t>
        </is>
      </c>
      <c r="C69" s="4" t="inlineStr">
        <is>
          <t>云赛智联</t>
        </is>
      </c>
      <c r="D69" s="4" t="inlineStr">
        <is>
          <t>数据要素_数据存储</t>
        </is>
      </c>
      <c r="E69" s="4" t="inlineStr">
        <is>
          <t>保留</t>
        </is>
      </c>
      <c r="F69" s="4" t="inlineStr">
        <is>
          <t>数据要素</t>
        </is>
      </c>
      <c r="G69" s="4" t="inlineStr">
        <is>
          <t>数据要素_数据存储</t>
        </is>
      </c>
      <c r="H69" s="4" t="inlineStr">
        <is>
          <t>相关</t>
        </is>
      </c>
      <c r="I69" s="4" t="inlineStr">
        <is>
          <t>云计算大数据板块提供IDC基础设施及增值、互联网接入、VPN、IaaS和算力服务，并承接数据采集、清洗、治理项目；按机柜、云资源及技术项目收费，存储与治理服务明确但不是独立数据产品销售。</t>
        </is>
      </c>
      <c r="J69" s="4" t="inlineStr">
        <is>
          <t>云赛智联2024年年度报告</t>
        </is>
      </c>
      <c r="K69" s="4" t="inlineStr">
        <is>
          <t>2025-03-26</t>
        </is>
      </c>
      <c r="L69" s="4" t="inlineStr">
        <is>
          <t>iFinD ifind_get_stock_info (as of 2026-10-27)；云赛智联2024年年度报告</t>
        </is>
      </c>
      <c r="M69" s="5" t="inlineStr">
        <is>
          <t>https://pdf.dfcfw.com/pdf/H2_AN202503261647812272_1.pdf</t>
        </is>
      </c>
    </row>
    <row r="70" ht="24" customHeight="1">
      <c r="B70" s="6" t="inlineStr">
        <is>
          <t>600604</t>
        </is>
      </c>
      <c r="C70" s="6" t="inlineStr">
        <is>
          <t>市北高新</t>
        </is>
      </c>
      <c r="D70" s="6" t="inlineStr">
        <is>
          <t>数据要素_交易所</t>
        </is>
      </c>
      <c r="E70" s="6" t="inlineStr">
        <is>
          <t>摘除</t>
        </is>
      </c>
      <c r="F70" s="6" t="inlineStr"/>
      <c r="G70" s="6" t="inlineStr"/>
      <c r="H70" s="6" t="inlineStr">
        <is>
          <t>边缘</t>
        </is>
      </c>
      <c r="I70" s="6" t="inlineStr">
        <is>
          <t>上市公司收入来自园区载体销售、住宅、租赁和园区服务；旧概念依据为持有上海数据交易中心少量股权，未见其负责交易所运营或按数据交易收费。少量参股只形成间接敞口。</t>
        </is>
      </c>
      <c r="J70" s="6" t="inlineStr">
        <is>
          <t>市北高新2024年年度报告</t>
        </is>
      </c>
      <c r="K70" s="6" t="inlineStr">
        <is>
          <t>2025-04-12</t>
        </is>
      </c>
      <c r="L70" s="6" t="inlineStr">
        <is>
          <t>iFinD ifind_get_stock_info (as of 2026-10-27)；市北高新2024年年度报告</t>
        </is>
      </c>
      <c r="M70" s="7" t="inlineStr">
        <is>
          <t>https://static.cninfo.com.cn/finalpage/2025-04-12/1223069636.PDF</t>
        </is>
      </c>
    </row>
    <row r="71" ht="24" customHeight="1">
      <c r="B71" s="4" t="inlineStr">
        <is>
          <t>600633</t>
        </is>
      </c>
      <c r="C71" s="4" t="inlineStr">
        <is>
          <t>浙数文化</t>
        </is>
      </c>
      <c r="D71" s="4" t="inlineStr">
        <is>
          <t>数据要素_交易所</t>
        </is>
      </c>
      <c r="E71" s="4" t="inlineStr">
        <is>
          <t>降级</t>
        </is>
      </c>
      <c r="F71" s="4" t="inlineStr">
        <is>
          <t>数据要素</t>
        </is>
      </c>
      <c r="G71" s="4" t="inlineStr">
        <is>
          <t>数据要素_交易所</t>
        </is>
      </c>
      <c r="H71" s="4" t="inlineStr">
        <is>
          <t>相关</t>
        </is>
      </c>
      <c r="I71" s="4" t="inlineStr">
        <is>
          <t>浙江大数据交易中心在股权重组后纳入并表，实际提供区域、行业专区的数据产品上架和流通服务，区别于单纯参股；但上市公司主业仍包括数字娱乐、数字体育和营销，交易所并非集团唯一核心。</t>
        </is>
      </c>
      <c r="J71" s="4" t="inlineStr">
        <is>
          <t>浙数文化2024年年度报告</t>
        </is>
      </c>
      <c r="K71" s="4" t="inlineStr">
        <is>
          <t>2025-03-29</t>
        </is>
      </c>
      <c r="L71" s="4" t="inlineStr">
        <is>
          <t>iFinD ifind_get_stock_info (as of 2026-10-27)；浙数文化2024年年度报告</t>
        </is>
      </c>
      <c r="M71" s="5" t="inlineStr">
        <is>
          <t>http://money.finance.sina.com.cn/corp/view/vCB_AllBulletinDetail.php?stockid=600633&amp;id=10829016</t>
        </is>
      </c>
    </row>
    <row r="72" ht="24" customHeight="1">
      <c r="B72" s="6" t="inlineStr">
        <is>
          <t>600756</t>
        </is>
      </c>
      <c r="C72" s="6" t="inlineStr">
        <is>
          <t>浪潮软件</t>
        </is>
      </c>
      <c r="D72" s="6" t="inlineStr">
        <is>
          <t>数据要素_交易所</t>
        </is>
      </c>
      <c r="E72" s="6" t="inlineStr">
        <is>
          <t>重分类</t>
        </is>
      </c>
      <c r="F72" s="6" t="inlineStr">
        <is>
          <t>数据要素</t>
        </is>
      </c>
      <c r="G72" s="6" t="inlineStr">
        <is>
          <t>数据要素_数据治理</t>
        </is>
      </c>
      <c r="H72" s="6" t="inlineStr">
        <is>
          <t>相关</t>
        </is>
      </c>
      <c r="I72" s="6" t="inlineStr">
        <is>
          <t>“格物致治”一体化大数据平台处理政务数据并支撑治理、共享和流通，主要随电子政务软件及系统项目交付。现有证据支持数据治理和流通技术建设，不足以认定其为交易所运营方。</t>
        </is>
      </c>
      <c r="J72" s="6" t="inlineStr">
        <is>
          <t>浪潮软件2025年年度报告</t>
        </is>
      </c>
      <c r="K72" s="6" t="inlineStr">
        <is>
          <t>2026-04-18</t>
        </is>
      </c>
      <c r="L72" s="6" t="inlineStr">
        <is>
          <t>iFinD ifind_get_stock_info (as of 2026-10-27)；浪潮软件2025年年度报告</t>
        </is>
      </c>
      <c r="M72" s="7" t="inlineStr">
        <is>
          <t>https://static.cninfo.com.cn/finalpage/2026-04-18/1225120805.PDF</t>
        </is>
      </c>
    </row>
    <row r="73" ht="24" customHeight="1">
      <c r="B73" s="4" t="inlineStr">
        <is>
          <t>600822</t>
        </is>
      </c>
      <c r="C73" s="4" t="inlineStr">
        <is>
          <t>上海物贸</t>
        </is>
      </c>
      <c r="D73" s="4" t="inlineStr">
        <is>
          <t>数据要素_其他行业数据</t>
        </is>
      </c>
      <c r="E73" s="4" t="inlineStr">
        <is>
          <t>摘除</t>
        </is>
      </c>
      <c r="F73" s="4" t="inlineStr"/>
      <c r="G73" s="4" t="inlineStr"/>
      <c r="H73" s="4" t="inlineStr">
        <is>
          <t>错标</t>
        </is>
      </c>
      <c r="I73" s="4" t="inlineStr">
        <is>
          <t>子公司上海有色金属交易中心曾将“有色金属现货指数查询”挂牌数据交易所，但公司风险公告明确该产品挂牌后未成交且目前暂失效，未贡献经营业绩；当前主业仍为金属和汽车贸易。</t>
        </is>
      </c>
      <c r="J73" s="4" t="inlineStr">
        <is>
          <t>上海物贸股票交易风险提示公告</t>
        </is>
      </c>
      <c r="K73" s="4" t="inlineStr">
        <is>
          <t>2025-07-17</t>
        </is>
      </c>
      <c r="L73" s="4" t="inlineStr">
        <is>
          <t>iFinD ifind_get_stock_info (as of 2026-10-27)；上海物贸股票交易风险提示公告</t>
        </is>
      </c>
      <c r="M73" s="5" t="inlineStr">
        <is>
          <t>https://data.eastmoney.com/notices/detail/600822/AN202507171710657701.html</t>
        </is>
      </c>
    </row>
    <row r="74" ht="24" customHeight="1">
      <c r="B74" s="6" t="inlineStr">
        <is>
          <t>600941</t>
        </is>
      </c>
      <c r="C74" s="6" t="inlineStr">
        <is>
          <t>中国移动</t>
        </is>
      </c>
      <c r="D74" s="6" t="inlineStr">
        <is>
          <t>数据要素_数据存储</t>
        </is>
      </c>
      <c r="E74" s="6" t="inlineStr">
        <is>
          <t>保留</t>
        </is>
      </c>
      <c r="F74" s="6" t="inlineStr">
        <is>
          <t>数据要素</t>
        </is>
      </c>
      <c r="G74" s="6" t="inlineStr">
        <is>
          <t>数据要素_数据存储</t>
        </is>
      </c>
      <c r="H74" s="6" t="inlineStr">
        <is>
          <t>相关</t>
        </is>
      </c>
      <c r="I74" s="6" t="inlineStr">
        <is>
          <t>移动云和数据中心、AIDC提供云存储、机柜及算网服务，按云资源和政企项目收费。梧桐大数据等能力不能改变集团以通信连接和基础设施为主的交付结构，因此不列为核心数据产品商。</t>
        </is>
      </c>
      <c r="J74" s="6" t="inlineStr">
        <is>
          <t>中国移动2024年业绩及数字化转型说明</t>
        </is>
      </c>
      <c r="K74" s="6" t="inlineStr">
        <is>
          <t>2025-03-20</t>
        </is>
      </c>
      <c r="L74" s="6" t="inlineStr">
        <is>
          <t>iFinD ifind_get_stock_info (as of 2026-10-27)；中国移动2024年业绩及数字化转型说明</t>
        </is>
      </c>
      <c r="M74" s="7" t="inlineStr">
        <is>
          <t>https://www.10086.cn/aboutus/news/groupnews/index_detail_52089.html</t>
        </is>
      </c>
    </row>
    <row r="75" ht="24" customHeight="1">
      <c r="B75" s="4" t="inlineStr">
        <is>
          <t>601728</t>
        </is>
      </c>
      <c r="C75" s="4" t="inlineStr">
        <is>
          <t>中国电信</t>
        </is>
      </c>
      <c r="D75" s="4" t="inlineStr">
        <is>
          <t>数据要素_数据存储</t>
        </is>
      </c>
      <c r="E75" s="4" t="inlineStr">
        <is>
          <t>保留</t>
        </is>
      </c>
      <c r="F75" s="4" t="inlineStr">
        <is>
          <t>数据要素</t>
        </is>
      </c>
      <c r="G75" s="4" t="inlineStr">
        <is>
          <t>数据要素_数据存储</t>
        </is>
      </c>
      <c r="H75" s="4" t="inlineStr">
        <is>
          <t>相关</t>
        </is>
      </c>
      <c r="I75" s="4" t="inlineStr">
        <is>
          <t>天翼云和IDC为政企客户提供云资源、机柜、存储及产业数字化服务，按资源使用和项目服务收费。数据存储属于明确业务板块，但集团主要仍是通信及云网基础设施。</t>
        </is>
      </c>
      <c r="J75" s="4" t="inlineStr">
        <is>
          <t>中国电信2024年年度报告</t>
        </is>
      </c>
      <c r="K75" s="4" t="inlineStr">
        <is>
          <t>2025-03-25</t>
        </is>
      </c>
      <c r="L75" s="4" t="inlineStr">
        <is>
          <t>iFinD ifind_get_stock_info (as of 2026-10-27)；中国电信2024年年度报告</t>
        </is>
      </c>
      <c r="M75" s="5" t="inlineStr">
        <is>
          <t>https://www.chinatelecom-h.com/sc/ir/report/annual2024_ashare.pdf</t>
        </is>
      </c>
    </row>
    <row r="76" ht="24" customHeight="1">
      <c r="B76" s="6" t="inlineStr">
        <is>
          <t>601858</t>
        </is>
      </c>
      <c r="C76" s="6" t="inlineStr">
        <is>
          <t>中国科传</t>
        </is>
      </c>
      <c r="D76" s="6" t="inlineStr">
        <is>
          <t>数据要素_学术数据</t>
        </is>
      </c>
      <c r="E76" s="6" t="inlineStr">
        <is>
          <t>保留</t>
        </is>
      </c>
      <c r="F76" s="6" t="inlineStr">
        <is>
          <t>数据要素</t>
        </is>
      </c>
      <c r="G76" s="6" t="inlineStr">
        <is>
          <t>数据要素_学术数据</t>
        </is>
      </c>
      <c r="H76" s="6" t="inlineStr">
        <is>
          <t>核心</t>
        </is>
      </c>
      <c r="I76" s="6" t="inlineStr">
        <is>
          <t>科学文库、科学智库、中国生物志库、本草数典和中科医库对科技内容作碎片化、标引、语义关联与挖掘，面向高校和科研机构以数据库运营及渠道交付，属于独立学术数据库。</t>
        </is>
      </c>
      <c r="J76" s="6" t="inlineStr">
        <is>
          <t>中国科传2024年年度报告</t>
        </is>
      </c>
      <c r="K76" s="6" t="inlineStr">
        <is>
          <t>2025-04-29</t>
        </is>
      </c>
      <c r="L76" s="6" t="inlineStr">
        <is>
          <t>iFinD ifind_get_stock_info (as of 2026-10-27)；中国科传2024年年度报告</t>
        </is>
      </c>
      <c r="M76" s="7" t="inlineStr">
        <is>
          <t>http://static.cninfo.com.cn/finalpage/2025-04-29/1223384815.PDF</t>
        </is>
      </c>
    </row>
    <row r="77" ht="24" customHeight="1">
      <c r="B77" s="4" t="inlineStr">
        <is>
          <t>601929</t>
        </is>
      </c>
      <c r="C77" s="4" t="inlineStr">
        <is>
          <t>吉视传媒</t>
        </is>
      </c>
      <c r="D77" s="4" t="inlineStr">
        <is>
          <t>数据要素_交易所</t>
        </is>
      </c>
      <c r="E77" s="4" t="inlineStr">
        <is>
          <t>保留</t>
        </is>
      </c>
      <c r="F77" s="4" t="inlineStr">
        <is>
          <t>数据要素</t>
        </is>
      </c>
      <c r="G77" s="4" t="inlineStr">
        <is>
          <t>数据要素_交易所</t>
        </is>
      </c>
      <c r="H77" s="4" t="inlineStr">
        <is>
          <t>相关</t>
        </is>
      </c>
      <c r="I77" s="4" t="inlineStr">
        <is>
          <t>公司持有吉林省东北亚大数据交易服务中心半数股权，并依托省级数据要素服务中心开展公共数据加工、质量评估、入表、授权和交易服务。按平台及服务收费，但广电网络仍为主要经营基础。</t>
        </is>
      </c>
      <c r="J77" s="4" t="inlineStr">
        <is>
          <t>吉视传媒2024年年度报告</t>
        </is>
      </c>
      <c r="K77" s="4" t="inlineStr">
        <is>
          <t>2025-04-26</t>
        </is>
      </c>
      <c r="L77" s="4" t="inlineStr">
        <is>
          <t>iFinD ifind_get_stock_info (as of 2026-10-27)；吉视传媒2024年年度报告</t>
        </is>
      </c>
      <c r="M77" s="5" t="inlineStr">
        <is>
          <t>https://file.finance.qq.com/finance/hs/pdf/2025/04/26/1223309308.PDF</t>
        </is>
      </c>
    </row>
    <row r="78" ht="24" customHeight="1">
      <c r="B78" s="6" t="inlineStr">
        <is>
          <t>601999</t>
        </is>
      </c>
      <c r="C78" s="6" t="inlineStr">
        <is>
          <t>出版传媒</t>
        </is>
      </c>
      <c r="D78" s="6" t="inlineStr">
        <is>
          <t>数据要素_内容数据</t>
        </is>
      </c>
      <c r="E78" s="6" t="inlineStr">
        <is>
          <t>摘除</t>
        </is>
      </c>
      <c r="F78" s="6" t="inlineStr"/>
      <c r="G78" s="6" t="inlineStr"/>
      <c r="H78" s="6" t="inlineStr">
        <is>
          <t>错标</t>
        </is>
      </c>
      <c r="I78" s="6" t="inlineStr">
        <is>
          <t>主要经营一般图书、教材教辅、纸张印刷物资和票据印刷，通过图书包销、经销及物资销售交付。未见独立数据库、内容数据接口或语料授权收费产品，不能将出版资源直接认定为内容数据业务。</t>
        </is>
      </c>
      <c r="J78" s="6" t="inlineStr">
        <is>
          <t>出版传媒2024年年度报告</t>
        </is>
      </c>
      <c r="K78" s="6" t="inlineStr">
        <is>
          <t>2025-04-10</t>
        </is>
      </c>
      <c r="L78" s="6" t="inlineStr">
        <is>
          <t>iFinD ifind_get_stock_info (as of 2026-10-27)；出版传媒2024年年度报告</t>
        </is>
      </c>
      <c r="M78" s="7" t="inlineStr">
        <is>
          <t>https://vip.stock.finance.sina.com.cn/corp/view/vCB_AllBulletinDetail.php?stockid=601999&amp;id=10859582</t>
        </is>
      </c>
    </row>
    <row r="79" ht="24" customHeight="1">
      <c r="B79" s="4" t="inlineStr">
        <is>
          <t>603000</t>
        </is>
      </c>
      <c r="C79" s="4" t="inlineStr">
        <is>
          <t>人民网</t>
        </is>
      </c>
      <c r="D79" s="4" t="inlineStr">
        <is>
          <t>数据要素_数据确权</t>
        </is>
      </c>
      <c r="E79" s="4" t="inlineStr">
        <is>
          <t>保留</t>
        </is>
      </c>
      <c r="F79" s="4" t="inlineStr">
        <is>
          <t>数据要素</t>
        </is>
      </c>
      <c r="G79" s="4" t="inlineStr">
        <is>
          <t>数据要素_数据确权</t>
        </is>
      </c>
      <c r="H79" s="4" t="inlineStr">
        <is>
          <t>核心</t>
        </is>
      </c>
      <c r="I79" s="4" t="inlineStr">
        <is>
          <t>控股子公司人民数据处理政企数据资源，提供数据资产确权、登记核验、入表一站式方案及公司披露口径的“三证”服务。数据及信息服务已形成独立收入板块，确权服务是明确产品。</t>
        </is>
      </c>
      <c r="J79" s="4" t="inlineStr">
        <is>
          <t>人民网2024年年度报告</t>
        </is>
      </c>
      <c r="K79" s="4" t="inlineStr">
        <is>
          <t>2025-04-26</t>
        </is>
      </c>
      <c r="L79" s="4" t="inlineStr">
        <is>
          <t>iFinD ifind_get_stock_info (as of 2026-10-27)；人民网2024年年度报告</t>
        </is>
      </c>
      <c r="M79" s="5" t="inlineStr">
        <is>
          <t>https://vip.stock.finance.sina.com.cn/corp/view/vCB_AllBulletinDetail.php?stockid=603000&amp;id=10981861</t>
        </is>
      </c>
    </row>
    <row r="80" ht="24" customHeight="1">
      <c r="B80" s="6" t="inlineStr">
        <is>
          <t>603138</t>
        </is>
      </c>
      <c r="C80" s="6" t="inlineStr">
        <is>
          <t>海量数据</t>
        </is>
      </c>
      <c r="D80" s="6" t="inlineStr">
        <is>
          <t>数据要素_数据存储</t>
        </is>
      </c>
      <c r="E80" s="6" t="inlineStr">
        <is>
          <t>重分类</t>
        </is>
      </c>
      <c r="F80" s="6" t="inlineStr">
        <is>
          <t>数据要素</t>
        </is>
      </c>
      <c r="G80" s="6" t="inlineStr">
        <is>
          <t>数据要素_数据库</t>
        </is>
      </c>
      <c r="H80" s="6" t="inlineStr">
        <is>
          <t>核心</t>
        </is>
      </c>
      <c r="I80" s="6" t="inlineStr">
        <is>
          <t>Vastbase G100、V100、M100是明确数据库主产品，处理关系、向量等数据，以软件使用许可销售并配套迁移、运维服务。交付标的即数据库软件及持续服务，应与基础设施型数据存储区分。</t>
        </is>
      </c>
      <c r="J80" s="6" t="inlineStr">
        <is>
          <t>海量数据2025年年度报告</t>
        </is>
      </c>
      <c r="K80" s="6" t="inlineStr">
        <is>
          <t>2026-04-17</t>
        </is>
      </c>
      <c r="L80" s="6" t="inlineStr">
        <is>
          <t>iFinD ifind_get_stock_info (as of 2026-10-27)；海量数据2025年年度报告</t>
        </is>
      </c>
      <c r="M80" s="7" t="inlineStr">
        <is>
          <t>http://file.finance.sina.com.cn/211.154.219.97:9494/MRGG/CNSESH_STOCK/2026/2026-4/2026-04-17/12102825.PDF</t>
        </is>
      </c>
    </row>
    <row r="81" ht="24" customHeight="1">
      <c r="B81" s="4" t="inlineStr">
        <is>
          <t>603341</t>
        </is>
      </c>
      <c r="C81" s="4" t="inlineStr">
        <is>
          <t>龙旗科技</t>
        </is>
      </c>
      <c r="D81" s="4" t="inlineStr">
        <is>
          <t>物理AI_数据采集</t>
        </is>
      </c>
      <c r="E81" s="4" t="inlineStr">
        <is>
          <t>迁出数据要素</t>
        </is>
      </c>
      <c r="F81" s="4" t="inlineStr">
        <is>
          <t>物理AI</t>
        </is>
      </c>
      <c r="G81" s="4" t="inlineStr">
        <is>
          <t>物理AI_智能终端</t>
        </is>
      </c>
      <c r="H81" s="4" t="inlineStr">
        <is>
          <t>相关</t>
        </is>
      </c>
      <c r="I81" s="4" t="inlineStr">
        <is>
          <t>公司按ODM模式研发、制造并销售智能手机、平板和AIoT整机，收入来自终端产品交付。终端运行虽会产生数据，但未核到面向客户的数据采集、治理或授权产品，应迁回物理AI终端链。</t>
        </is>
      </c>
      <c r="J81" s="4" t="inlineStr">
        <is>
          <t>龙旗科技2025年年度报告</t>
        </is>
      </c>
      <c r="K81" s="4" t="inlineStr">
        <is>
          <t>2026-03-30</t>
        </is>
      </c>
      <c r="L81" s="4" t="inlineStr">
        <is>
          <t>iFinD ifind_get_stock_info (as of 2026-10-27)；龙旗科技2025年年度报告</t>
        </is>
      </c>
      <c r="M81" s="5" t="inlineStr">
        <is>
          <t>https://www.hkexnews.hk/listedco/listconews/sehk/2026/0330/2026033004243_c.pdf</t>
        </is>
      </c>
    </row>
    <row r="82" ht="24" customHeight="1">
      <c r="B82" s="6" t="inlineStr">
        <is>
          <t>603466</t>
        </is>
      </c>
      <c r="C82" s="6" t="inlineStr">
        <is>
          <t>风语筑</t>
        </is>
      </c>
      <c r="D82" s="6" t="inlineStr">
        <is>
          <t>物理AI_数据采集</t>
        </is>
      </c>
      <c r="E82" s="6" t="inlineStr">
        <is>
          <t>摘除</t>
        </is>
      </c>
      <c r="F82" s="6" t="inlineStr"/>
      <c r="G82" s="6" t="inlineStr"/>
      <c r="H82" s="6" t="inlineStr">
        <is>
          <t>错标</t>
        </is>
      </c>
      <c r="I82" s="6" t="inlineStr">
        <is>
          <t>城市、文化及品牌体验空间按策划、设计、实施和维护项目收费，沉浸交互与AI视频用于展示内容。项目重点是空间体验和展陈工程，未核到独立数据采集产品、数据交付或授权收费。</t>
        </is>
      </c>
      <c r="J82" s="6" t="inlineStr">
        <is>
          <t>风语筑2025年半年度报告</t>
        </is>
      </c>
      <c r="K82" s="6" t="inlineStr">
        <is>
          <t>2025-08-29</t>
        </is>
      </c>
      <c r="L82" s="6" t="inlineStr">
        <is>
          <t>iFinD ifind_get_stock_info (as of 2026-10-27)；风语筑2025年半年度报告</t>
        </is>
      </c>
      <c r="M82" s="7" t="inlineStr">
        <is>
          <t>http://static.cninfo.com.cn/finalpage/2025-08-29/1224603815.PDF</t>
        </is>
      </c>
    </row>
    <row r="83" ht="24" customHeight="1">
      <c r="B83" s="4" t="inlineStr">
        <is>
          <t>603496</t>
        </is>
      </c>
      <c r="C83" s="4" t="inlineStr">
        <is>
          <t>恒为科技</t>
        </is>
      </c>
      <c r="D83" s="4" t="inlineStr">
        <is>
          <t>数据要素_网络可视化监管</t>
        </is>
      </c>
      <c r="E83" s="4" t="inlineStr">
        <is>
          <t>保留</t>
        </is>
      </c>
      <c r="F83" s="4" t="inlineStr">
        <is>
          <t>数据要素</t>
        </is>
      </c>
      <c r="G83" s="4" t="inlineStr">
        <is>
          <t>数据要素_网络可视化监管</t>
        </is>
      </c>
      <c r="H83" s="4" t="inlineStr">
        <is>
          <t>相关</t>
        </is>
      </c>
      <c r="I83" s="4" t="inlineStr">
        <is>
          <t>在运营商网络节点开展全流量采集、DPI解析、分流和运维分析，以软硬件及系统项目交付。监管和运维场景中的数据处理链条明确，但数据嵌入系统交付，并非独立销售的数据主产品。</t>
        </is>
      </c>
      <c r="J83" s="4" t="inlineStr">
        <is>
          <t>恒为科技2025年年度报告</t>
        </is>
      </c>
      <c r="K83" s="4" t="inlineStr">
        <is>
          <t>2026-04-17</t>
        </is>
      </c>
      <c r="L83" s="4" t="inlineStr">
        <is>
          <t>iFinD ifind_get_stock_info (as of 2026-10-27)；恒为科技2025年年度报告</t>
        </is>
      </c>
      <c r="M83" s="5" t="inlineStr">
        <is>
          <t>https://static.cninfo.com.cn/finalpage/2026-04-17/1225111374.PDF</t>
        </is>
      </c>
    </row>
    <row r="84" ht="24" customHeight="1">
      <c r="B84" s="6" t="inlineStr">
        <is>
          <t>603533</t>
        </is>
      </c>
      <c r="C84" s="6" t="inlineStr">
        <is>
          <t>掌阅科技</t>
        </is>
      </c>
      <c r="D84" s="6" t="inlineStr">
        <is>
          <t>数据要素_内容数据</t>
        </is>
      </c>
      <c r="E84" s="6" t="inlineStr">
        <is>
          <t>保留</t>
        </is>
      </c>
      <c r="F84" s="6" t="inlineStr">
        <is>
          <t>数据要素</t>
        </is>
      </c>
      <c r="G84" s="6" t="inlineStr">
        <is>
          <t>数据要素_内容数据</t>
        </is>
      </c>
      <c r="H84" s="6" t="inlineStr">
        <is>
          <t>核心</t>
        </is>
      </c>
      <c r="I84" s="6" t="inlineStr">
        <is>
          <t>掌阅、得间等数字阅读平台提供电子书等内容，通过付费阅读、增值服务及版权授权变现。用户购买和平台交付的核心对象就是数字内容及其使用权益，内容数据不是附属资源。</t>
        </is>
      </c>
      <c r="J84" s="6" t="inlineStr">
        <is>
          <t>掌阅科技2025年年度报告摘要</t>
        </is>
      </c>
      <c r="K84" s="6" t="inlineStr">
        <is>
          <t>2026-04-24</t>
        </is>
      </c>
      <c r="L84" s="6" t="inlineStr">
        <is>
          <t>iFinD ifind_get_stock_info (as of 2026-10-27)；掌阅科技2025年年度报告摘要</t>
        </is>
      </c>
      <c r="M84" s="7" t="inlineStr">
        <is>
          <t>http://dataclouds.cninfo.com.cn/shgonggao/hsomarket/2026/20260424/77d36c920aac41d1bd07f0efd1c2ad6c.PDF</t>
        </is>
      </c>
    </row>
    <row r="85" ht="24" customHeight="1">
      <c r="B85" s="4" t="inlineStr">
        <is>
          <t>603569</t>
        </is>
      </c>
      <c r="C85" s="4" t="inlineStr">
        <is>
          <t>长久物流</t>
        </is>
      </c>
      <c r="D85" s="4" t="inlineStr">
        <is>
          <t>数据要素_汽车数据</t>
        </is>
      </c>
      <c r="E85" s="4" t="inlineStr">
        <is>
          <t>升级</t>
        </is>
      </c>
      <c r="F85" s="4" t="inlineStr">
        <is>
          <t>数据要素</t>
        </is>
      </c>
      <c r="G85" s="4" t="inlineStr">
        <is>
          <t>数据要素_汽车数据</t>
        </is>
      </c>
      <c r="H85" s="4" t="inlineStr">
        <is>
          <t>相关</t>
        </is>
      </c>
      <c r="I85" s="4" t="inlineStr">
        <is>
          <t>物流、司机、电池等数据资产已登记，相关数据产品已上架，TMS SaaS亦承载运输数据。虽有真实数据产品及交付载体，但整车物流仍是主业，数据业务尚非核心收入，故由边缘升为相关。</t>
        </is>
      </c>
      <c r="J85" s="4" t="inlineStr">
        <is>
          <t>长久物流2024年半年度报告</t>
        </is>
      </c>
      <c r="K85" s="4" t="inlineStr">
        <is>
          <t>2024-08-24</t>
        </is>
      </c>
      <c r="L85" s="4" t="inlineStr">
        <is>
          <t>iFinD ifind_get_stock_info (as of 2026-10-27)；长久物流2024年半年度报告</t>
        </is>
      </c>
      <c r="M85" s="5" t="inlineStr">
        <is>
          <t>http://dataclouds.cninfo.com.cn/shgonggao/2024/2024-08-24/27b1057f612b11efab0ffa163e26e5de.pdf</t>
        </is>
      </c>
    </row>
    <row r="86" ht="24" customHeight="1">
      <c r="B86" s="6" t="inlineStr">
        <is>
          <t>603636</t>
        </is>
      </c>
      <c r="C86" s="6" t="inlineStr">
        <is>
          <t>南威软件</t>
        </is>
      </c>
      <c r="D86" s="6" t="inlineStr">
        <is>
          <t>数据要素_数据确权</t>
        </is>
      </c>
      <c r="E86" s="6" t="inlineStr">
        <is>
          <t>重分类降级</t>
        </is>
      </c>
      <c r="F86" s="6" t="inlineStr">
        <is>
          <t>数据要素</t>
        </is>
      </c>
      <c r="G86" s="6" t="inlineStr">
        <is>
          <t>数据要素_数据清洗</t>
        </is>
      </c>
      <c r="H86" s="6" t="inlineStr">
        <is>
          <t>相关</t>
        </is>
      </c>
      <c r="I86" s="6" t="inlineStr">
        <is>
          <t>政务智能数据治理一体机和全生命周期治理平台处理多源政务数据，覆盖汇集、清洗、标准化及质量管理，并以标准安装和项目中标交付。直接证据偏数据治理，不足以支撑数据确权核心。</t>
        </is>
      </c>
      <c r="J86" s="6" t="inlineStr">
        <is>
          <t>南威软件2025年半年度报告</t>
        </is>
      </c>
      <c r="K86" s="6" t="inlineStr">
        <is>
          <t>2025-08-28</t>
        </is>
      </c>
      <c r="L86" s="6" t="inlineStr">
        <is>
          <t>iFinD ifind_get_stock_info (as of 2026-10-27)；南威软件2025年半年度报告</t>
        </is>
      </c>
      <c r="M86" s="7" t="inlineStr">
        <is>
          <t>http://static.cninfo.com.cn/finalpage/2025-08-28/1224593784.PDF</t>
        </is>
      </c>
    </row>
    <row r="87" ht="24" customHeight="1">
      <c r="B87" s="4" t="inlineStr">
        <is>
          <t>603716</t>
        </is>
      </c>
      <c r="C87" s="4" t="inlineStr">
        <is>
          <t>塞力医疗</t>
        </is>
      </c>
      <c r="D87" s="4" t="inlineStr">
        <is>
          <t>数据要素_其他行业数据</t>
        </is>
      </c>
      <c r="E87" s="4" t="inlineStr">
        <is>
          <t>重分类</t>
        </is>
      </c>
      <c r="F87" s="4" t="inlineStr">
        <is>
          <t>数据要素</t>
        </is>
      </c>
      <c r="G87" s="4" t="inlineStr">
        <is>
          <t>数据要素_医疗数据</t>
        </is>
      </c>
      <c r="H87" s="4" t="inlineStr">
        <is>
          <t>相关</t>
        </is>
      </c>
      <c r="I87" s="4" t="inlineStr">
        <is>
          <t>与华山医院合作药敏检测AI高级专家系统，分析微生物基因组、药敏及临床数据，另有医院模型项目。数据分析和模型交付真实存在，但IVD、SPD仍为主业，宜归医疗数据相关。</t>
        </is>
      </c>
      <c r="J87" s="4" t="inlineStr">
        <is>
          <t>塞力医疗2025年年度报告</t>
        </is>
      </c>
      <c r="K87" s="4" t="inlineStr">
        <is>
          <t>2026-04-29</t>
        </is>
      </c>
      <c r="L87" s="4" t="inlineStr">
        <is>
          <t>iFinD ifind_get_stock_info (as of 2026-10-27)；塞力医疗2025年年度报告</t>
        </is>
      </c>
      <c r="M87" s="5" t="inlineStr">
        <is>
          <t>https://money.finance.sina.com.cn/corp/view/vCB_AllBulletinDetail.php?stockid=603716&amp;id=12244208</t>
        </is>
      </c>
    </row>
    <row r="88" ht="24" customHeight="1">
      <c r="B88" s="6" t="inlineStr">
        <is>
          <t>603721</t>
        </is>
      </c>
      <c r="C88" s="6" t="inlineStr">
        <is>
          <t>中广天择</t>
        </is>
      </c>
      <c r="D88" s="6" t="inlineStr">
        <is>
          <t>数据要素_数据确权</t>
        </is>
      </c>
      <c r="E88" s="6" t="inlineStr">
        <is>
          <t>保留</t>
        </is>
      </c>
      <c r="F88" s="6" t="inlineStr">
        <is>
          <t>数据要素</t>
        </is>
      </c>
      <c r="G88" s="6" t="inlineStr">
        <is>
          <t>数据要素_数据确权</t>
        </is>
      </c>
      <c r="H88" s="6" t="inlineStr">
        <is>
          <t>相关</t>
        </is>
      </c>
      <c r="I88" s="6" t="inlineStr">
        <is>
          <t>天择微链运营中国V链，提供版权存证、登记、监测和交易服务，已形成数字版权保护及技术服务收入。确权产品与收费均明确，但占公司整体业务较小，故列相关。</t>
        </is>
      </c>
      <c r="J88" s="6" t="inlineStr">
        <is>
          <t>中广天择2025年年度报告</t>
        </is>
      </c>
      <c r="K88" s="6" t="inlineStr">
        <is>
          <t>2026-04-18</t>
        </is>
      </c>
      <c r="L88" s="6" t="inlineStr">
        <is>
          <t>iFinD ifind_get_stock_info (as of 2026-10-27)；中广天择2025年年度报告</t>
        </is>
      </c>
      <c r="M88" s="7" t="inlineStr">
        <is>
          <t>https://static.cninfo.com.cn/finalpage/2026-04-18/1225119820.PDF</t>
        </is>
      </c>
    </row>
    <row r="89" ht="24" customHeight="1">
      <c r="B89" s="4" t="inlineStr">
        <is>
          <t>603859</t>
        </is>
      </c>
      <c r="C89" s="4" t="inlineStr">
        <is>
          <t>能科科技</t>
        </is>
      </c>
      <c r="D89" s="4" t="inlineStr">
        <is>
          <t>物理AI_数据采集</t>
        </is>
      </c>
      <c r="E89" s="4" t="inlineStr">
        <is>
          <t>重分类</t>
        </is>
      </c>
      <c r="F89" s="4" t="inlineStr">
        <is>
          <t>数据要素</t>
        </is>
      </c>
      <c r="G89" s="4" t="inlineStr">
        <is>
          <t>数据要素_数据清洗</t>
        </is>
      </c>
      <c r="H89" s="4" t="inlineStr">
        <is>
          <t>相关</t>
        </is>
      </c>
      <c r="I89" s="4" t="inlineStr">
        <is>
          <t>自研“乐数”覆盖工业数据采集、清洗治理、管理和分析，随乐系列云软件及服务向制造企业交付。收费标的是工业数据软件与服务，而非机器人或传感器等物理感知设备。</t>
        </is>
      </c>
      <c r="J89" s="4" t="inlineStr">
        <is>
          <t>能科科技2025年年度报告</t>
        </is>
      </c>
      <c r="K89" s="4" t="inlineStr">
        <is>
          <t>2026-04-24</t>
        </is>
      </c>
      <c r="L89" s="4" t="inlineStr">
        <is>
          <t>iFinD ifind_get_stock_info (as of 2026-10-27)；能科科技2025年年度报告</t>
        </is>
      </c>
      <c r="M89" s="5" t="inlineStr">
        <is>
          <t>https://money.finance.sina.com.cn/corp/view/vCB_AllBulletinDetail.php?stockid=603859&amp;id=12166829</t>
        </is>
      </c>
    </row>
    <row r="90" ht="24" customHeight="1">
      <c r="B90" s="6" t="inlineStr">
        <is>
          <t>603860</t>
        </is>
      </c>
      <c r="C90" s="6" t="inlineStr">
        <is>
          <t>中公高科</t>
        </is>
      </c>
      <c r="D90" s="6" t="inlineStr">
        <is>
          <t>数据要素_交通数据</t>
        </is>
      </c>
      <c r="E90" s="6" t="inlineStr">
        <is>
          <t>保留</t>
        </is>
      </c>
      <c r="F90" s="6" t="inlineStr">
        <is>
          <t>数据要素</t>
        </is>
      </c>
      <c r="G90" s="6" t="inlineStr">
        <is>
          <t>数据要素_交通数据</t>
        </is>
      </c>
      <c r="H90" s="6" t="inlineStr">
        <is>
          <t>相关</t>
        </is>
      </c>
      <c r="I90" s="6" t="inlineStr">
        <is>
          <t>CiCS、RDR采集路况与病害数据，CRMS、iRMS、CMAP用于资产管理和养护决策，通过检测设备、软件系统及咨询服务交付。交通数据贯穿产品流程，但主要支撑检测养护服务。</t>
        </is>
      </c>
      <c r="J90" s="6" t="inlineStr">
        <is>
          <t>中公高科2025年年度报告</t>
        </is>
      </c>
      <c r="K90" s="6" t="inlineStr">
        <is>
          <t>2026-03-25</t>
        </is>
      </c>
      <c r="L90" s="6" t="inlineStr">
        <is>
          <t>iFinD ifind_get_stock_info (as of 2026-10-27)；中公高科2025年年度报告</t>
        </is>
      </c>
      <c r="M90" s="7" t="inlineStr">
        <is>
          <t>http://file.finance.sina.com.cn/211.154.219.97:9494/MRGG/CNSESH_STOCK/2026/2026-3/2026-03-25/12016033.PDF</t>
        </is>
      </c>
    </row>
    <row r="91" ht="24" customHeight="1">
      <c r="B91" s="4" t="inlineStr">
        <is>
          <t>603888</t>
        </is>
      </c>
      <c r="C91" s="4" t="inlineStr">
        <is>
          <t>新华网</t>
        </is>
      </c>
      <c r="D91" s="4" t="inlineStr">
        <is>
          <t>数据要素_数据确权</t>
        </is>
      </c>
      <c r="E91" s="4" t="inlineStr">
        <is>
          <t>重分类</t>
        </is>
      </c>
      <c r="F91" s="4" t="inlineStr">
        <is>
          <t>数据要素</t>
        </is>
      </c>
      <c r="G91" s="4" t="inlineStr">
        <is>
          <t>数据要素_数据分析</t>
        </is>
      </c>
      <c r="H91" s="4" t="inlineStr">
        <is>
          <t>相关</t>
        </is>
      </c>
      <c r="I91" s="4" t="inlineStr">
        <is>
          <t>新华睿思V7.0处理舆情、经济主体和消费场景数据，提供监测预警、研判及决策支持，按平台与解决方案服务政企客户。直接产品是数据分析和舆情治理，未找到自身数据确权主产品证据。</t>
        </is>
      </c>
      <c r="J91" s="4" t="inlineStr">
        <is>
          <t>新华睿思7.0发布说明</t>
        </is>
      </c>
      <c r="K91" s="4" t="inlineStr">
        <is>
          <t>2025-05-21</t>
        </is>
      </c>
      <c r="L91" s="4" t="inlineStr">
        <is>
          <t>iFinD ifind_get_stock_info (as of 2026-10-27)；新华睿思7.0发布说明</t>
        </is>
      </c>
      <c r="M91" s="5" t="inlineStr">
        <is>
          <t>https://www.news.cn/20250521/b00fcbdbb2f84e3883102f675ebf9095/c.html</t>
        </is>
      </c>
    </row>
    <row r="92" ht="24" customHeight="1">
      <c r="B92" s="6" t="inlineStr">
        <is>
          <t>603918</t>
        </is>
      </c>
      <c r="C92" s="6" t="inlineStr">
        <is>
          <t>金桥信息</t>
        </is>
      </c>
      <c r="D92" s="6" t="inlineStr">
        <is>
          <t>数据要素_数据确权</t>
        </is>
      </c>
      <c r="E92" s="6" t="inlineStr">
        <is>
          <t>重分类</t>
        </is>
      </c>
      <c r="F92" s="6" t="inlineStr">
        <is>
          <t>数据要素</t>
        </is>
      </c>
      <c r="G92" s="6" t="inlineStr">
        <is>
          <t>数据要素_司法数据</t>
        </is>
      </c>
      <c r="H92" s="6" t="inlineStr">
        <is>
          <t>相关</t>
        </is>
      </c>
      <c r="I92" s="6" t="inlineStr">
        <is>
          <t>执行110、移动执行平台和司法可信管理中台服务法院办案、执行与可信管理，按信息化项目、软件及运维交付。业务处理的是司法数据，区块链存验证功能不等于对外数据确权产品。</t>
        </is>
      </c>
      <c r="J92" s="6" t="inlineStr">
        <is>
          <t>金桥信息2025年年度报告</t>
        </is>
      </c>
      <c r="K92" s="6" t="inlineStr">
        <is>
          <t>2026-04-29</t>
        </is>
      </c>
      <c r="L92" s="6" t="inlineStr">
        <is>
          <t>iFinD ifind_get_stock_info (as of 2026-10-27)；金桥信息2025年年度报告</t>
        </is>
      </c>
      <c r="M92" s="7" t="inlineStr">
        <is>
          <t>https://vip.stock.finance.sina.com.cn/corp/view/vCB_AllBulletinDetail.php?stockid=603918&amp;id=12240543</t>
        </is>
      </c>
    </row>
    <row r="93" ht="24" customHeight="1">
      <c r="B93" s="4" t="inlineStr">
        <is>
          <t>603999</t>
        </is>
      </c>
      <c r="C93" s="4" t="inlineStr">
        <is>
          <t>读者传媒</t>
        </is>
      </c>
      <c r="D93" s="4" t="inlineStr">
        <is>
          <t>数据要素_内容数据</t>
        </is>
      </c>
      <c r="E93" s="4" t="inlineStr">
        <is>
          <t>降级</t>
        </is>
      </c>
      <c r="F93" s="4" t="inlineStr">
        <is>
          <t>数据要素</t>
        </is>
      </c>
      <c r="G93" s="4" t="inlineStr">
        <is>
          <t>数据要素_内容数据</t>
        </is>
      </c>
      <c r="H93" s="4" t="inlineStr">
        <is>
          <t>相关</t>
        </is>
      </c>
      <c r="I93" s="4" t="inlineStr">
        <is>
          <t>纸质期刊、图书出版发行仍为主业；文溯阁《四库全书》数字化、文创IP库和读者听书、App已形成数字内容并有初步销售，但规模和主业地位有限，内容数据标签可保留为相关。</t>
        </is>
      </c>
      <c r="J93" s="4" t="inlineStr">
        <is>
          <t>读者传媒2025年半年度报告</t>
        </is>
      </c>
      <c r="K93" s="4" t="inlineStr">
        <is>
          <t>2025-08-28</t>
        </is>
      </c>
      <c r="L93" s="4" t="inlineStr">
        <is>
          <t>iFinD ifind_get_stock_info (as of 2026-10-27)；读者传媒2025年半年度报告</t>
        </is>
      </c>
      <c r="M93" s="5" t="inlineStr">
        <is>
          <t>https://vip.stock.finance.sina.com.cn/corp/view/vCB_AllBulletinDetail.php?stockid=603999&amp;id=11389900</t>
        </is>
      </c>
    </row>
    <row r="94" ht="24" customHeight="1">
      <c r="B94" s="6" t="inlineStr">
        <is>
          <t>605488</t>
        </is>
      </c>
      <c r="C94" s="6" t="inlineStr">
        <is>
          <t>福莱新材</t>
        </is>
      </c>
      <c r="D94" s="6" t="inlineStr">
        <is>
          <t>物理AI_数据采集</t>
        </is>
      </c>
      <c r="E94" s="6" t="inlineStr">
        <is>
          <t>迁出数据要素</t>
        </is>
      </c>
      <c r="F94" s="6" t="inlineStr">
        <is>
          <t>物理AI</t>
        </is>
      </c>
      <c r="G94" s="6" t="inlineStr">
        <is>
          <t>物理AI_传感器</t>
        </is>
      </c>
      <c r="H94" s="6" t="inlineStr">
        <is>
          <t>相关</t>
        </is>
      </c>
      <c r="I94" s="6" t="inlineStr">
        <is>
          <t>欧仁新材料、柔感未来等电子皮肤感知压力和剪切力，产品以柔性传感器硬件及方案销售交付，服务机器人触觉感知。其属于物理AI上游传感器，不是数据要素产品或数据运营。</t>
        </is>
      </c>
      <c r="J94" s="6" t="inlineStr">
        <is>
          <t>福莱新材2025年年度报告</t>
        </is>
      </c>
      <c r="K94" s="6" t="inlineStr">
        <is>
          <t>2026-04-28</t>
        </is>
      </c>
      <c r="L94" s="6" t="inlineStr">
        <is>
          <t>iFinD ifind_get_stock_info (as of 2026-10-27)；福莱新材2025年年度报告</t>
        </is>
      </c>
      <c r="M94" s="7" t="inlineStr">
        <is>
          <t>http://money.finance.sina.com.cn/corp/view/vCB_AllBulletinDetail.php?stockid=605488&amp;id=12210056</t>
        </is>
      </c>
    </row>
    <row r="95" ht="24" customHeight="1">
      <c r="B95" s="4" t="inlineStr">
        <is>
          <t>688023</t>
        </is>
      </c>
      <c r="C95" s="4" t="inlineStr">
        <is>
          <t>安恒信息</t>
        </is>
      </c>
      <c r="D95" s="4" t="inlineStr">
        <is>
          <t>数据要素_交易所</t>
        </is>
      </c>
      <c r="E95" s="4" t="inlineStr">
        <is>
          <t>重分类</t>
        </is>
      </c>
      <c r="F95" s="4" t="inlineStr">
        <is>
          <t>数据要素</t>
        </is>
      </c>
      <c r="G95" s="4" t="inlineStr">
        <is>
          <t>数据要素_数据安全</t>
        </is>
      </c>
      <c r="H95" s="4" t="inlineStr">
        <is>
          <t>相关</t>
        </is>
      </c>
      <c r="I95" s="4" t="inlineStr">
        <is>
          <t>AiSort、AiMask、AiGate、AiDLP及数据安全管控平台提供分类分级、脱敏、访问控制和防泄漏，以安全产品、项目及运营服务收费。产品矩阵指向数据安全，未见运营数据交易所证据。</t>
        </is>
      </c>
      <c r="J95" s="4" t="inlineStr">
        <is>
          <t>安恒信息2025年年度报告</t>
        </is>
      </c>
      <c r="K95" s="4" t="inlineStr">
        <is>
          <t>2026-03-26</t>
        </is>
      </c>
      <c r="L95" s="4" t="inlineStr">
        <is>
          <t>iFinD ifind_get_stock_info (as of 2026-10-27)；安恒信息2025年年度报告</t>
        </is>
      </c>
      <c r="M95" s="5" t="inlineStr">
        <is>
          <t>http://file.finance.sina.com.cn/211.154.219.97:9494/MRGG/CNSESH_STOCK/2026/2026-3/2026-03-26/12018515.PDF</t>
        </is>
      </c>
    </row>
    <row r="96" ht="24" customHeight="1">
      <c r="B96" s="6" t="inlineStr">
        <is>
          <t>688292</t>
        </is>
      </c>
      <c r="C96" s="6" t="inlineStr">
        <is>
          <t>浩瀚深度</t>
        </is>
      </c>
      <c r="D96" s="6" t="inlineStr">
        <is>
          <t>数据要素_网络可视化监管</t>
        </is>
      </c>
      <c r="E96" s="6" t="inlineStr">
        <is>
          <t>保留</t>
        </is>
      </c>
      <c r="F96" s="6" t="inlineStr">
        <is>
          <t>数据要素</t>
        </is>
      </c>
      <c r="G96" s="6" t="inlineStr">
        <is>
          <t>数据要素_网络可视化监管</t>
        </is>
      </c>
      <c r="H96" s="6" t="inlineStr">
        <is>
          <t>相关</t>
        </is>
      </c>
      <c r="I96" s="6" t="inlineStr">
        <is>
          <t>DPI、全流量采集解析和日志留存处理运营商网络流量，顺水云进一步开展流量数据治理，以软硬件和解决方案交付。与网络可视化监管直接匹配，但数据主要嵌入系统服务。</t>
        </is>
      </c>
      <c r="J96" s="6" t="inlineStr">
        <is>
          <t>浩瀚深度2025年年度报告</t>
        </is>
      </c>
      <c r="K96" s="6" t="inlineStr">
        <is>
          <t>2026-04-29</t>
        </is>
      </c>
      <c r="L96" s="6" t="inlineStr">
        <is>
          <t>iFinD ifind_get_stock_info (as of 2026-10-27)；浩瀚深度2025年年度报告</t>
        </is>
      </c>
      <c r="M96" s="7" t="inlineStr">
        <is>
          <t>https://vip.stock.finance.sina.com.cn/corp/view/vCB_AllBulletinDetail.php?stockid=688292&amp;id=12244828</t>
        </is>
      </c>
    </row>
    <row r="97" ht="24" customHeight="1">
      <c r="B97" s="4" t="inlineStr">
        <is>
          <t>688296</t>
        </is>
      </c>
      <c r="C97" s="4" t="inlineStr">
        <is>
          <t>和达科技</t>
        </is>
      </c>
      <c r="D97" s="4" t="inlineStr">
        <is>
          <t>数据要素_其他行业数据</t>
        </is>
      </c>
      <c r="E97" s="4" t="inlineStr">
        <is>
          <t>重分类</t>
        </is>
      </c>
      <c r="F97" s="4" t="inlineStr">
        <is>
          <t>数据要素</t>
        </is>
      </c>
      <c r="G97" s="4" t="inlineStr">
        <is>
          <t>数据要素_水务数据</t>
        </is>
      </c>
      <c r="H97" s="4" t="inlineStr">
        <is>
          <t>相关</t>
        </is>
      </c>
      <c r="I97" s="4" t="inlineStr">
        <is>
          <t>WimDB、WimOS及生产调度、分区控漏系统治理水厂、泵站、管网数据，通过智能终端、软件系统、SaaS和运维服务交付。属于明确的水务行业数据应用，但未见以数据本身独立销售为主。</t>
        </is>
      </c>
      <c r="J97" s="4" t="inlineStr">
        <is>
          <t>和达科技2025年年度报告</t>
        </is>
      </c>
      <c r="K97" s="4" t="inlineStr">
        <is>
          <t>2026-04-17</t>
        </is>
      </c>
      <c r="L97" s="4" t="inlineStr">
        <is>
          <t>iFinD ifind_get_stock_info (as of 2026-10-27)；和达科技2025年年度报告</t>
        </is>
      </c>
      <c r="M97" s="5" t="inlineStr">
        <is>
          <t>http://money.finance.sina.com.cn/corp/view/vCB_AllBulletinDetail.php?stockid=688296&amp;id=12100723</t>
        </is>
      </c>
    </row>
    <row r="98" ht="24" customHeight="1">
      <c r="B98" s="6" t="inlineStr">
        <is>
          <t>688500</t>
        </is>
      </c>
      <c r="C98" s="6" t="inlineStr">
        <is>
          <t>慧辰股份</t>
        </is>
      </c>
      <c r="D98" s="6" t="inlineStr">
        <is>
          <t>数据要素_数据分析</t>
        </is>
      </c>
      <c r="E98" s="6" t="inlineStr">
        <is>
          <t>保留</t>
        </is>
      </c>
      <c r="F98" s="6" t="inlineStr">
        <is>
          <t>数据要素</t>
        </is>
      </c>
      <c r="G98" s="6" t="inlineStr">
        <is>
          <t>数据要素_数据分析</t>
        </is>
      </c>
      <c r="H98" s="6" t="inlineStr">
        <is>
          <t>核心</t>
        </is>
      </c>
      <c r="I98" s="6" t="inlineStr">
        <is>
          <t>DataAgent、ChatBI及行业洞察平台分析企业内外部数据，向企业客户提供数据产品和定制分析解决方案并收费。数据分析本身就是主要产品和交付内容，而非其他业务的附属功能。</t>
        </is>
      </c>
      <c r="J98" s="6" t="inlineStr">
        <is>
          <t>慧辰股份2025年年度报告</t>
        </is>
      </c>
      <c r="K98" s="6" t="inlineStr">
        <is>
          <t>2026-04-18</t>
        </is>
      </c>
      <c r="L98" s="6" t="inlineStr">
        <is>
          <t>iFinD ifind_get_stock_info (as of 2026-10-27)；慧辰股份2025年年度报告</t>
        </is>
      </c>
      <c r="M98" s="7" t="inlineStr">
        <is>
          <t>https://money.finance.sina.com.cn/corp/view/vCB_AllBulletinDetail.php?stockid=688500&amp;id=12110690</t>
        </is>
      </c>
    </row>
    <row r="99" ht="24" customHeight="1">
      <c r="B99" s="4" t="inlineStr">
        <is>
          <t>688561</t>
        </is>
      </c>
      <c r="C99" s="4" t="inlineStr">
        <is>
          <t>奇安信-U</t>
        </is>
      </c>
      <c r="D99" s="4" t="inlineStr">
        <is>
          <t>数据要素_数据安全</t>
        </is>
      </c>
      <c r="E99" s="4" t="inlineStr">
        <is>
          <t>保留</t>
        </is>
      </c>
      <c r="F99" s="4" t="inlineStr">
        <is>
          <t>数据要素</t>
        </is>
      </c>
      <c r="G99" s="4" t="inlineStr">
        <is>
          <t>数据要素_数据安全</t>
        </is>
      </c>
      <c r="H99" s="4" t="inlineStr">
        <is>
          <t>相关</t>
        </is>
      </c>
      <c r="I99" s="4" t="inlineStr">
        <is>
          <t>DSCP、数据安全网关、数据库审计和脱敏等产品覆盖数据识别、流转监测与防护，通过安全产品及运营服务交付。数据安全概念匹配且商业化明确，但主营不是数据交易或数据内容经营。</t>
        </is>
      </c>
      <c r="J99" s="4" t="inlineStr">
        <is>
          <t>奇安信数据安全产品说明</t>
        </is>
      </c>
      <c r="K99" s="4" t="inlineStr">
        <is>
          <t>2025-08-29</t>
        </is>
      </c>
      <c r="L99" s="4" t="inlineStr">
        <is>
          <t>iFinD ifind_get_stock_info (as of 2026-10-27)；奇安信数据安全产品说明</t>
        </is>
      </c>
      <c r="M99" s="5" t="inlineStr">
        <is>
          <t>https://www.qianxin.com/news/detail?news_id=13883</t>
        </is>
      </c>
    </row>
    <row r="100" ht="24" customHeight="1">
      <c r="B100" s="6" t="inlineStr">
        <is>
          <t>688686</t>
        </is>
      </c>
      <c r="C100" s="6" t="inlineStr">
        <is>
          <t>奥普特</t>
        </is>
      </c>
      <c r="D100" s="6" t="inlineStr">
        <is>
          <t>物理AI_数据采集</t>
        </is>
      </c>
      <c r="E100" s="6" t="inlineStr">
        <is>
          <t>迁出数据要素</t>
        </is>
      </c>
      <c r="F100" s="6" t="inlineStr">
        <is>
          <t>物理AI</t>
        </is>
      </c>
      <c r="G100" s="6" t="inlineStr">
        <is>
          <t>物理AI_机器视觉</t>
        </is>
      </c>
      <c r="H100" s="6" t="inlineStr">
        <is>
          <t>相关</t>
        </is>
      </c>
      <c r="I100" s="6" t="inlineStr">
        <is>
          <t>相机、光源、镜头及视觉算法采集工业图像用于检测识别，按机器视觉核心部件和解决方案销售。图像采集服务于工业检测设备，属于物理AI感知上游，未形成数据要素产品或数据运营。</t>
        </is>
      </c>
      <c r="J100" s="6" t="inlineStr">
        <is>
          <t>奥普特2025年年度报告</t>
        </is>
      </c>
      <c r="K100" s="6" t="inlineStr">
        <is>
          <t>2026-04-03</t>
        </is>
      </c>
      <c r="L100" s="6" t="inlineStr">
        <is>
          <t>iFinD ifind_get_stock_info (as of 2026-10-27)；奥普特2025年年度报告</t>
        </is>
      </c>
      <c r="M100" s="7" t="inlineStr">
        <is>
          <t>https://vip.stock.finance.sina.com.cn/corp/view/vCB_AllBulletinDetail.php?stockid=688686&amp;id=12060637</t>
        </is>
      </c>
    </row>
    <row r="101" ht="24" customHeight="1">
      <c r="B101" s="4" t="inlineStr">
        <is>
          <t>688787</t>
        </is>
      </c>
      <c r="C101" s="4" t="inlineStr">
        <is>
          <t>海天瑞声</t>
        </is>
      </c>
      <c r="D101" s="4" t="inlineStr">
        <is>
          <t>数据要素_数据标注</t>
        </is>
      </c>
      <c r="E101" s="4" t="inlineStr">
        <is>
          <t>保留</t>
        </is>
      </c>
      <c r="F101" s="4" t="inlineStr">
        <is>
          <t>数据要素</t>
        </is>
      </c>
      <c r="G101" s="4" t="inlineStr">
        <is>
          <t>数据要素_数据标注</t>
        </is>
      </c>
      <c r="H101" s="4" t="inlineStr">
        <is>
          <t>核心</t>
        </is>
      </c>
      <c r="I101" s="4" t="inlineStr">
        <is>
          <t>语音、视觉、自然语言训练数据集经采集、加工和标注后以软件形式交付，标准数据集按授权许可收费，定制项目按服务收费。主产品和收入来源直接围绕训练数据，与数据标注完全对应。</t>
        </is>
      </c>
      <c r="J101" s="4" t="inlineStr">
        <is>
          <t>海天瑞声2025年年度报告摘要</t>
        </is>
      </c>
      <c r="K101" s="4" t="inlineStr">
        <is>
          <t>2026-04-23</t>
        </is>
      </c>
      <c r="L101" s="4" t="inlineStr">
        <is>
          <t>iFinD ifind_get_stock_info (as of 2026-10-27)；海天瑞声2025年年度报告摘要</t>
        </is>
      </c>
      <c r="M101" s="5" t="inlineStr">
        <is>
          <t>http://dataclouds.cninfo.com.cn/shgonggao/hsomarket/2026/20260423/6e73b9f9af064447be66dbb7e7f3b4b2.PDF</t>
        </is>
      </c>
    </row>
    <row r="102" ht="24" customHeight="1">
      <c r="B102" s="6" t="inlineStr">
        <is>
          <t>920207</t>
        </is>
      </c>
      <c r="C102" s="6" t="inlineStr">
        <is>
          <t>众诚科技</t>
        </is>
      </c>
      <c r="D102" s="6" t="inlineStr">
        <is>
          <t>数据要素_北交所</t>
        </is>
      </c>
      <c r="E102" s="6" t="inlineStr">
        <is>
          <t>重分类</t>
        </is>
      </c>
      <c r="F102" s="6" t="inlineStr">
        <is>
          <t>数据要素</t>
        </is>
      </c>
      <c r="G102" s="6" t="inlineStr">
        <is>
          <t>数据要素_数据清洗</t>
        </is>
      </c>
      <c r="H102" s="6" t="inlineStr">
        <is>
          <t>相关</t>
        </is>
      </c>
      <c r="I102" s="6" t="inlineStr">
        <is>
          <t>数据管理集成、数据资产管理及数据质量、ETL引擎处理政企数据，随软件开发和系统集成项目交付。业务实质是数据汇聚、清洗和质量治理，“北交所”仅表示上市地点，不能作为业务概念。</t>
        </is>
      </c>
      <c r="J102" s="6" t="inlineStr">
        <is>
          <t>众诚科技2025年年度报告</t>
        </is>
      </c>
      <c r="K102" s="6" t="inlineStr">
        <is>
          <t>2026-04-27</t>
        </is>
      </c>
      <c r="L102" s="6" t="inlineStr">
        <is>
          <t>iFinD ifind_get_stock_info (as of 2026-10-27)；众诚科技2025年年度报告</t>
        </is>
      </c>
      <c r="M102" s="7" t="inlineStr">
        <is>
          <t>https://money.finance.sina.com.cn/corp/view/vCB_AllBulletinDetail.php?stockid=920207&amp;id=12229400</t>
        </is>
      </c>
    </row>
  </sheetData>
  <autoFilter ref="B4:M102"/>
  <mergeCells count="2">
    <mergeCell ref="B3:M3"/>
    <mergeCell ref="B2:M2"/>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2:M81"/>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2" customWidth="1" min="2" max="2"/>
    <col width="14" customWidth="1" min="3" max="3"/>
    <col width="32" customWidth="1" min="4" max="4"/>
    <col width="16" customWidth="1" min="5" max="5"/>
    <col width="14" customWidth="1" min="6" max="6"/>
    <col width="28" customWidth="1" min="7" max="7"/>
    <col width="10" customWidth="1" min="8" max="8"/>
    <col width="95" customWidth="1" min="9" max="9"/>
    <col width="36" customWidth="1" min="10" max="10"/>
    <col width="14" customWidth="1" min="11" max="11"/>
    <col width="46" customWidth="1" min="12" max="12"/>
    <col width="72" customWidth="1" min="13" max="13"/>
  </cols>
  <sheetData>
    <row r="2" ht="32" customHeight="1">
      <c r="B2" s="1" t="inlineStr">
        <is>
          <t>数据要素 · 严格口径保留股池</t>
        </is>
      </c>
    </row>
    <row r="3">
      <c r="B3" s="2" t="inlineStr">
        <is>
          <t>仅保留核心与相关标的；二级概念已按实际产品、平台和交付方式重新归类。</t>
        </is>
      </c>
    </row>
    <row r="4" ht="26" customHeight="1">
      <c r="B4" s="3" t="inlineStr">
        <is>
          <t>代码</t>
        </is>
      </c>
      <c r="C4" s="3" t="inlineStr">
        <is>
          <t>名称</t>
        </is>
      </c>
      <c r="D4" s="3" t="inlineStr">
        <is>
          <t>旧概念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000032</t>
        </is>
      </c>
      <c r="C5" s="4" t="inlineStr">
        <is>
          <t>深桑达A</t>
        </is>
      </c>
      <c r="D5" s="4" t="inlineStr">
        <is>
          <t>数据要素_数据存储</t>
        </is>
      </c>
      <c r="E5" s="4" t="inlineStr">
        <is>
          <t>重分类</t>
        </is>
      </c>
      <c r="F5" s="4" t="inlineStr">
        <is>
          <t>数据要素</t>
        </is>
      </c>
      <c r="G5" s="4" t="inlineStr">
        <is>
          <t>数据要素_数据运营</t>
        </is>
      </c>
      <c r="H5" s="4" t="inlineStr">
        <is>
          <t>核心</t>
        </is>
      </c>
      <c r="I5" s="4" t="inlineStr">
        <is>
          <t>中国电子云数据港对接获授权的公共数据与社会数据，开展治理、融合和产品孵化，并以“蚝保宝”等数据产品面向企业及交易所输出。业务重点是持续运营和数据产品服务，而非单纯提供存储资源。</t>
        </is>
      </c>
      <c r="J5" s="4" t="inlineStr">
        <is>
          <t>深桑达A 2024年年度报告摘要</t>
        </is>
      </c>
      <c r="K5" s="4" t="inlineStr">
        <is>
          <t>2025-04-25</t>
        </is>
      </c>
      <c r="L5" s="4" t="inlineStr">
        <is>
          <t>iFinD ifind_get_stock_info (as of 2026-10-27)；深桑达A 2024年年度报告摘要</t>
        </is>
      </c>
      <c r="M5" s="5" t="inlineStr">
        <is>
          <t>https://static.cninfo.com.cn/finalpage/2025-04-25/1223281534.PDF</t>
        </is>
      </c>
    </row>
    <row r="6" ht="24" customHeight="1">
      <c r="B6" s="6" t="inlineStr">
        <is>
          <t>000158</t>
        </is>
      </c>
      <c r="C6" s="6" t="inlineStr">
        <is>
          <t>常山北明</t>
        </is>
      </c>
      <c r="D6" s="6" t="inlineStr">
        <is>
          <t>数据要素_数据存储</t>
        </is>
      </c>
      <c r="E6" s="6" t="inlineStr">
        <is>
          <t>重分类</t>
        </is>
      </c>
      <c r="F6" s="6" t="inlineStr">
        <is>
          <t>数据要素</t>
        </is>
      </c>
      <c r="G6" s="6" t="inlineStr">
        <is>
          <t>数据要素_数据治理</t>
        </is>
      </c>
      <c r="H6" s="6" t="inlineStr">
        <is>
          <t>相关</t>
        </is>
      </c>
      <c r="I6" s="6" t="inlineStr">
        <is>
          <t>北明软件具备数据资源化、产品化、资产化、资本化流程服务，配有数据资产管理平台，并在交通、港口及企业场景开展统一治理。收入仍主要来自系统集成、行业解决方案和定制软件，不属于底层存储产品。</t>
        </is>
      </c>
      <c r="J6" s="6" t="inlineStr">
        <is>
          <t>常山北明2025年年度报告</t>
        </is>
      </c>
      <c r="K6" s="6" t="inlineStr">
        <is>
          <t>2026-04-03</t>
        </is>
      </c>
      <c r="L6" s="6" t="inlineStr">
        <is>
          <t>iFinD ifind_get_stock_info (as of 2026-10-27)；常山北明2025年年度报告</t>
        </is>
      </c>
      <c r="M6" s="7" t="inlineStr">
        <is>
          <t>http://money.finance.sina.com.cn/corp/view/vCB_AllBulletinDetail.php?stockid=000158&amp;id=12060253</t>
        </is>
      </c>
    </row>
    <row r="7" ht="24" customHeight="1">
      <c r="B7" s="4" t="inlineStr">
        <is>
          <t>000503</t>
        </is>
      </c>
      <c r="C7" s="4" t="inlineStr">
        <is>
          <t>国新健康</t>
        </is>
      </c>
      <c r="D7" s="4" t="inlineStr">
        <is>
          <t>数据要素_医疗数据</t>
        </is>
      </c>
      <c r="E7" s="4" t="inlineStr">
        <is>
          <t>保留</t>
        </is>
      </c>
      <c r="F7" s="4" t="inlineStr">
        <is>
          <t>数据要素</t>
        </is>
      </c>
      <c r="G7" s="4" t="inlineStr">
        <is>
          <t>数据要素_医疗数据</t>
        </is>
      </c>
      <c r="H7" s="4" t="inlineStr">
        <is>
          <t>核心</t>
        </is>
      </c>
      <c r="I7" s="4" t="inlineStr">
        <is>
          <t>公司面向医保部门提供数据应用第三方服务并维护国家医保编码库，同时将商保核保、核赔数据产品上架流通。收费和交付围绕医保、医疗数据治理及场景化应用展开，数据资源与产品形态均明确。</t>
        </is>
      </c>
      <c r="J7" s="4" t="inlineStr">
        <is>
          <t>国新健康2025年年度报告</t>
        </is>
      </c>
      <c r="K7" s="4" t="inlineStr">
        <is>
          <t>2026-04-29</t>
        </is>
      </c>
      <c r="L7" s="4" t="inlineStr">
        <is>
          <t>iFinD ifind_get_stock_info (as of 2026-10-27)；国新健康2025年年度报告</t>
        </is>
      </c>
      <c r="M7" s="5" t="inlineStr">
        <is>
          <t>https://money.finance.sina.com.cn/corp/view/vCB_AllBulletinDetail.php?stockid=000503&amp;id=12247512</t>
        </is>
      </c>
    </row>
    <row r="8" ht="24" customHeight="1">
      <c r="B8" s="6" t="inlineStr">
        <is>
          <t>000681</t>
        </is>
      </c>
      <c r="C8" s="6" t="inlineStr">
        <is>
          <t>视觉中国</t>
        </is>
      </c>
      <c r="D8" s="6" t="inlineStr">
        <is>
          <t>数据要素_图片数据</t>
        </is>
      </c>
      <c r="E8" s="6" t="inlineStr">
        <is>
          <t>保留</t>
        </is>
      </c>
      <c r="F8" s="6" t="inlineStr">
        <is>
          <t>数据要素</t>
        </is>
      </c>
      <c r="G8" s="6" t="inlineStr">
        <is>
          <t>数据要素_图片数据</t>
        </is>
      </c>
      <c r="H8" s="6" t="inlineStr">
        <is>
          <t>核心</t>
        </is>
      </c>
      <c r="I8" s="6" t="inlineStr">
        <is>
          <t>公司拥有合规图片及多模态训练数据，提供采集、标注、审核、认证及授权服务，并通过API、沙箱等方式交付和参与分成。图片及多模态内容经过加工后形成可授权的数据产品，业务链条完整。</t>
        </is>
      </c>
      <c r="J8" s="6" t="inlineStr">
        <is>
          <t>视觉中国2025年半年度报告</t>
        </is>
      </c>
      <c r="K8" s="6" t="inlineStr">
        <is>
          <t>2025-08-28</t>
        </is>
      </c>
      <c r="L8" s="6" t="inlineStr">
        <is>
          <t>iFinD ifind_get_stock_info (as of 2026-10-27)；视觉中国2025年半年度报告</t>
        </is>
      </c>
      <c r="M8" s="7" t="inlineStr">
        <is>
          <t>http://static.cninfo.com.cn/finalpage/2025-08-28/1224596966.PDF</t>
        </is>
      </c>
    </row>
    <row r="9" ht="24" customHeight="1">
      <c r="B9" s="4" t="inlineStr">
        <is>
          <t>000815</t>
        </is>
      </c>
      <c r="C9" s="4" t="inlineStr">
        <is>
          <t>美利云</t>
        </is>
      </c>
      <c r="D9" s="4" t="inlineStr">
        <is>
          <t>数据要素_数据存储</t>
        </is>
      </c>
      <c r="E9" s="4" t="inlineStr">
        <is>
          <t>升级</t>
        </is>
      </c>
      <c r="F9" s="4" t="inlineStr">
        <is>
          <t>数据要素</t>
        </is>
      </c>
      <c r="G9" s="4" t="inlineStr">
        <is>
          <t>数据要素_数据存储</t>
        </is>
      </c>
      <c r="H9" s="4" t="inlineStr">
        <is>
          <t>相关</t>
        </is>
      </c>
      <c r="I9" s="4" t="inlineStr">
        <is>
          <t>公司已于2024年底停止造纸，旧“造纸为主”理由失效；誉成云创目前提供机架、网络接入及运维并按合同收费，云业务已成为主体。其本质仍是IDC基础设施服务，而非数据内容运营，故列相关而非核心。</t>
        </is>
      </c>
      <c r="J9" s="4" t="inlineStr">
        <is>
          <t>美利云2025年年度报告</t>
        </is>
      </c>
      <c r="K9" s="4" t="inlineStr">
        <is>
          <t>2026-04-24</t>
        </is>
      </c>
      <c r="L9" s="4" t="inlineStr">
        <is>
          <t>iFinD ifind_get_stock_info (as of 2026-10-27)；美利云2025年年度报告</t>
        </is>
      </c>
      <c r="M9" s="5" t="inlineStr">
        <is>
          <t>http://static.cninfo.com.cn/finalpage/2026-04-24/1225160605.PDF</t>
        </is>
      </c>
    </row>
    <row r="10" ht="24" customHeight="1">
      <c r="B10" s="6" t="inlineStr">
        <is>
          <t>000938</t>
        </is>
      </c>
      <c r="C10" s="6" t="inlineStr">
        <is>
          <t>紫光股份</t>
        </is>
      </c>
      <c r="D10" s="6" t="inlineStr">
        <is>
          <t>数据要素_数据存储</t>
        </is>
      </c>
      <c r="E10" s="6" t="inlineStr">
        <is>
          <t>保留</t>
        </is>
      </c>
      <c r="F10" s="6" t="inlineStr">
        <is>
          <t>数据要素</t>
        </is>
      </c>
      <c r="G10" s="6" t="inlineStr">
        <is>
          <t>数据要素_数据存储</t>
        </is>
      </c>
      <c r="H10" s="6" t="inlineStr">
        <is>
          <t>相关</t>
        </is>
      </c>
      <c r="I10" s="6" t="inlineStr">
        <is>
          <t>新华三ONEStor、UniStor等产品处理块、文件、对象及非结构化数据，通过软硬件、软件授权和解决方案交付。产品确属数据存储基础设施，但上市公司业务还覆盖网络、计算及云服务，因此维持相关。</t>
        </is>
      </c>
      <c r="J10" s="6" t="inlineStr">
        <is>
          <t>H3C ONEStor分布式存储软件</t>
        </is>
      </c>
      <c r="K10" s="6" t="inlineStr">
        <is>
          <t>无日期</t>
        </is>
      </c>
      <c r="L10" s="6" t="inlineStr">
        <is>
          <t>iFinD ifind_get_stock_info (as of 2026-10-27)；H3C ONEStor分布式存储软件</t>
        </is>
      </c>
      <c r="M10" s="7" t="inlineStr">
        <is>
          <t>https://www.h3c.com/cn/Products_And_Solution/Storage/H3C/Products/Mass_Storage_Device/Products_Series/Software/ONEStor_5.0/</t>
        </is>
      </c>
    </row>
    <row r="11" ht="24" customHeight="1">
      <c r="B11" s="4" t="inlineStr">
        <is>
          <t>000948</t>
        </is>
      </c>
      <c r="C11" s="4" t="inlineStr">
        <is>
          <t>南天信息</t>
        </is>
      </c>
      <c r="D11" s="4" t="inlineStr">
        <is>
          <t>数据要素_数据存储</t>
        </is>
      </c>
      <c r="E11" s="4" t="inlineStr">
        <is>
          <t>重分类</t>
        </is>
      </c>
      <c r="F11" s="4" t="inlineStr">
        <is>
          <t>数据要素</t>
        </is>
      </c>
      <c r="G11" s="4" t="inlineStr">
        <is>
          <t>数据要素_数据治理</t>
        </is>
      </c>
      <c r="H11" s="4" t="inlineStr">
        <is>
          <t>相关</t>
        </is>
      </c>
      <c r="I11" s="4" t="inlineStr">
        <is>
          <t>南天数据资产管理平台覆盖数据集成、治理、目录、盘点和运营，主要面向金融客户以IT项目方式交付。其价值在于把分散数据加工为可管理、可使用的资产，而非提供底层存储介质。</t>
        </is>
      </c>
      <c r="J11" s="4" t="inlineStr">
        <is>
          <t>南天数据资产管理平台</t>
        </is>
      </c>
      <c r="K11" s="4" t="inlineStr">
        <is>
          <t>2024-07-30</t>
        </is>
      </c>
      <c r="L11" s="4" t="inlineStr">
        <is>
          <t>iFinD ifind_get_stock_info (as of 2026-10-27)；南天数据资产管理平台</t>
        </is>
      </c>
      <c r="M11" s="5" t="inlineStr">
        <is>
          <t>https://www.nantian.com.cn/case-detail/2375.html</t>
        </is>
      </c>
    </row>
    <row r="12" ht="24" customHeight="1">
      <c r="B12" s="6" t="inlineStr">
        <is>
          <t>002065</t>
        </is>
      </c>
      <c r="C12" s="6" t="inlineStr">
        <is>
          <t>东华软件</t>
        </is>
      </c>
      <c r="D12" s="6" t="inlineStr">
        <is>
          <t>数据要素_交易所</t>
        </is>
      </c>
      <c r="E12" s="6" t="inlineStr">
        <is>
          <t>重分类</t>
        </is>
      </c>
      <c r="F12" s="6" t="inlineStr">
        <is>
          <t>数据要素</t>
        </is>
      </c>
      <c r="G12" s="6" t="inlineStr">
        <is>
          <t>数据要素_数据治理</t>
        </is>
      </c>
      <c r="H12" s="6" t="inlineStr">
        <is>
          <t>相关</t>
        </is>
      </c>
      <c r="I12" s="6" t="inlineStr">
        <is>
          <t>年报列明大数据平台、数据交易所及金融数据资产管理平台建设；“替代数据通”整合公积金、社保、税务、司法和工商数据。主要是软件、集成和项目交付，不能据此认定为交易所运营方。</t>
        </is>
      </c>
      <c r="J12" s="6" t="inlineStr">
        <is>
          <t>东华软件2025年年度报告</t>
        </is>
      </c>
      <c r="K12" s="6" t="inlineStr">
        <is>
          <t>2026-04-10</t>
        </is>
      </c>
      <c r="L12" s="6" t="inlineStr">
        <is>
          <t>iFinD ifind_get_stock_info (as of 2026-10-27)；东华软件2025年年度报告</t>
        </is>
      </c>
      <c r="M12" s="7" t="inlineStr">
        <is>
          <t>http://static.cninfo.com.cn/finalpage/2026-04-10/1225090051.PDF</t>
        </is>
      </c>
    </row>
    <row r="13" ht="24" customHeight="1">
      <c r="B13" s="4" t="inlineStr">
        <is>
          <t>002095</t>
        </is>
      </c>
      <c r="C13" s="4" t="inlineStr">
        <is>
          <t>生意宝</t>
        </is>
      </c>
      <c r="D13" s="4" t="inlineStr">
        <is>
          <t>数据要素_大宗数据</t>
        </is>
      </c>
      <c r="E13" s="4" t="inlineStr">
        <is>
          <t>升级</t>
        </is>
      </c>
      <c r="F13" s="4" t="inlineStr">
        <is>
          <t>数据要素</t>
        </is>
      </c>
      <c r="G13" s="4" t="inlineStr">
        <is>
          <t>数据要素_大宗数据</t>
        </is>
      </c>
      <c r="H13" s="4" t="inlineStr">
        <is>
          <t>核心</t>
        </is>
      </c>
      <c r="I13" s="4" t="inlineStr">
        <is>
          <t>生意社持续加工大宗商品价格数据，形成多品种基准价，并通过期货通订阅及价格、指数API提供服务。数据来源、加工过程、产品形态和订阅或接口交付方式均明确，大宗数据是直接产品。</t>
        </is>
      </c>
      <c r="J13" s="4" t="inlineStr">
        <is>
          <t>生意社接口服务</t>
        </is>
      </c>
      <c r="K13" s="4" t="inlineStr">
        <is>
          <t>2019-02-22</t>
        </is>
      </c>
      <c r="L13" s="4" t="inlineStr">
        <is>
          <t>iFinD ifind_get_stock_info (as of 2026-10-27)；生意社接口服务</t>
        </is>
      </c>
      <c r="M13" s="5" t="inlineStr">
        <is>
          <t>https://www.100ppi.com/help/service/api.html</t>
        </is>
      </c>
    </row>
    <row r="14" ht="24" customHeight="1">
      <c r="B14" s="6" t="inlineStr">
        <is>
          <t>002152</t>
        </is>
      </c>
      <c r="C14" s="6" t="inlineStr">
        <is>
          <t>广电运通</t>
        </is>
      </c>
      <c r="D14" s="6" t="inlineStr">
        <is>
          <t>数据要素_数据存储</t>
        </is>
      </c>
      <c r="E14" s="6" t="inlineStr">
        <is>
          <t>重分类</t>
        </is>
      </c>
      <c r="F14" s="6" t="inlineStr">
        <is>
          <t>数据要素</t>
        </is>
      </c>
      <c r="G14" s="6" t="inlineStr">
        <is>
          <t>数据要素_数据运营</t>
        </is>
      </c>
      <c r="H14" s="6" t="inlineStr">
        <is>
          <t>相关</t>
        </is>
      </c>
      <c r="I14" s="6" t="inlineStr">
        <is>
          <t>运通信息、清远数投参与公共数据运营，“清易贷”“清易保”等产品已上架，中数智汇拥有产业链及ESG数据集。业务覆盖数据治理、产品开发和场景运营，但上市公司仍包含大量智能终端业务。</t>
        </is>
      </c>
      <c r="J14" s="6" t="inlineStr">
        <is>
          <t>广电运通公共数据运营业务说明</t>
        </is>
      </c>
      <c r="K14" s="6" t="inlineStr">
        <is>
          <t>2025-08-01</t>
        </is>
      </c>
      <c r="L14" s="6" t="inlineStr">
        <is>
          <t>iFinD ifind_get_stock_info (as of 2026-10-27)；广电运通公共数据运营业务说明</t>
        </is>
      </c>
      <c r="M14" s="7" t="inlineStr">
        <is>
          <t>https://www.grgbanking.com/cn/news/detail.html?id=2308</t>
        </is>
      </c>
    </row>
    <row r="15" ht="24" customHeight="1">
      <c r="B15" s="4" t="inlineStr">
        <is>
          <t>002153</t>
        </is>
      </c>
      <c r="C15" s="4" t="inlineStr">
        <is>
          <t>石基信息</t>
        </is>
      </c>
      <c r="D15" s="4" t="inlineStr">
        <is>
          <t>数据要素_酒店数据</t>
        </is>
      </c>
      <c r="E15" s="4" t="inlineStr">
        <is>
          <t>保留</t>
        </is>
      </c>
      <c r="F15" s="4" t="inlineStr">
        <is>
          <t>数据要素</t>
        </is>
      </c>
      <c r="G15" s="4" t="inlineStr">
        <is>
          <t>数据要素_酒店数据</t>
        </is>
      </c>
      <c r="H15" s="4" t="inlineStr">
        <is>
          <t>相关</t>
        </is>
      </c>
      <c r="I15" s="4" t="inlineStr">
        <is>
          <t>DAYLIGHT PMS、Cambridge等系统处理酒店订单、餐饮和经营数据，并以SaaS订阅方式收费。公司持续处理行业数据，但主要销售酒店信息系统及订阅服务，而非独立数据库或数据产品。</t>
        </is>
      </c>
      <c r="J15" s="4" t="inlineStr">
        <is>
          <t>石基信息2024年年度报告摘要</t>
        </is>
      </c>
      <c r="K15" s="4" t="inlineStr">
        <is>
          <t>2025-04-29</t>
        </is>
      </c>
      <c r="L15" s="4" t="inlineStr">
        <is>
          <t>iFinD ifind_get_stock_info (as of 2026-10-27)；石基信息2024年年度报告摘要</t>
        </is>
      </c>
      <c r="M15" s="5" t="inlineStr">
        <is>
          <t>https://static.cninfo.com.cn/finalpage/2025-04-29/1223378885.PDF</t>
        </is>
      </c>
    </row>
    <row r="16" ht="24" customHeight="1">
      <c r="B16" s="6" t="inlineStr">
        <is>
          <t>002235</t>
        </is>
      </c>
      <c r="C16" s="6" t="inlineStr">
        <is>
          <t>安妮股份</t>
        </is>
      </c>
      <c r="D16" s="6" t="inlineStr">
        <is>
          <t>数据要素_数据确权</t>
        </is>
      </c>
      <c r="E16" s="6" t="inlineStr">
        <is>
          <t>升级</t>
        </is>
      </c>
      <c r="F16" s="6" t="inlineStr">
        <is>
          <t>数据要素</t>
        </is>
      </c>
      <c r="G16" s="6" t="inlineStr">
        <is>
          <t>数据要素_数据确权</t>
        </is>
      </c>
      <c r="H16" s="6" t="inlineStr">
        <is>
          <t>核心</t>
        </is>
      </c>
      <c r="I16" s="6" t="inlineStr">
        <is>
          <t>“版权家”提供确权、授权、维权、信息及资产管理，以区块链完成数字版权存证并记录授权全过程，具备明确的数据确权产品链条。版权业务收入占比有限，但产品与数据确权标签高度匹配。</t>
        </is>
      </c>
      <c r="J16" s="6" t="inlineStr">
        <is>
          <t>安妮股份2025年年度报告</t>
        </is>
      </c>
      <c r="K16" s="6" t="inlineStr">
        <is>
          <t>2026-04-28</t>
        </is>
      </c>
      <c r="L16" s="6" t="inlineStr">
        <is>
          <t>iFinD ifind_get_stock_info (as of 2026-10-27)；安妮股份2025年年度报告</t>
        </is>
      </c>
      <c r="M16" s="7" t="inlineStr">
        <is>
          <t>https://money.finance.sina.com.cn/corp/view/vCB_AllBulletinDetail.php?stockid=002235&amp;id=12229256</t>
        </is>
      </c>
    </row>
    <row r="17" ht="24" customHeight="1">
      <c r="B17" s="4" t="inlineStr">
        <is>
          <t>002238</t>
        </is>
      </c>
      <c r="C17" s="4" t="inlineStr">
        <is>
          <t>天威视讯</t>
        </is>
      </c>
      <c r="D17" s="4" t="inlineStr">
        <is>
          <t>数据要素_网络可视化监管</t>
        </is>
      </c>
      <c r="E17" s="4" t="inlineStr">
        <is>
          <t>重分类</t>
        </is>
      </c>
      <c r="F17" s="4" t="inlineStr">
        <is>
          <t>数据要素</t>
        </is>
      </c>
      <c r="G17" s="4" t="inlineStr">
        <is>
          <t>数据要素_数据存储</t>
        </is>
      </c>
      <c r="H17" s="4" t="inlineStr">
        <is>
          <t>相关</t>
        </is>
      </c>
      <c r="I17" s="4" t="inlineStr">
        <is>
          <t>未找到公司从事网络可视化监管的可靠证据；其深汕、南山、龙华数据中心提供机柜托管、服务器及网络资源租用，更符合数据存储基础设施。上市公司主业仍包含有线电视，故列相关。</t>
        </is>
      </c>
      <c r="J17" s="4" t="inlineStr">
        <is>
          <t>天威视讯2025年年度报告</t>
        </is>
      </c>
      <c r="K17" s="4" t="inlineStr">
        <is>
          <t>2026-04-22</t>
        </is>
      </c>
      <c r="L17" s="4" t="inlineStr">
        <is>
          <t>iFinD ifind_get_stock_info (as of 2026-10-27)；天威视讯2025年年度报告</t>
        </is>
      </c>
      <c r="M17" s="5" t="inlineStr">
        <is>
          <t>https://static.cninfo.com.cn/finalpage/2026-04-22/1225142912.PDF</t>
        </is>
      </c>
    </row>
    <row r="18" ht="24" customHeight="1">
      <c r="B18" s="6" t="inlineStr">
        <is>
          <t>002331</t>
        </is>
      </c>
      <c r="C18" s="6" t="inlineStr">
        <is>
          <t>皖通科技</t>
        </is>
      </c>
      <c r="D18" s="6" t="inlineStr">
        <is>
          <t>数据要素_交通数据</t>
        </is>
      </c>
      <c r="E18" s="6" t="inlineStr">
        <is>
          <t>保留</t>
        </is>
      </c>
      <c r="F18" s="6" t="inlineStr">
        <is>
          <t>数据要素</t>
        </is>
      </c>
      <c r="G18" s="6" t="inlineStr">
        <is>
          <t>数据要素_交通数据</t>
        </is>
      </c>
      <c r="H18" s="6" t="inlineStr">
        <is>
          <t>相关</t>
        </is>
      </c>
      <c r="I18" s="6" t="inlineStr">
        <is>
          <t>港航云、CiTOS和交通数据中台汇聚车流、闸口、堆场及物流订单数据，用于港航和交通管理场景。相关能力主要随软硬件、系统集成和运维项目交付，尚未体现独立数据销售成为主体。</t>
        </is>
      </c>
      <c r="J18" s="6" t="inlineStr">
        <is>
          <t>皖通科技：以数据要素激活交通发展新势能</t>
        </is>
      </c>
      <c r="K18" s="6" t="inlineStr">
        <is>
          <t>无可靠日期</t>
        </is>
      </c>
      <c r="L18" s="6" t="inlineStr">
        <is>
          <t>iFinD ifind_get_stock_info (as of 2026-10-27)；皖通科技：以数据要素激活交通发展新势能</t>
        </is>
      </c>
      <c r="M18" s="7" t="inlineStr">
        <is>
          <t>http://www.wantong-tech.net/detail/21_2165</t>
        </is>
      </c>
    </row>
    <row r="19" ht="24" customHeight="1">
      <c r="B19" s="4" t="inlineStr">
        <is>
          <t>002368</t>
        </is>
      </c>
      <c r="C19" s="4" t="inlineStr">
        <is>
          <t>太极股份</t>
        </is>
      </c>
      <c r="D19" s="4" t="inlineStr">
        <is>
          <t>数据要素_数据存储</t>
        </is>
      </c>
      <c r="E19" s="4" t="inlineStr">
        <is>
          <t>重分类</t>
        </is>
      </c>
      <c r="F19" s="4" t="inlineStr">
        <is>
          <t>数据要素</t>
        </is>
      </c>
      <c r="G19" s="4" t="inlineStr">
        <is>
          <t>数据要素_数据库</t>
        </is>
      </c>
      <c r="H19" s="4" t="inlineStr">
        <is>
          <t>相关</t>
        </is>
      </c>
      <c r="I19" s="4" t="inlineStr">
        <is>
          <t>电科金仓KingbaseES、KES及分布式HTAP数据库通过许可、一体机和项目方式交付，承担数据组织、查询、事务处理和管理功能。产品层级是数据库软件，不等同于通用存储设备。</t>
        </is>
      </c>
      <c r="J19" s="4" t="inlineStr">
        <is>
          <t>太极股份2024年年度报告</t>
        </is>
      </c>
      <c r="K19" s="4" t="inlineStr">
        <is>
          <t>2025-04-02</t>
        </is>
      </c>
      <c r="L19" s="4" t="inlineStr">
        <is>
          <t>iFinD ifind_get_stock_info (as of 2026-10-27)；太极股份2024年年度报告</t>
        </is>
      </c>
      <c r="M19" s="5" t="inlineStr">
        <is>
          <t>https://money.finance.sina.com.cn/corp/view/vCB_AllBulletinDetail.php?stockid=002368&amp;id=10840405</t>
        </is>
      </c>
    </row>
    <row r="20" ht="24" customHeight="1">
      <c r="B20" s="6" t="inlineStr">
        <is>
          <t>002373</t>
        </is>
      </c>
      <c r="C20" s="6" t="inlineStr">
        <is>
          <t>千方科技</t>
        </is>
      </c>
      <c r="D20" s="6" t="inlineStr">
        <is>
          <t>数据要素_交通数据</t>
        </is>
      </c>
      <c r="E20" s="6" t="inlineStr">
        <is>
          <t>保留</t>
        </is>
      </c>
      <c r="F20" s="6" t="inlineStr">
        <is>
          <t>数据要素</t>
        </is>
      </c>
      <c r="G20" s="6" t="inlineStr">
        <is>
          <t>数据要素_交通数据</t>
        </is>
      </c>
      <c r="H20" s="6" t="inlineStr">
        <is>
          <t>相关</t>
        </is>
      </c>
      <c r="I20" s="6" t="inlineStr">
        <is>
          <t>交通大数据中台及全国公路网平台汇聚视频、收费、位置、货运和气象数据，以产品结合数据运营及TOCC项目交付。公司具有明确交通数据资源和应用能力，但交付仍与系统建设深度融合。</t>
        </is>
      </c>
      <c r="J20" s="6" t="inlineStr">
        <is>
          <t>千方科技参加2023数据资产管理大会</t>
        </is>
      </c>
      <c r="K20" s="6" t="inlineStr">
        <is>
          <t>2023-12-21</t>
        </is>
      </c>
      <c r="L20" s="6" t="inlineStr">
        <is>
          <t>iFinD ifind_get_stock_info (as of 2026-10-27)；千方科技参加2023数据资产管理大会</t>
        </is>
      </c>
      <c r="M20" s="7" t="inlineStr">
        <is>
          <t>https://www.ctfo.com/newsDetails?id=1852</t>
        </is>
      </c>
    </row>
    <row r="21" ht="24" customHeight="1">
      <c r="B21" s="4" t="inlineStr">
        <is>
          <t>002401</t>
        </is>
      </c>
      <c r="C21" s="4" t="inlineStr">
        <is>
          <t>中远海科</t>
        </is>
      </c>
      <c r="D21" s="4" t="inlineStr">
        <is>
          <t>数据要素_航运数据</t>
        </is>
      </c>
      <c r="E21" s="4" t="inlineStr">
        <is>
          <t>升级</t>
        </is>
      </c>
      <c r="F21" s="4" t="inlineStr">
        <is>
          <t>数据要素</t>
        </is>
      </c>
      <c r="G21" s="4" t="inlineStr">
        <is>
          <t>数据要素_航运数据</t>
        </is>
      </c>
      <c r="H21" s="4" t="inlineStr">
        <is>
          <t>核心</t>
        </is>
      </c>
      <c r="I21" s="4" t="inlineStr">
        <is>
          <t>“船视宝”以SaaS、API和半定制方式交付，并在上海数交所等挂牌；全要素航运数据集已形成规模化产品。数字航运与供应链是主要业务板块，数据产品、收费方式和业务占比均有支撑。</t>
        </is>
      </c>
      <c r="J21" s="4" t="inlineStr">
        <is>
          <t>中远海科2025年年度报告</t>
        </is>
      </c>
      <c r="K21" s="4" t="inlineStr">
        <is>
          <t>2026-03-28</t>
        </is>
      </c>
      <c r="L21" s="4" t="inlineStr">
        <is>
          <t>iFinD ifind_get_stock_info (as of 2026-10-27)；中远海科2025年年度报告</t>
        </is>
      </c>
      <c r="M21" s="5" t="inlineStr">
        <is>
          <t>http://money.finance.sina.com.cn/corp/view/vCB_AllBulletinDetail.php?stockid=002401&amp;id=12027926</t>
        </is>
      </c>
    </row>
    <row r="22" ht="24" customHeight="1">
      <c r="B22" s="6" t="inlineStr">
        <is>
          <t>002410</t>
        </is>
      </c>
      <c r="C22" s="6" t="inlineStr">
        <is>
          <t>广联达</t>
        </is>
      </c>
      <c r="D22" s="6" t="inlineStr">
        <is>
          <t>数据要素_其他行业数据</t>
        </is>
      </c>
      <c r="E22" s="6" t="inlineStr">
        <is>
          <t>保留</t>
        </is>
      </c>
      <c r="F22" s="6" t="inlineStr">
        <is>
          <t>数据要素</t>
        </is>
      </c>
      <c r="G22" s="6" t="inlineStr">
        <is>
          <t>数据要素_其他行业数据</t>
        </is>
      </c>
      <c r="H22" s="6" t="inlineStr">
        <is>
          <t>核心</t>
        </is>
      </c>
      <c r="I22" s="6" t="inlineStr">
        <is>
          <t>广材网、广材助手提供信息价、市场价、采购建议价及人工询价，指标网提供成本、清单和劳务数据，并与计价软件打通。建筑造价数据经持续加工形成订阅及软件数据服务。</t>
        </is>
      </c>
      <c r="J22" s="6" t="inlineStr">
        <is>
          <t>广联达广材数据服务</t>
        </is>
      </c>
      <c r="K22" s="6" t="inlineStr">
        <is>
          <t>2025-08-27</t>
        </is>
      </c>
      <c r="L22" s="6" t="inlineStr">
        <is>
          <t>iFinD ifind_get_stock_info (as of 2026-10-27)；广联达广材数据服务</t>
        </is>
      </c>
      <c r="M22" s="7" t="inlineStr">
        <is>
          <t>https://www.glodon.com/product/209.html</t>
        </is>
      </c>
    </row>
    <row r="23" ht="24" customHeight="1">
      <c r="B23" s="4" t="inlineStr">
        <is>
          <t>002609</t>
        </is>
      </c>
      <c r="C23" s="4" t="inlineStr">
        <is>
          <t>捷顺科技</t>
        </is>
      </c>
      <c r="D23" s="4" t="inlineStr">
        <is>
          <t>数据要素_汽车数据</t>
        </is>
      </c>
      <c r="E23" s="4" t="inlineStr">
        <is>
          <t>降级重分类</t>
        </is>
      </c>
      <c r="F23" s="4" t="inlineStr">
        <is>
          <t>数据要素</t>
        </is>
      </c>
      <c r="G23" s="4" t="inlineStr">
        <is>
          <t>数据要素_交通数据</t>
        </is>
      </c>
      <c r="H23" s="4" t="inlineStr">
        <is>
          <t>相关</t>
        </is>
      </c>
      <c r="I23" s="4" t="inlineStr">
        <is>
          <t>捷停车、顺易通汇聚停车场、车位和缴费数据，以交易手续费、车位代运营及数据产品挂牌交付。智慧停车运营尚非全部收入主体，硬件和资产运营仍重要，因此归停车交通数据相关而非泛汽车数据核心。</t>
        </is>
      </c>
      <c r="J23" s="4" t="inlineStr">
        <is>
          <t>捷顺科技2025年年度报告</t>
        </is>
      </c>
      <c r="K23" s="4" t="inlineStr">
        <is>
          <t>2026-04-30</t>
        </is>
      </c>
      <c r="L23" s="4" t="inlineStr">
        <is>
          <t>iFinD ifind_get_stock_info (as of 2026-10-27)；捷顺科技2025年年度报告</t>
        </is>
      </c>
      <c r="M23" s="5" t="inlineStr">
        <is>
          <t>https://money.finance.sina.com.cn/corp/view/vCB_AllBulletinDetail.php?stockid=002609&amp;id=12285782</t>
        </is>
      </c>
    </row>
    <row r="24" ht="24" customHeight="1">
      <c r="B24" s="6" t="inlineStr">
        <is>
          <t>002642</t>
        </is>
      </c>
      <c r="C24" s="6" t="inlineStr">
        <is>
          <t>荣联科技</t>
        </is>
      </c>
      <c r="D24" s="6" t="inlineStr">
        <is>
          <t>数据要素_数据存储</t>
        </is>
      </c>
      <c r="E24" s="6" t="inlineStr">
        <is>
          <t>保留</t>
        </is>
      </c>
      <c r="F24" s="6" t="inlineStr">
        <is>
          <t>数据要素</t>
        </is>
      </c>
      <c r="G24" s="6" t="inlineStr">
        <is>
          <t>数据要素_数据存储</t>
        </is>
      </c>
      <c r="H24" s="6" t="inlineStr">
        <is>
          <t>相关</t>
        </is>
      </c>
      <c r="I24" s="6" t="inlineStr">
        <is>
          <t>为企业建设数据中心、存储和容灾系统，并对物联网、生物医疗数据做清洗、备份和分析，收入按系统集成、技术服务和产品交付。未见自有数据库或独立数据订阅主产品，维持数据存储相关。</t>
        </is>
      </c>
      <c r="J24" s="6" t="inlineStr">
        <is>
          <t>荣联科技2025年年度报告</t>
        </is>
      </c>
      <c r="K24" s="6" t="inlineStr">
        <is>
          <t>2026-03-28</t>
        </is>
      </c>
      <c r="L24" s="6" t="inlineStr">
        <is>
          <t>iFinD ifind_get_stock_info (as of 2026-10-27)；荣联科技2025年年度报告</t>
        </is>
      </c>
      <c r="M24" s="7" t="inlineStr">
        <is>
          <t>https://static.cninfo.com.cn/finalpage/2026-03-28/1225043883.PDF</t>
        </is>
      </c>
    </row>
    <row r="25" ht="24" customHeight="1">
      <c r="B25" s="4" t="inlineStr">
        <is>
          <t>002649</t>
        </is>
      </c>
      <c r="C25" s="4" t="inlineStr">
        <is>
          <t>博彦科技</t>
        </is>
      </c>
      <c r="D25" s="4" t="inlineStr">
        <is>
          <t>数据要素_数据标注</t>
        </is>
      </c>
      <c r="E25" s="4" t="inlineStr">
        <is>
          <t>保留</t>
        </is>
      </c>
      <c r="F25" s="4" t="inlineStr">
        <is>
          <t>数据要素</t>
        </is>
      </c>
      <c r="G25" s="4" t="inlineStr">
        <is>
          <t>数据要素_数据标注</t>
        </is>
      </c>
      <c r="H25" s="4" t="inlineStr">
        <is>
          <t>相关</t>
        </is>
      </c>
      <c r="I25" s="4" t="inlineStr">
        <is>
          <t>人工智能计算平台、AI Agent平台把训练数据标注嵌入模型开发、训练和部署一站式方案，按项目及研发工程收费。公司主体仍是IT外包与运维，未见标注数据集作为独立主产品。</t>
        </is>
      </c>
      <c r="J25" s="4" t="inlineStr">
        <is>
          <t>博彦科技2025年半年度报告</t>
        </is>
      </c>
      <c r="K25" s="4" t="inlineStr">
        <is>
          <t>2025-08-28</t>
        </is>
      </c>
      <c r="L25" s="4" t="inlineStr">
        <is>
          <t>iFinD ifind_get_stock_info (as of 2026-10-27)；博彦科技2025年半年度报告</t>
        </is>
      </c>
      <c r="M25" s="5" t="inlineStr">
        <is>
          <t>https://vip.stock.finance.sina.com.cn/corp/view/vCB_AllBulletinDetail.php?stockid=002649&amp;id=11397085</t>
        </is>
      </c>
    </row>
    <row r="26" ht="24" customHeight="1">
      <c r="B26" s="6" t="inlineStr">
        <is>
          <t>002777</t>
        </is>
      </c>
      <c r="C26" s="6" t="inlineStr">
        <is>
          <t>久远银海</t>
        </is>
      </c>
      <c r="D26" s="6" t="inlineStr">
        <is>
          <t>数据要素_医疗数据</t>
        </is>
      </c>
      <c r="E26" s="6" t="inlineStr">
        <is>
          <t>保留</t>
        </is>
      </c>
      <c r="F26" s="6" t="inlineStr">
        <is>
          <t>数据要素</t>
        </is>
      </c>
      <c r="G26" s="6" t="inlineStr">
        <is>
          <t>数据要素_医疗数据</t>
        </is>
      </c>
      <c r="H26" s="6" t="inlineStr">
        <is>
          <t>相关</t>
        </is>
      </c>
      <c r="I26" s="6" t="inlineStr">
        <is>
          <t>诚信宝、医商通、信用就医及津医保处理医保、医疗和人社数据，以软件、运维和联合运营交付，贵州子公司提供商保结算等服务。数据产品已落地但收入仍归入软件运维。</t>
        </is>
      </c>
      <c r="J26" s="6" t="inlineStr">
        <is>
          <t>久远银海2025年年度报告</t>
        </is>
      </c>
      <c r="K26" s="6" t="inlineStr">
        <is>
          <t>2026-03-27</t>
        </is>
      </c>
      <c r="L26" s="6" t="inlineStr">
        <is>
          <t>iFinD ifind_get_stock_info (as of 2026-10-27)；久远银海2025年年度报告</t>
        </is>
      </c>
      <c r="M26" s="7" t="inlineStr">
        <is>
          <t>https://money.finance.sina.com.cn/corp/view/vCB_AllBulletinDetail.php?stockid=002777&amp;id=12020502</t>
        </is>
      </c>
    </row>
    <row r="27" ht="24" customHeight="1">
      <c r="B27" s="4" t="inlineStr">
        <is>
          <t>002908</t>
        </is>
      </c>
      <c r="C27" s="4" t="inlineStr">
        <is>
          <t>德生科技</t>
        </is>
      </c>
      <c r="D27" s="4" t="inlineStr">
        <is>
          <t>数据要素_其他行业数据</t>
        </is>
      </c>
      <c r="E27" s="4" t="inlineStr">
        <is>
          <t>升级</t>
        </is>
      </c>
      <c r="F27" s="4" t="inlineStr">
        <is>
          <t>数据要素</t>
        </is>
      </c>
      <c r="G27" s="4" t="inlineStr">
        <is>
          <t>数据要素_其他行业数据</t>
        </is>
      </c>
      <c r="H27" s="4" t="inlineStr">
        <is>
          <t>核心</t>
        </is>
      </c>
      <c r="I27" s="4" t="inlineStr">
        <is>
          <t>全口径劳动力平台、就业分析及政务核验产品处理授权人社和就业数据，通过就业运营、数据专区运维及服务合同收费。人社运营及大数据服务已是明确主要产品，数据服务并非单纯内部自用。</t>
        </is>
      </c>
      <c r="J27" s="4" t="inlineStr">
        <is>
          <t>德生科技2025年年度报告</t>
        </is>
      </c>
      <c r="K27" s="4" t="inlineStr">
        <is>
          <t>2026-04-25</t>
        </is>
      </c>
      <c r="L27" s="4" t="inlineStr">
        <is>
          <t>iFinD ifind_get_stock_info (as of 2026-10-27)；德生科技2025年年度报告</t>
        </is>
      </c>
      <c r="M27" s="5" t="inlineStr">
        <is>
          <t>https://money.finance.sina.com.cn/corp/view/vCB_AllBulletinDetail.php?stockid=002908&amp;id=12189979</t>
        </is>
      </c>
    </row>
    <row r="28" ht="24" customHeight="1">
      <c r="B28" s="6" t="inlineStr">
        <is>
          <t>002912</t>
        </is>
      </c>
      <c r="C28" s="6" t="inlineStr">
        <is>
          <t>中新赛克</t>
        </is>
      </c>
      <c r="D28" s="6" t="inlineStr">
        <is>
          <t>数据要素_网络可视化监管</t>
        </is>
      </c>
      <c r="E28" s="6" t="inlineStr">
        <is>
          <t>保留</t>
        </is>
      </c>
      <c r="F28" s="6" t="inlineStr">
        <is>
          <t>数据要素</t>
        </is>
      </c>
      <c r="G28" s="6" t="inlineStr">
        <is>
          <t>数据要素_网络可视化监管</t>
        </is>
      </c>
      <c r="H28" s="6" t="inlineStr">
        <is>
          <t>相关</t>
        </is>
      </c>
      <c r="I28" s="6" t="inlineStr">
        <is>
          <t>宽带网、移动网产品提取网络流量，DFP、AIP及数据融合平台做多模态研判，以软硬件、安装调试和培训交付。主体仍是网络可视化监管设备和方案，数据运营产品占比较小。</t>
        </is>
      </c>
      <c r="J28" s="6" t="inlineStr">
        <is>
          <t>中新赛克2025年年度报告</t>
        </is>
      </c>
      <c r="K28" s="6" t="inlineStr">
        <is>
          <t>2026-03-18</t>
        </is>
      </c>
      <c r="L28" s="6" t="inlineStr">
        <is>
          <t>iFinD ifind_get_stock_info (as of 2026-10-27)；中新赛克2025年年度报告</t>
        </is>
      </c>
      <c r="M28" s="7" t="inlineStr">
        <is>
          <t>https://money.finance.sina.com.cn/corp/view/vCB_AllBulletinDetail.php?stockid=002912&amp;id=12001026</t>
        </is>
      </c>
    </row>
    <row r="29" ht="24" customHeight="1">
      <c r="B29" s="4" t="inlineStr">
        <is>
          <t>003005</t>
        </is>
      </c>
      <c r="C29" s="4" t="inlineStr">
        <is>
          <t>竞业达</t>
        </is>
      </c>
      <c r="D29" s="4" t="inlineStr">
        <is>
          <t>数据要素_其他行业数据</t>
        </is>
      </c>
      <c r="E29" s="4" t="inlineStr">
        <is>
          <t>重分类</t>
        </is>
      </c>
      <c r="F29" s="4" t="inlineStr">
        <is>
          <t>数据要素</t>
        </is>
      </c>
      <c r="G29" s="4" t="inlineStr">
        <is>
          <t>数据要素_教育数据</t>
        </is>
      </c>
      <c r="H29" s="4" t="inlineStr">
        <is>
          <t>相关</t>
        </is>
      </c>
      <c r="I29" s="4" t="inlineStr">
        <is>
          <t>星云产业需求数据库、课堂质量诊断和AIGC服务处理教学、考务数据，以教育信息化方案、产品和订阅交付。安全中台仅提供招考视频、证书和密钥安全，不是独立数据安全产品。</t>
        </is>
      </c>
      <c r="J29" s="4" t="inlineStr">
        <is>
          <t>竞业达2025年年度报告摘要</t>
        </is>
      </c>
      <c r="K29" s="4" t="inlineStr">
        <is>
          <t>2026-04-29</t>
        </is>
      </c>
      <c r="L29" s="4" t="inlineStr">
        <is>
          <t>iFinD ifind_get_stock_info (as of 2026-10-27)；竞业达2025年年度报告摘要</t>
        </is>
      </c>
      <c r="M29" s="5" t="inlineStr">
        <is>
          <t>https://disc.static.szse.cn/download/disc/disk03/finalpage/2026-04-29/19917dfc-97c1-477c-a9f1-85880ace76cc.PDF</t>
        </is>
      </c>
    </row>
    <row r="30" ht="24" customHeight="1">
      <c r="B30" s="6" t="inlineStr">
        <is>
          <t>300166</t>
        </is>
      </c>
      <c r="C30" s="6" t="inlineStr">
        <is>
          <t>东方国信</t>
        </is>
      </c>
      <c r="D30" s="6" t="inlineStr">
        <is>
          <t>数据要素_数据清洗</t>
        </is>
      </c>
      <c r="E30" s="6" t="inlineStr">
        <is>
          <t>降级</t>
        </is>
      </c>
      <c r="F30" s="6" t="inlineStr">
        <is>
          <t>数据要素</t>
        </is>
      </c>
      <c r="G30" s="6" t="inlineStr">
        <is>
          <t>数据要素_数据清洗</t>
        </is>
      </c>
      <c r="H30" s="6" t="inlineStr">
        <is>
          <t>相关</t>
        </is>
      </c>
      <c r="I30" s="6" t="inlineStr">
        <is>
          <t>CirroData、BELAKE及“早安老板”处理企业、标讯数据的采集、清洗、标注和检索，以定制软件、系统集成和软件产品交付。数据清洗并非独立主产品，且公司明确称未与北数所合作，交易所映射删除。</t>
        </is>
      </c>
      <c r="J30" s="6" t="inlineStr">
        <is>
          <t>东方国信2025年年度报告及互动平台答复</t>
        </is>
      </c>
      <c r="K30" s="6" t="inlineStr">
        <is>
          <t>2026-04-24</t>
        </is>
      </c>
      <c r="L30" s="6" t="inlineStr">
        <is>
          <t>iFinD ifind_get_stock_info (as of 2026-10-27)；东方国信2025年年度报告及互动平台答复</t>
        </is>
      </c>
      <c r="M30" s="7" t="inlineStr">
        <is>
          <t>https://money.finance.sina.com.cn/corp/view/vCB_AllBulletinDetail.php?stockid=300166&amp;id=12175116</t>
        </is>
      </c>
    </row>
    <row r="31" ht="24" customHeight="1">
      <c r="B31" s="4" t="inlineStr">
        <is>
          <t>300168</t>
        </is>
      </c>
      <c r="C31" s="4" t="inlineStr">
        <is>
          <t>万达信息</t>
        </is>
      </c>
      <c r="D31" s="4" t="inlineStr">
        <is>
          <t>数据要素_交易所</t>
        </is>
      </c>
      <c r="E31" s="4" t="inlineStr">
        <is>
          <t>重分类</t>
        </is>
      </c>
      <c r="F31" s="4" t="inlineStr">
        <is>
          <t>数据要素</t>
        </is>
      </c>
      <c r="G31" s="4" t="inlineStr">
        <is>
          <t>数据要素_医疗数据</t>
        </is>
      </c>
      <c r="H31" s="4" t="inlineStr">
        <is>
          <t>相关</t>
        </is>
      </c>
      <c r="I31" s="4" t="inlineStr">
        <is>
          <t>OMOP糖尿病模型评估、“灵素”体检解读和宁波医疗流通平台处理医疗健康数据，以软件开发、运维、授权运营及挂牌产品交付。公司是上数所第三方服务商而非交易所运营方。</t>
        </is>
      </c>
      <c r="J31" s="4" t="inlineStr">
        <is>
          <t>万达信息2025年年度报告</t>
        </is>
      </c>
      <c r="K31" s="4" t="inlineStr">
        <is>
          <t>2026-04-29</t>
        </is>
      </c>
      <c r="L31" s="4" t="inlineStr">
        <is>
          <t>iFinD ifind_get_stock_info (as of 2026-10-27)；万达信息2025年年度报告</t>
        </is>
      </c>
      <c r="M31" s="5" t="inlineStr">
        <is>
          <t>http://file.finance.sina.com.cn/211.154.219.97:9494/MRGG/CNSESZ_STOCK/2026/2026-4/2026-04-29/12242514.PDF</t>
        </is>
      </c>
    </row>
    <row r="32" ht="24" customHeight="1">
      <c r="B32" s="6" t="inlineStr">
        <is>
          <t>300226</t>
        </is>
      </c>
      <c r="C32" s="6" t="inlineStr">
        <is>
          <t>上海钢联</t>
        </is>
      </c>
      <c r="D32" s="6" t="inlineStr">
        <is>
          <t>数据要素_大宗数据</t>
        </is>
      </c>
      <c r="E32" s="6" t="inlineStr">
        <is>
          <t>保留</t>
        </is>
      </c>
      <c r="F32" s="6" t="inlineStr">
        <is>
          <t>数据要素</t>
        </is>
      </c>
      <c r="G32" s="6" t="inlineStr">
        <is>
          <t>数据要素_大宗数据</t>
        </is>
      </c>
      <c r="H32" s="6" t="inlineStr">
        <is>
          <t>核心</t>
        </is>
      </c>
      <c r="I32" s="6" t="inlineStr">
        <is>
          <t>Mysteel、钢联数据终端和隆众资讯持续采集钢铁、能源等价格、库存及供需数据，通过数据订阅、数据接口、研究咨询收费。客户购买对象就是持续更新的商品数据和研究成果。</t>
        </is>
      </c>
      <c r="J32" s="6" t="inlineStr">
        <is>
          <t>上海钢联2025年年度报告</t>
        </is>
      </c>
      <c r="K32" s="6" t="inlineStr">
        <is>
          <t>2026-04-28</t>
        </is>
      </c>
      <c r="L32" s="6" t="inlineStr">
        <is>
          <t>iFinD ifind_get_stock_info (as of 2026-10-27)；上海钢联2025年年度报告</t>
        </is>
      </c>
      <c r="M32" s="7" t="inlineStr">
        <is>
          <t>http://money.finance.sina.com.cn/corp/view/vCB_AllBulletinDetail.php?stockid=300226&amp;id=12225019</t>
        </is>
      </c>
    </row>
    <row r="33" ht="24" customHeight="1">
      <c r="B33" s="4" t="inlineStr">
        <is>
          <t>300250</t>
        </is>
      </c>
      <c r="C33" s="4" t="inlineStr">
        <is>
          <t>初灵信息</t>
        </is>
      </c>
      <c r="D33" s="4" t="inlineStr">
        <is>
          <t>数据要素_数据分析</t>
        </is>
      </c>
      <c r="E33" s="4" t="inlineStr">
        <is>
          <t>保留</t>
        </is>
      </c>
      <c r="F33" s="4" t="inlineStr">
        <is>
          <t>数据要素</t>
        </is>
      </c>
      <c r="G33" s="4" t="inlineStr">
        <is>
          <t>数据要素_数据分析</t>
        </is>
      </c>
      <c r="H33" s="4" t="inlineStr">
        <is>
          <t>相关</t>
        </is>
      </c>
      <c r="I33" s="4" t="inlineStr">
        <is>
          <t>DPI数据感知系统、EDPP平台采集解析运营商网络流量，并提供故障定位、视频用户行为分析，主要通过招标销售系统和扩容升级服务。交付的是分析平台而非独立数据库。</t>
        </is>
      </c>
      <c r="J33" s="4" t="inlineStr">
        <is>
          <t>初灵信息2025年年度报告</t>
        </is>
      </c>
      <c r="K33" s="4" t="inlineStr">
        <is>
          <t>2026-04-27</t>
        </is>
      </c>
      <c r="L33" s="4" t="inlineStr">
        <is>
          <t>iFinD ifind_get_stock_info (as of 2026-10-27)；初灵信息2025年年度报告</t>
        </is>
      </c>
      <c r="M33" s="5" t="inlineStr">
        <is>
          <t>https://money.finance.sina.com.cn/corp/view/vCB_AllBulletinDetail.php?stockid=300250&amp;id=12205319</t>
        </is>
      </c>
    </row>
    <row r="34" ht="24" customHeight="1">
      <c r="B34" s="6" t="inlineStr">
        <is>
          <t>300271</t>
        </is>
      </c>
      <c r="C34" s="6" t="inlineStr">
        <is>
          <t>华宇软件</t>
        </is>
      </c>
      <c r="D34" s="6" t="inlineStr">
        <is>
          <t>数据要素_司法数据</t>
        </is>
      </c>
      <c r="E34" s="6" t="inlineStr">
        <is>
          <t>保留</t>
        </is>
      </c>
      <c r="F34" s="6" t="inlineStr">
        <is>
          <t>数据要素</t>
        </is>
      </c>
      <c r="G34" s="6" t="inlineStr">
        <is>
          <t>数据要素_司法数据</t>
        </is>
      </c>
      <c r="H34" s="6" t="inlineStr">
        <is>
          <t>相关</t>
        </is>
      </c>
      <c r="I34" s="6" t="inlineStr">
        <is>
          <t>法律高质量数据集、万象问数处理裁判文书、法规和检察业务数据，以法律大模型、应用软件、系统建设及运维交付。数据主要支撑自有AI和客户办案，未见独立司法数据订阅成为主产品。</t>
        </is>
      </c>
      <c r="J34" s="6" t="inlineStr">
        <is>
          <t>华宇软件2025年年度报告</t>
        </is>
      </c>
      <c r="K34" s="6" t="inlineStr">
        <is>
          <t>2026-04-28</t>
        </is>
      </c>
      <c r="L34" s="6" t="inlineStr">
        <is>
          <t>iFinD ifind_get_stock_info (as of 2026-10-27)；华宇软件2025年年度报告</t>
        </is>
      </c>
      <c r="M34" s="7" t="inlineStr">
        <is>
          <t>https://static.cninfo.com.cn/finalpage/2026-04-28/1225213050.PDF</t>
        </is>
      </c>
    </row>
    <row r="35" ht="24" customHeight="1">
      <c r="B35" s="4" t="inlineStr">
        <is>
          <t>300287</t>
        </is>
      </c>
      <c r="C35" s="4" t="inlineStr">
        <is>
          <t>飞利信</t>
        </is>
      </c>
      <c r="D35" s="4" t="inlineStr">
        <is>
          <t>数据要素_数据清洗</t>
        </is>
      </c>
      <c r="E35" s="4" t="inlineStr">
        <is>
          <t>保留</t>
        </is>
      </c>
      <c r="F35" s="4" t="inlineStr">
        <is>
          <t>数据要素</t>
        </is>
      </c>
      <c r="G35" s="4" t="inlineStr">
        <is>
          <t>数据要素_数据清洗</t>
        </is>
      </c>
      <c r="H35" s="4" t="inlineStr">
        <is>
          <t>相关</t>
        </is>
      </c>
      <c r="I35" s="4" t="inlineStr">
        <is>
          <t>诺玛大数据平台、KingMap和可信数据空间整合电网、政务及时空数据，提供治理、分析和跨域协同，按数据软件及项目交付。数据软件是业务板块之一，但清洗并非独立数据商品。</t>
        </is>
      </c>
      <c r="J35" s="4" t="inlineStr">
        <is>
          <t>飞利信2025年半年度报告</t>
        </is>
      </c>
      <c r="K35" s="4" t="inlineStr">
        <is>
          <t>2025-08-29</t>
        </is>
      </c>
      <c r="L35" s="4" t="inlineStr">
        <is>
          <t>iFinD ifind_get_stock_info (as of 2026-10-27)；飞利信2025年半年度报告</t>
        </is>
      </c>
      <c r="M35" s="5" t="inlineStr">
        <is>
          <t>https://money.finance.sina.com.cn/corp/view/vCB_AllBulletinDetail.php?stockid=300287&amp;id=11412326</t>
        </is>
      </c>
    </row>
    <row r="36" ht="24" customHeight="1">
      <c r="B36" s="6" t="inlineStr">
        <is>
          <t>300311</t>
        </is>
      </c>
      <c r="C36" s="6" t="inlineStr">
        <is>
          <t>任子行</t>
        </is>
      </c>
      <c r="D36" s="6" t="inlineStr">
        <is>
          <t>数据要素_数据安全</t>
        </is>
      </c>
      <c r="E36" s="6" t="inlineStr">
        <is>
          <t>保留</t>
        </is>
      </c>
      <c r="F36" s="6" t="inlineStr">
        <is>
          <t>数据要素</t>
        </is>
      </c>
      <c r="G36" s="6" t="inlineStr">
        <is>
          <t>数据要素_数据安全</t>
        </is>
      </c>
      <c r="H36" s="6" t="inlineStr">
        <is>
          <t>相关</t>
        </is>
      </c>
      <c r="I36" s="6" t="inlineStr">
        <is>
          <t>数安智鉴、数安智巡、数安智枢对文件和数据库分类分级、敏感识别及风险监测，以网络安全软硬件和定制方案销售。产品直接对应数据安全而非数据交易，且已有检测认证。</t>
        </is>
      </c>
      <c r="J36" s="6" t="inlineStr">
        <is>
          <t>任子行2025年年度报告</t>
        </is>
      </c>
      <c r="K36" s="6" t="inlineStr">
        <is>
          <t>2026-04-28</t>
        </is>
      </c>
      <c r="L36" s="6" t="inlineStr">
        <is>
          <t>iFinD ifind_get_stock_info (as of 2026-10-27)；任子行2025年年度报告</t>
        </is>
      </c>
      <c r="M36" s="7" t="inlineStr">
        <is>
          <t>http://file.finance.sina.com.cn/211.154.219.97:9494/MRGG/CNSESZ_STOCK/2026/2026-4/2026-04-28/12232475.PDF</t>
        </is>
      </c>
    </row>
    <row r="37" ht="24" customHeight="1">
      <c r="B37" s="4" t="inlineStr">
        <is>
          <t>300364</t>
        </is>
      </c>
      <c r="C37" s="4" t="inlineStr">
        <is>
          <t>中文在线</t>
        </is>
      </c>
      <c r="D37" s="4" t="inlineStr">
        <is>
          <t>数据要素_内容数据</t>
        </is>
      </c>
      <c r="E37" s="4" t="inlineStr">
        <is>
          <t>保留</t>
        </is>
      </c>
      <c r="F37" s="4" t="inlineStr">
        <is>
          <t>数据要素</t>
        </is>
      </c>
      <c r="G37" s="4" t="inlineStr">
        <is>
          <t>数据要素_内容数据</t>
        </is>
      </c>
      <c r="H37" s="4" t="inlineStr">
        <is>
          <t>核心</t>
        </is>
      </c>
      <c r="I37" s="4" t="inlineStr">
        <is>
          <t>公司聚合出版物、原创文学、音频、视频及平行语料等版权数据，向大模型企业签数据内容及服务合同，同时通过阅读、IP授权变现。多模态语料已是可独立授权产品。</t>
        </is>
      </c>
      <c r="J37" s="4" t="inlineStr">
        <is>
          <t>中文在线2025年半年度报告</t>
        </is>
      </c>
      <c r="K37" s="4" t="inlineStr">
        <is>
          <t>2025-08-23</t>
        </is>
      </c>
      <c r="L37" s="4" t="inlineStr">
        <is>
          <t>iFinD ifind_get_stock_info (as of 2026-10-27)；中文在线2025年半年度报告</t>
        </is>
      </c>
      <c r="M37" s="5" t="inlineStr">
        <is>
          <t>https://static.cninfo.com.cn/finalpage/2025-08-23/1224558446.PDF</t>
        </is>
      </c>
    </row>
    <row r="38" ht="24" customHeight="1">
      <c r="B38" s="6" t="inlineStr">
        <is>
          <t>300469</t>
        </is>
      </c>
      <c r="C38" s="6" t="inlineStr">
        <is>
          <t>信息发展</t>
        </is>
      </c>
      <c r="D38" s="6" t="inlineStr">
        <is>
          <t>数据要素_交通数据</t>
        </is>
      </c>
      <c r="E38" s="6" t="inlineStr">
        <is>
          <t>保留</t>
        </is>
      </c>
      <c r="F38" s="6" t="inlineStr">
        <is>
          <t>数据要素</t>
        </is>
      </c>
      <c r="G38" s="6" t="inlineStr">
        <is>
          <t>数据要素_交通数据</t>
        </is>
      </c>
      <c r="H38" s="6" t="inlineStr">
        <is>
          <t>相关</t>
        </is>
      </c>
      <c r="I38" s="6" t="inlineStr">
        <is>
          <t>交信北斗海南北斗平台处理车辆轨迹、驾驶行为及路网数据，向保险机构提供统计分析和风控报告并收服务费，另按轨迹查询计费。现阶段仍有大量终端和项目交付。</t>
        </is>
      </c>
      <c r="J38" s="6" t="inlineStr">
        <is>
          <t>信息发展2025年年度报告</t>
        </is>
      </c>
      <c r="K38" s="6" t="inlineStr">
        <is>
          <t>2026-04-29</t>
        </is>
      </c>
      <c r="L38" s="6" t="inlineStr">
        <is>
          <t>iFinD ifind_get_stock_info (as of 2026-10-27)；信息发展2025年年度报告</t>
        </is>
      </c>
      <c r="M38" s="7" t="inlineStr">
        <is>
          <t>https://money.finance.sina.com.cn/corp/view/vCB_AllBulletinDetail.php?stockid=300469&amp;id=12269930</t>
        </is>
      </c>
    </row>
    <row r="39" ht="24" customHeight="1">
      <c r="B39" s="4" t="inlineStr">
        <is>
          <t>300609</t>
        </is>
      </c>
      <c r="C39" s="4" t="inlineStr">
        <is>
          <t>汇纳科技</t>
        </is>
      </c>
      <c r="D39" s="4" t="inlineStr">
        <is>
          <t>数据要素_数据分析</t>
        </is>
      </c>
      <c r="E39" s="4" t="inlineStr">
        <is>
          <t>保留</t>
        </is>
      </c>
      <c r="F39" s="4" t="inlineStr">
        <is>
          <t>数据要素</t>
        </is>
      </c>
      <c r="G39" s="4" t="inlineStr">
        <is>
          <t>数据要素_数据分析</t>
        </is>
      </c>
      <c r="H39" s="4" t="inlineStr">
        <is>
          <t>核心</t>
        </is>
      </c>
      <c r="I39" s="4" t="inlineStr">
        <is>
          <t>汇客云及客流分析系统处理商场、门店客流和经营数据，向零售品牌提供选址、预测、监测订阅，并向商务部门交付客流分析。数据订阅已形成经常性收入且为主要产品线。</t>
        </is>
      </c>
      <c r="J39" s="4" t="inlineStr">
        <is>
          <t>汇纳科技2025年年度报告摘要</t>
        </is>
      </c>
      <c r="K39" s="4" t="inlineStr">
        <is>
          <t>2026-04-25</t>
        </is>
      </c>
      <c r="L39" s="4" t="inlineStr">
        <is>
          <t>iFinD ifind_get_stock_info (as of 2026-10-27)；汇纳科技2025年年度报告摘要</t>
        </is>
      </c>
      <c r="M39" s="5" t="inlineStr">
        <is>
          <t>https://money.finance.sina.com.cn/corp/view/vCB_AllBulletinDetail.php?stockid=300609&amp;id=12198404</t>
        </is>
      </c>
    </row>
    <row r="40" ht="24" customHeight="1">
      <c r="B40" s="6" t="inlineStr">
        <is>
          <t>300766</t>
        </is>
      </c>
      <c r="C40" s="6" t="inlineStr">
        <is>
          <t>每日互动</t>
        </is>
      </c>
      <c r="D40" s="6" t="inlineStr">
        <is>
          <t>数据要素_营销数据</t>
        </is>
      </c>
      <c r="E40" s="6" t="inlineStr">
        <is>
          <t>保留</t>
        </is>
      </c>
      <c r="F40" s="6" t="inlineStr">
        <is>
          <t>数据要素</t>
        </is>
      </c>
      <c r="G40" s="6" t="inlineStr">
        <is>
          <t>数据要素_营销数据</t>
        </is>
      </c>
      <c r="H40" s="6" t="inlineStr">
        <is>
          <t>核心</t>
        </is>
      </c>
      <c r="I40" s="6" t="inlineStr">
        <is>
          <t>营销数盘、增能与风控服务将授权移动数据加工为标签、向量“数件”，按SaaS、接口及数据服务收费。数据服务是绝对主产品；联合计算安全是实现方式，不另标数据安全。</t>
        </is>
      </c>
      <c r="J40" s="6" t="inlineStr">
        <is>
          <t>每日互动2025年年度报告</t>
        </is>
      </c>
      <c r="K40" s="6" t="inlineStr">
        <is>
          <t>2026-04-29</t>
        </is>
      </c>
      <c r="L40" s="6" t="inlineStr">
        <is>
          <t>iFinD ifind_get_stock_info (as of 2026-10-27)；每日互动2025年年度报告</t>
        </is>
      </c>
      <c r="M40" s="7" t="inlineStr">
        <is>
          <t>http://static.cninfo.com.cn/finalpage/2026-04-29/1225238383.PDF</t>
        </is>
      </c>
    </row>
    <row r="41" ht="24" customHeight="1">
      <c r="B41" s="4" t="inlineStr">
        <is>
          <t>300768</t>
        </is>
      </c>
      <c r="C41" s="4" t="inlineStr">
        <is>
          <t>迪普科技</t>
        </is>
      </c>
      <c r="D41" s="4" t="inlineStr">
        <is>
          <t>数据要素_网络可视化监管</t>
        </is>
      </c>
      <c r="E41" s="4" t="inlineStr">
        <is>
          <t>保留</t>
        </is>
      </c>
      <c r="F41" s="4" t="inlineStr">
        <is>
          <t>数据要素</t>
        </is>
      </c>
      <c r="G41" s="4" t="inlineStr">
        <is>
          <t>数据要素_网络可视化监管</t>
        </is>
      </c>
      <c r="H41" s="4" t="inlineStr">
        <is>
          <t>相关</t>
        </is>
      </c>
      <c r="I41" s="4" t="inlineStr">
        <is>
          <t>加密流量编排、全流量态势感知及数据分类分级产品解析网络流量、识别敏感数据，主要以安全软硬件、应用交付和运营服务销售。价值在安全检测防护而非数据资源运营。</t>
        </is>
      </c>
      <c r="J41" s="4" t="inlineStr">
        <is>
          <t>迪普科技2025年年度报告</t>
        </is>
      </c>
      <c r="K41" s="4" t="inlineStr">
        <is>
          <t>2026-04-14</t>
        </is>
      </c>
      <c r="L41" s="4" t="inlineStr">
        <is>
          <t>iFinD ifind_get_stock_info (as of 2026-10-27)；迪普科技2025年年度报告</t>
        </is>
      </c>
      <c r="M41" s="5" t="inlineStr">
        <is>
          <t>http://money.finance.sina.com.cn/corp/view/vCB_AllBulletinDetail.php?stockid=300768&amp;id=12084823</t>
        </is>
      </c>
    </row>
    <row r="42" ht="24" customHeight="1">
      <c r="B42" s="6" t="inlineStr">
        <is>
          <t>300807</t>
        </is>
      </c>
      <c r="C42" s="6" t="inlineStr">
        <is>
          <t>天迈科技</t>
        </is>
      </c>
      <c r="D42" s="6" t="inlineStr">
        <is>
          <t>数据要素_交通数据</t>
        </is>
      </c>
      <c r="E42" s="6" t="inlineStr">
        <is>
          <t>保留</t>
        </is>
      </c>
      <c r="F42" s="6" t="inlineStr">
        <is>
          <t>数据要素</t>
        </is>
      </c>
      <c r="G42" s="6" t="inlineStr">
        <is>
          <t>数据要素_交通数据</t>
        </is>
      </c>
      <c r="H42" s="6" t="inlineStr">
        <is>
          <t>相关</t>
        </is>
      </c>
      <c r="I42" s="6" t="inlineStr">
        <is>
          <t>公交数据决策大脑融合车辆、客流、手机信令和城市规划数据，输出线网优化、调度及监测报告，以智能调度系统、软件项目和运维交付。平台服务公交企业自身经营，未见独立数据商品。</t>
        </is>
      </c>
      <c r="J42" s="6" t="inlineStr">
        <is>
          <t>天迈科技2025年年度报告</t>
        </is>
      </c>
      <c r="K42" s="6" t="inlineStr">
        <is>
          <t>2026-04-13</t>
        </is>
      </c>
      <c r="L42" s="6" t="inlineStr">
        <is>
          <t>iFinD ifind_get_stock_info (as of 2026-10-27)；天迈科技2025年年度报告</t>
        </is>
      </c>
      <c r="M42" s="7" t="inlineStr">
        <is>
          <t>http://money.finance.sina.com.cn/corp/view/vCB_AllBulletinDetail.php?stockid=300807&amp;id=12082189</t>
        </is>
      </c>
    </row>
    <row r="43" ht="24" customHeight="1">
      <c r="B43" s="4" t="inlineStr">
        <is>
          <t>300895</t>
        </is>
      </c>
      <c r="C43" s="4" t="inlineStr">
        <is>
          <t>铜牛信息</t>
        </is>
      </c>
      <c r="D43" s="4" t="inlineStr">
        <is>
          <t>数据要素_数据存储</t>
        </is>
      </c>
      <c r="E43" s="4" t="inlineStr">
        <is>
          <t>保留</t>
        </is>
      </c>
      <c r="F43" s="4" t="inlineStr">
        <is>
          <t>数据要素</t>
        </is>
      </c>
      <c r="G43" s="4" t="inlineStr">
        <is>
          <t>数据要素_数据存储</t>
        </is>
      </c>
      <c r="H43" s="4" t="inlineStr">
        <is>
          <t>相关</t>
        </is>
      </c>
      <c r="I43" s="4" t="inlineStr">
        <is>
          <t>自建IDC和云平台为客户托管服务器，提供带宽、备份、恢复和日志分析，按资源、托管及系统集成收费。公司承载客户数据而不生产或运营自有数据内容，属于数据存储基础设施。</t>
        </is>
      </c>
      <c r="J43" s="4" t="inlineStr">
        <is>
          <t>铜牛信息2025年年度报告</t>
        </is>
      </c>
      <c r="K43" s="4" t="inlineStr">
        <is>
          <t>2026-04-23</t>
        </is>
      </c>
      <c r="L43" s="4" t="inlineStr">
        <is>
          <t>iFinD ifind_get_stock_info (as of 2026-10-27)；铜牛信息2025年年度报告</t>
        </is>
      </c>
      <c r="M43" s="5" t="inlineStr">
        <is>
          <t>https://money.finance.sina.com.cn/corp/view/vCB_AllBulletinDetail.php?stockid=300895&amp;id=12153341</t>
        </is>
      </c>
    </row>
    <row r="44" ht="24" customHeight="1">
      <c r="B44" s="6" t="inlineStr">
        <is>
          <t>301159</t>
        </is>
      </c>
      <c r="C44" s="6" t="inlineStr">
        <is>
          <t>三维天地</t>
        </is>
      </c>
      <c r="D44" s="6" t="inlineStr">
        <is>
          <t>数据要素_数据清洗</t>
        </is>
      </c>
      <c r="E44" s="6" t="inlineStr">
        <is>
          <t>保留</t>
        </is>
      </c>
      <c r="F44" s="6" t="inlineStr">
        <is>
          <t>数据要素</t>
        </is>
      </c>
      <c r="G44" s="6" t="inlineStr">
        <is>
          <t>数据要素_数据清洗</t>
        </is>
      </c>
      <c r="H44" s="6" t="inlineStr">
        <is>
          <t>核心</t>
        </is>
      </c>
      <c r="I44" s="6" t="inlineStr">
        <is>
          <t>数据资产管理平台、质量大数据平台直接处理主数据、元数据及质量规则，提供清洗、校验和标准化功能；通过软件许可、实施及运维交付，治理软件本身就是明确产品。</t>
        </is>
      </c>
      <c r="J44" s="6" t="inlineStr">
        <is>
          <t>三维天地2024年年度报告</t>
        </is>
      </c>
      <c r="K44" s="6" t="inlineStr">
        <is>
          <t>2025-04-25</t>
        </is>
      </c>
      <c r="L44" s="6" t="inlineStr">
        <is>
          <t>iFinD ifind_get_stock_info (as of 2026-10-27)；三维天地2024年年度报告</t>
        </is>
      </c>
      <c r="M44" s="7" t="inlineStr">
        <is>
          <t>https://static.cninfo.com.cn/finalpage/2025-04-25/1223266716.pdf</t>
        </is>
      </c>
    </row>
    <row r="45" ht="24" customHeight="1">
      <c r="B45" s="4" t="inlineStr">
        <is>
          <t>301169</t>
        </is>
      </c>
      <c r="C45" s="4" t="inlineStr">
        <is>
          <t>零点有数</t>
        </is>
      </c>
      <c r="D45" s="4" t="inlineStr">
        <is>
          <t>数据要素_数据分析</t>
        </is>
      </c>
      <c r="E45" s="4" t="inlineStr">
        <is>
          <t>保留</t>
        </is>
      </c>
      <c r="F45" s="4" t="inlineStr">
        <is>
          <t>数据要素</t>
        </is>
      </c>
      <c r="G45" s="4" t="inlineStr">
        <is>
          <t>数据要素_数据分析</t>
        </is>
      </c>
      <c r="H45" s="4" t="inlineStr">
        <is>
          <t>核心</t>
        </is>
      </c>
      <c r="I45" s="4" t="inlineStr">
        <is>
          <t>决策分析报告和数据智能应用软件将自主采集、外购及客户数据接入垂直算法模型，形成评估、预测和决策结果；按定制报告、可视化网页、本地部署或SaaS收费，分析结果即主要交付物。</t>
        </is>
      </c>
      <c r="J45" s="4" t="inlineStr">
        <is>
          <t>零点有数2024年度董事会工作报告</t>
        </is>
      </c>
      <c r="K45" s="4" t="inlineStr">
        <is>
          <t>2025-04-21</t>
        </is>
      </c>
      <c r="L45" s="4" t="inlineStr">
        <is>
          <t>iFinD ifind_get_stock_info (as of 2026-10-27)；零点有数2024年度董事会工作报告</t>
        </is>
      </c>
      <c r="M45" s="5" t="inlineStr">
        <is>
          <t>https://static.cninfo.com.cn/finalpage/2025-04-21/1223155909.PDF</t>
        </is>
      </c>
    </row>
    <row r="46" ht="24" customHeight="1">
      <c r="B46" s="6" t="inlineStr">
        <is>
          <t>301178</t>
        </is>
      </c>
      <c r="C46" s="6" t="inlineStr">
        <is>
          <t>天亿马</t>
        </is>
      </c>
      <c r="D46" s="6" t="inlineStr">
        <is>
          <t>数据要素_数据确权</t>
        </is>
      </c>
      <c r="E46" s="6" t="inlineStr">
        <is>
          <t>保留</t>
        </is>
      </c>
      <c r="F46" s="6" t="inlineStr">
        <is>
          <t>数据要素</t>
        </is>
      </c>
      <c r="G46" s="6" t="inlineStr">
        <is>
          <t>数据要素_数据确权</t>
        </is>
      </c>
      <c r="H46" s="6" t="inlineStr">
        <is>
          <t>相关</t>
        </is>
      </c>
      <c r="I46" s="6" t="inlineStr">
        <is>
          <t>控股子公司广东翼启提供公共数据与企业数据融合产品，并覆盖资源普查治理、确权登记、资产管理和入表系统；以解决方案及项目实施收费，系统集成仍为主要业务。</t>
        </is>
      </c>
      <c r="J46" s="6" t="inlineStr">
        <is>
          <t>天亿马2025年半年度报告</t>
        </is>
      </c>
      <c r="K46" s="6" t="inlineStr">
        <is>
          <t>2025-08-29</t>
        </is>
      </c>
      <c r="L46" s="6" t="inlineStr">
        <is>
          <t>iFinD ifind_get_stock_info (as of 2026-10-27)；天亿马2025年半年度报告</t>
        </is>
      </c>
      <c r="M46" s="7" t="inlineStr">
        <is>
          <t>https://vip.stock.finance.sina.com.cn/corp/view/vCB_AllBulletinDetail.php?stockid=301178&amp;id=11412299</t>
        </is>
      </c>
    </row>
    <row r="47" ht="24" customHeight="1">
      <c r="B47" s="4" t="inlineStr">
        <is>
          <t>301299</t>
        </is>
      </c>
      <c r="C47" s="4" t="inlineStr">
        <is>
          <t>卓创资讯</t>
        </is>
      </c>
      <c r="D47" s="4" t="inlineStr">
        <is>
          <t>数据要素_大宗数据</t>
        </is>
      </c>
      <c r="E47" s="4" t="inlineStr">
        <is>
          <t>保留</t>
        </is>
      </c>
      <c r="F47" s="4" t="inlineStr">
        <is>
          <t>数据要素</t>
        </is>
      </c>
      <c r="G47" s="4" t="inlineStr">
        <is>
          <t>数据要素_大宗数据</t>
        </is>
      </c>
      <c r="H47" s="4" t="inlineStr">
        <is>
          <t>核心</t>
        </is>
      </c>
      <c r="I47" s="4" t="inlineStr">
        <is>
          <t>数据中心、数据终端及定制服务持续处理能源、化工、农业和金属的价格、库存、成本利润、贸易流向数据；以数据包、订阅终端和定制加工交付，客户购买对象就是大宗商品数据。</t>
        </is>
      </c>
      <c r="J47" s="4" t="inlineStr">
        <is>
          <t>卓创资讯2024年年度报告</t>
        </is>
      </c>
      <c r="K47" s="4" t="inlineStr">
        <is>
          <t>2025-04-21</t>
        </is>
      </c>
      <c r="L47" s="4" t="inlineStr">
        <is>
          <t>iFinD ifind_get_stock_info (as of 2026-10-27)；卓创资讯2024年年度报告</t>
        </is>
      </c>
      <c r="M47" s="5" t="inlineStr">
        <is>
          <t>http://static.cninfo.com.cn/finalpage/2025-04-21/1223147927.PDF</t>
        </is>
      </c>
    </row>
    <row r="48" ht="24" customHeight="1">
      <c r="B48" s="6" t="inlineStr">
        <is>
          <t>301313</t>
        </is>
      </c>
      <c r="C48" s="6" t="inlineStr">
        <is>
          <t>凡拓数创</t>
        </is>
      </c>
      <c r="D48" s="6" t="inlineStr">
        <is>
          <t>物理AI_数据采集</t>
        </is>
      </c>
      <c r="E48" s="6" t="inlineStr">
        <is>
          <t>重分类</t>
        </is>
      </c>
      <c r="F48" s="6" t="inlineStr">
        <is>
          <t>数据要素</t>
        </is>
      </c>
      <c r="G48" s="6" t="inlineStr">
        <is>
          <t>数据要素_其他行业数据</t>
        </is>
      </c>
      <c r="H48" s="6" t="inlineStr">
        <is>
          <t>相关</t>
        </is>
      </c>
      <c r="I48" s="6" t="inlineStr">
        <is>
          <t>AI 3D数字孪生平台融合GIS、BIM、CIM、行业模型及感知数据，用于工业、水利水务和城市仿真；主要以软件及系统集成项目交付，数据是孪生应用输入而非独立销售的数据集。</t>
        </is>
      </c>
      <c r="J48" s="6" t="inlineStr">
        <is>
          <t>凡拓数创2024年年度报告</t>
        </is>
      </c>
      <c r="K48" s="6" t="inlineStr">
        <is>
          <t>2025-04-25</t>
        </is>
      </c>
      <c r="L48" s="6" t="inlineStr">
        <is>
          <t>iFinD ifind_get_stock_info (as of 2026-10-27)；凡拓数创2024年年度报告</t>
        </is>
      </c>
      <c r="M48" s="7" t="inlineStr">
        <is>
          <t>https://money.finance.sina.com.cn/corp/view/vCB_AllBulletinDetail.php?stockid=301313&amp;id=10973301</t>
        </is>
      </c>
    </row>
    <row r="49" ht="24" customHeight="1">
      <c r="B49" s="4" t="inlineStr">
        <is>
          <t>301339</t>
        </is>
      </c>
      <c r="C49" s="4" t="inlineStr">
        <is>
          <t>通行宝</t>
        </is>
      </c>
      <c r="D49" s="4" t="inlineStr">
        <is>
          <t>数据要素_交通数据</t>
        </is>
      </c>
      <c r="E49" s="4" t="inlineStr">
        <is>
          <t>保留</t>
        </is>
      </c>
      <c r="F49" s="4" t="inlineStr">
        <is>
          <t>数据要素</t>
        </is>
      </c>
      <c r="G49" s="4" t="inlineStr">
        <is>
          <t>数据要素_交通数据</t>
        </is>
      </c>
      <c r="H49" s="4" t="inlineStr">
        <is>
          <t>相关</t>
        </is>
      </c>
      <c r="I49" s="4" t="inlineStr">
        <is>
          <t>ETC与慧交通平台沉淀车辆通行、货车及供应链协同数据，并向金融机构和合作方提供引流、风控等生态服务。收入仍主要来自ETC和交通系统，数据资产业务规模较小。</t>
        </is>
      </c>
      <c r="J49" s="4" t="inlineStr">
        <is>
          <t>通行宝2024年年度报告</t>
        </is>
      </c>
      <c r="K49" s="4" t="inlineStr">
        <is>
          <t>2025-03-28</t>
        </is>
      </c>
      <c r="L49" s="4" t="inlineStr">
        <is>
          <t>iFinD ifind_get_stock_info (as of 2026-10-27)；通行宝2024年年度报告</t>
        </is>
      </c>
      <c r="M49" s="5" t="inlineStr">
        <is>
          <t>https://money.finance.sina.com.cn/corp/view/vCB_AllBulletinDetail.php?stockid=301339&amp;id=10816711</t>
        </is>
      </c>
    </row>
    <row r="50" ht="24" customHeight="1">
      <c r="B50" s="6" t="inlineStr">
        <is>
          <t>301378</t>
        </is>
      </c>
      <c r="C50" s="6" t="inlineStr">
        <is>
          <t>通达海</t>
        </is>
      </c>
      <c r="D50" s="6" t="inlineStr">
        <is>
          <t>数据要素_司法数据</t>
        </is>
      </c>
      <c r="E50" s="6" t="inlineStr">
        <is>
          <t>保留</t>
        </is>
      </c>
      <c r="F50" s="6" t="inlineStr">
        <is>
          <t>数据要素</t>
        </is>
      </c>
      <c r="G50" s="6" t="inlineStr">
        <is>
          <t>数据要素_司法数据</t>
        </is>
      </c>
      <c r="H50" s="6" t="inlineStr">
        <is>
          <t>相关</t>
        </is>
      </c>
      <c r="I50" s="6" t="inlineStr">
        <is>
          <t>法院办案平台及子公司江苏诉服达处理卷宗、诉讼材料，提供数字化加工、智能编目、校验和挖掘分析；按软件开发验收、平台业务量及司法辅助工作量结算，并非出售独立司法数据库。</t>
        </is>
      </c>
      <c r="J50" s="6" t="inlineStr">
        <is>
          <t>通达海2024年年度报告摘要</t>
        </is>
      </c>
      <c r="K50" s="6" t="inlineStr">
        <is>
          <t>2025-04-24</t>
        </is>
      </c>
      <c r="L50" s="6" t="inlineStr">
        <is>
          <t>iFinD ifind_get_stock_info (as of 2026-10-27)；通达海2024年年度报告摘要</t>
        </is>
      </c>
      <c r="M50" s="7" t="inlineStr">
        <is>
          <t>http://static.cninfo.com.cn/finalpage/2025-04-24/1223234726.PDF</t>
        </is>
      </c>
    </row>
    <row r="51" ht="24" customHeight="1">
      <c r="B51" s="4" t="inlineStr">
        <is>
          <t>600037</t>
        </is>
      </c>
      <c r="C51" s="4" t="inlineStr">
        <is>
          <t>歌华有线</t>
        </is>
      </c>
      <c r="D51" s="4" t="inlineStr">
        <is>
          <t>数据要素_数据存储</t>
        </is>
      </c>
      <c r="E51" s="4" t="inlineStr">
        <is>
          <t>保留</t>
        </is>
      </c>
      <c r="F51" s="4" t="inlineStr">
        <is>
          <t>数据要素</t>
        </is>
      </c>
      <c r="G51" s="4" t="inlineStr">
        <is>
          <t>数据要素_数据存储</t>
        </is>
      </c>
      <c r="H51" s="4" t="inlineStr">
        <is>
          <t>相关</t>
        </is>
      </c>
      <c r="I51" s="4" t="inlineStr">
        <is>
          <t>主营仍为北京地区有线电视网络，同时建设“歌华云”混合云并具备IaaS、PaaS、SaaS能力，为集团客户提供云和数据业务服务。按云资源及项目服务收费，属于存储基础设施。</t>
        </is>
      </c>
      <c r="J51" s="4" t="inlineStr">
        <is>
          <t>歌华有线2024年年度报告</t>
        </is>
      </c>
      <c r="K51" s="4" t="inlineStr">
        <is>
          <t>2025-04-25</t>
        </is>
      </c>
      <c r="L51" s="4" t="inlineStr">
        <is>
          <t>iFinD ifind_get_stock_info (as of 2026-10-27)；歌华有线2024年年度报告</t>
        </is>
      </c>
      <c r="M51" s="5" t="inlineStr">
        <is>
          <t>http://money.finance.sina.com.cn/corp/view/vCB_AllBulletinDetail.php?stockid=600037&amp;id=10962081</t>
        </is>
      </c>
    </row>
    <row r="52" ht="24" customHeight="1">
      <c r="B52" s="6" t="inlineStr">
        <is>
          <t>600050</t>
        </is>
      </c>
      <c r="C52" s="6" t="inlineStr">
        <is>
          <t>中国联通</t>
        </is>
      </c>
      <c r="D52" s="6" t="inlineStr">
        <is>
          <t>数据要素_数据存储</t>
        </is>
      </c>
      <c r="E52" s="6" t="inlineStr">
        <is>
          <t>保留</t>
        </is>
      </c>
      <c r="F52" s="6" t="inlineStr">
        <is>
          <t>数据要素</t>
        </is>
      </c>
      <c r="G52" s="6" t="inlineStr">
        <is>
          <t>数据要素_数据存储</t>
        </is>
      </c>
      <c r="H52" s="6" t="inlineStr">
        <is>
          <t>相关</t>
        </is>
      </c>
      <c r="I52" s="6" t="inlineStr">
        <is>
          <t>联通云和数据中心面向政企提供云网、机柜、存储及算力资源，按通信、云资源和数据中心服务收费。虽另有政务数据平台及可信数据空间，集团主要交付仍是连接和算网基础设施。</t>
        </is>
      </c>
      <c r="J52" s="6" t="inlineStr">
        <is>
          <t>中国联通2024年年度报告摘要</t>
        </is>
      </c>
      <c r="K52" s="6" t="inlineStr">
        <is>
          <t>2025-03-18</t>
        </is>
      </c>
      <c r="L52" s="6" t="inlineStr">
        <is>
          <t>iFinD ifind_get_stock_info (as of 2026-10-27)；中国联通2024年年度报告摘要</t>
        </is>
      </c>
      <c r="M52" s="7" t="inlineStr">
        <is>
          <t>http://file.finance.sina.com.cn/211.154.219.97:9494/MRGG/CNSESH_STOCK/2025/2025-3/2025-03-19/10790569.PDF</t>
        </is>
      </c>
    </row>
    <row r="53" ht="24" customHeight="1">
      <c r="B53" s="4" t="inlineStr">
        <is>
          <t>600100</t>
        </is>
      </c>
      <c r="C53" s="4" t="inlineStr">
        <is>
          <t>同方股份</t>
        </is>
      </c>
      <c r="D53" s="4" t="inlineStr">
        <is>
          <t>数据要素_学术数据</t>
        </is>
      </c>
      <c r="E53" s="4" t="inlineStr">
        <is>
          <t>保留</t>
        </is>
      </c>
      <c r="F53" s="4" t="inlineStr">
        <is>
          <t>数据要素</t>
        </is>
      </c>
      <c r="G53" s="4" t="inlineStr">
        <is>
          <t>数据要素_学术数据</t>
        </is>
      </c>
      <c r="H53" s="4" t="inlineStr">
        <is>
          <t>核心</t>
        </is>
      </c>
      <c r="I53" s="4" t="inlineStr">
        <is>
          <t>同方知网运营中国知识资源总库及学术期刊、博硕士论文、年鉴等数据库，对文献进行集成加工和检索服务；通过机构订阅、知识服务及挂牌数据产品收费，学术数据库是独立产品。</t>
        </is>
      </c>
      <c r="J53" s="4" t="inlineStr">
        <is>
          <t>同方股份2024年年度报告</t>
        </is>
      </c>
      <c r="K53" s="4" t="inlineStr">
        <is>
          <t>2025-04-29</t>
        </is>
      </c>
      <c r="L53" s="4" t="inlineStr">
        <is>
          <t>iFinD ifind_get_stock_info (as of 2026-10-27)；同方股份2024年年度报告</t>
        </is>
      </c>
      <c r="M53" s="5" t="inlineStr">
        <is>
          <t>http://dataclouds.cninfo.com.cn/shgonggao/2025/2025-04-29/92a1ce42243811f09559fa163e957f7a.pdf</t>
        </is>
      </c>
    </row>
    <row r="54" ht="24" customHeight="1">
      <c r="B54" s="6" t="inlineStr">
        <is>
          <t>600271</t>
        </is>
      </c>
      <c r="C54" s="6" t="inlineStr">
        <is>
          <t>航天信息</t>
        </is>
      </c>
      <c r="D54" s="6" t="inlineStr">
        <is>
          <t>数据要素_其他行业数据</t>
        </is>
      </c>
      <c r="E54" s="6" t="inlineStr">
        <is>
          <t>降级</t>
        </is>
      </c>
      <c r="F54" s="6" t="inlineStr">
        <is>
          <t>数据要素</t>
        </is>
      </c>
      <c r="G54" s="6" t="inlineStr">
        <is>
          <t>数据要素_其他行业数据</t>
        </is>
      </c>
      <c r="H54" s="6" t="inlineStr">
        <is>
          <t>相关</t>
        </is>
      </c>
      <c r="I54" s="6" t="inlineStr">
        <is>
          <t>数字财税及智慧产品处理发票、税务和企业经营数据，通过爱信诺财税软件、平台及项目服务交付。数据能力嵌在财税信息化和合规风控中，未核到独立财税数据库构成核心主产品。</t>
        </is>
      </c>
      <c r="J54" s="6" t="inlineStr">
        <is>
          <t>航天信息2025年年度报告</t>
        </is>
      </c>
      <c r="K54" s="6" t="inlineStr">
        <is>
          <t>2026-04-18</t>
        </is>
      </c>
      <c r="L54" s="6" t="inlineStr">
        <is>
          <t>iFinD ifind_get_stock_info (as of 2026-10-27)；航天信息2025年年度报告</t>
        </is>
      </c>
      <c r="M54" s="7" t="inlineStr">
        <is>
          <t>https://static.cninfo.com.cn/finalpage/2026-04-18/1225122576.PDF</t>
        </is>
      </c>
    </row>
    <row r="55" ht="24" customHeight="1">
      <c r="B55" s="4" t="inlineStr">
        <is>
          <t>600602</t>
        </is>
      </c>
      <c r="C55" s="4" t="inlineStr">
        <is>
          <t>云赛智联</t>
        </is>
      </c>
      <c r="D55" s="4" t="inlineStr">
        <is>
          <t>数据要素_数据存储</t>
        </is>
      </c>
      <c r="E55" s="4" t="inlineStr">
        <is>
          <t>保留</t>
        </is>
      </c>
      <c r="F55" s="4" t="inlineStr">
        <is>
          <t>数据要素</t>
        </is>
      </c>
      <c r="G55" s="4" t="inlineStr">
        <is>
          <t>数据要素_数据存储</t>
        </is>
      </c>
      <c r="H55" s="4" t="inlineStr">
        <is>
          <t>相关</t>
        </is>
      </c>
      <c r="I55" s="4" t="inlineStr">
        <is>
          <t>云计算大数据板块提供IDC基础设施及增值、互联网接入、VPN、IaaS和算力服务，并承接数据采集、清洗、治理项目；按机柜、云资源及技术项目收费，存储与治理服务明确但不是独立数据产品销售。</t>
        </is>
      </c>
      <c r="J55" s="4" t="inlineStr">
        <is>
          <t>云赛智联2024年年度报告</t>
        </is>
      </c>
      <c r="K55" s="4" t="inlineStr">
        <is>
          <t>2025-03-26</t>
        </is>
      </c>
      <c r="L55" s="4" t="inlineStr">
        <is>
          <t>iFinD ifind_get_stock_info (as of 2026-10-27)；云赛智联2024年年度报告</t>
        </is>
      </c>
      <c r="M55" s="5" t="inlineStr">
        <is>
          <t>https://pdf.dfcfw.com/pdf/H2_AN202503261647812272_1.pdf</t>
        </is>
      </c>
    </row>
    <row r="56" ht="24" customHeight="1">
      <c r="B56" s="6" t="inlineStr">
        <is>
          <t>600633</t>
        </is>
      </c>
      <c r="C56" s="6" t="inlineStr">
        <is>
          <t>浙数文化</t>
        </is>
      </c>
      <c r="D56" s="6" t="inlineStr">
        <is>
          <t>数据要素_交易所</t>
        </is>
      </c>
      <c r="E56" s="6" t="inlineStr">
        <is>
          <t>降级</t>
        </is>
      </c>
      <c r="F56" s="6" t="inlineStr">
        <is>
          <t>数据要素</t>
        </is>
      </c>
      <c r="G56" s="6" t="inlineStr">
        <is>
          <t>数据要素_交易所</t>
        </is>
      </c>
      <c r="H56" s="6" t="inlineStr">
        <is>
          <t>相关</t>
        </is>
      </c>
      <c r="I56" s="6" t="inlineStr">
        <is>
          <t>浙江大数据交易中心在股权重组后纳入并表，实际提供区域、行业专区的数据产品上架和流通服务，区别于单纯参股；但上市公司主业仍包括数字娱乐、数字体育和营销，交易所并非集团唯一核心。</t>
        </is>
      </c>
      <c r="J56" s="6" t="inlineStr">
        <is>
          <t>浙数文化2024年年度报告</t>
        </is>
      </c>
      <c r="K56" s="6" t="inlineStr">
        <is>
          <t>2025-03-29</t>
        </is>
      </c>
      <c r="L56" s="6" t="inlineStr">
        <is>
          <t>iFinD ifind_get_stock_info (as of 2026-10-27)；浙数文化2024年年度报告</t>
        </is>
      </c>
      <c r="M56" s="7" t="inlineStr">
        <is>
          <t>http://money.finance.sina.com.cn/corp/view/vCB_AllBulletinDetail.php?stockid=600633&amp;id=10829016</t>
        </is>
      </c>
    </row>
    <row r="57" ht="24" customHeight="1">
      <c r="B57" s="4" t="inlineStr">
        <is>
          <t>600756</t>
        </is>
      </c>
      <c r="C57" s="4" t="inlineStr">
        <is>
          <t>浪潮软件</t>
        </is>
      </c>
      <c r="D57" s="4" t="inlineStr">
        <is>
          <t>数据要素_交易所</t>
        </is>
      </c>
      <c r="E57" s="4" t="inlineStr">
        <is>
          <t>重分类</t>
        </is>
      </c>
      <c r="F57" s="4" t="inlineStr">
        <is>
          <t>数据要素</t>
        </is>
      </c>
      <c r="G57" s="4" t="inlineStr">
        <is>
          <t>数据要素_数据治理</t>
        </is>
      </c>
      <c r="H57" s="4" t="inlineStr">
        <is>
          <t>相关</t>
        </is>
      </c>
      <c r="I57" s="4" t="inlineStr">
        <is>
          <t>“格物致治”一体化大数据平台处理政务数据并支撑治理、共享和流通，主要随电子政务软件及系统项目交付。现有证据支持数据治理和流通技术建设，不足以认定其为交易所运营方。</t>
        </is>
      </c>
      <c r="J57" s="4" t="inlineStr">
        <is>
          <t>浪潮软件2025年年度报告</t>
        </is>
      </c>
      <c r="K57" s="4" t="inlineStr">
        <is>
          <t>2026-04-18</t>
        </is>
      </c>
      <c r="L57" s="4" t="inlineStr">
        <is>
          <t>iFinD ifind_get_stock_info (as of 2026-10-27)；浪潮软件2025年年度报告</t>
        </is>
      </c>
      <c r="M57" s="5" t="inlineStr">
        <is>
          <t>https://static.cninfo.com.cn/finalpage/2026-04-18/1225120805.PDF</t>
        </is>
      </c>
    </row>
    <row r="58" ht="24" customHeight="1">
      <c r="B58" s="6" t="inlineStr">
        <is>
          <t>600941</t>
        </is>
      </c>
      <c r="C58" s="6" t="inlineStr">
        <is>
          <t>中国移动</t>
        </is>
      </c>
      <c r="D58" s="6" t="inlineStr">
        <is>
          <t>数据要素_数据存储</t>
        </is>
      </c>
      <c r="E58" s="6" t="inlineStr">
        <is>
          <t>保留</t>
        </is>
      </c>
      <c r="F58" s="6" t="inlineStr">
        <is>
          <t>数据要素</t>
        </is>
      </c>
      <c r="G58" s="6" t="inlineStr">
        <is>
          <t>数据要素_数据存储</t>
        </is>
      </c>
      <c r="H58" s="6" t="inlineStr">
        <is>
          <t>相关</t>
        </is>
      </c>
      <c r="I58" s="6" t="inlineStr">
        <is>
          <t>移动云和数据中心、AIDC提供云存储、机柜及算网服务，按云资源和政企项目收费。梧桐大数据等能力不能改变集团以通信连接和基础设施为主的交付结构，因此不列为核心数据产品商。</t>
        </is>
      </c>
      <c r="J58" s="6" t="inlineStr">
        <is>
          <t>中国移动2024年业绩及数字化转型说明</t>
        </is>
      </c>
      <c r="K58" s="6" t="inlineStr">
        <is>
          <t>2025-03-20</t>
        </is>
      </c>
      <c r="L58" s="6" t="inlineStr">
        <is>
          <t>iFinD ifind_get_stock_info (as of 2026-10-27)；中国移动2024年业绩及数字化转型说明</t>
        </is>
      </c>
      <c r="M58" s="7" t="inlineStr">
        <is>
          <t>https://www.10086.cn/aboutus/news/groupnews/index_detail_52089.html</t>
        </is>
      </c>
    </row>
    <row r="59" ht="24" customHeight="1">
      <c r="B59" s="4" t="inlineStr">
        <is>
          <t>601728</t>
        </is>
      </c>
      <c r="C59" s="4" t="inlineStr">
        <is>
          <t>中国电信</t>
        </is>
      </c>
      <c r="D59" s="4" t="inlineStr">
        <is>
          <t>数据要素_数据存储</t>
        </is>
      </c>
      <c r="E59" s="4" t="inlineStr">
        <is>
          <t>保留</t>
        </is>
      </c>
      <c r="F59" s="4" t="inlineStr">
        <is>
          <t>数据要素</t>
        </is>
      </c>
      <c r="G59" s="4" t="inlineStr">
        <is>
          <t>数据要素_数据存储</t>
        </is>
      </c>
      <c r="H59" s="4" t="inlineStr">
        <is>
          <t>相关</t>
        </is>
      </c>
      <c r="I59" s="4" t="inlineStr">
        <is>
          <t>天翼云和IDC为政企客户提供云资源、机柜、存储及产业数字化服务，按资源使用和项目服务收费。数据存储属于明确业务板块，但集团主要仍是通信及云网基础设施。</t>
        </is>
      </c>
      <c r="J59" s="4" t="inlineStr">
        <is>
          <t>中国电信2024年年度报告</t>
        </is>
      </c>
      <c r="K59" s="4" t="inlineStr">
        <is>
          <t>2025-03-25</t>
        </is>
      </c>
      <c r="L59" s="4" t="inlineStr">
        <is>
          <t>iFinD ifind_get_stock_info (as of 2026-10-27)；中国电信2024年年度报告</t>
        </is>
      </c>
      <c r="M59" s="5" t="inlineStr">
        <is>
          <t>https://www.chinatelecom-h.com/sc/ir/report/annual2024_ashare.pdf</t>
        </is>
      </c>
    </row>
    <row r="60" ht="24" customHeight="1">
      <c r="B60" s="6" t="inlineStr">
        <is>
          <t>601858</t>
        </is>
      </c>
      <c r="C60" s="6" t="inlineStr">
        <is>
          <t>中国科传</t>
        </is>
      </c>
      <c r="D60" s="6" t="inlineStr">
        <is>
          <t>数据要素_学术数据</t>
        </is>
      </c>
      <c r="E60" s="6" t="inlineStr">
        <is>
          <t>保留</t>
        </is>
      </c>
      <c r="F60" s="6" t="inlineStr">
        <is>
          <t>数据要素</t>
        </is>
      </c>
      <c r="G60" s="6" t="inlineStr">
        <is>
          <t>数据要素_学术数据</t>
        </is>
      </c>
      <c r="H60" s="6" t="inlineStr">
        <is>
          <t>核心</t>
        </is>
      </c>
      <c r="I60" s="6" t="inlineStr">
        <is>
          <t>科学文库、科学智库、中国生物志库、本草数典和中科医库对科技内容作碎片化、标引、语义关联与挖掘，面向高校和科研机构以数据库运营及渠道交付，属于独立学术数据库。</t>
        </is>
      </c>
      <c r="J60" s="6" t="inlineStr">
        <is>
          <t>中国科传2024年年度报告</t>
        </is>
      </c>
      <c r="K60" s="6" t="inlineStr">
        <is>
          <t>2025-04-29</t>
        </is>
      </c>
      <c r="L60" s="6" t="inlineStr">
        <is>
          <t>iFinD ifind_get_stock_info (as of 2026-10-27)；中国科传2024年年度报告</t>
        </is>
      </c>
      <c r="M60" s="7" t="inlineStr">
        <is>
          <t>http://static.cninfo.com.cn/finalpage/2025-04-29/1223384815.PDF</t>
        </is>
      </c>
    </row>
    <row r="61" ht="24" customHeight="1">
      <c r="B61" s="4" t="inlineStr">
        <is>
          <t>601929</t>
        </is>
      </c>
      <c r="C61" s="4" t="inlineStr">
        <is>
          <t>吉视传媒</t>
        </is>
      </c>
      <c r="D61" s="4" t="inlineStr">
        <is>
          <t>数据要素_交易所</t>
        </is>
      </c>
      <c r="E61" s="4" t="inlineStr">
        <is>
          <t>保留</t>
        </is>
      </c>
      <c r="F61" s="4" t="inlineStr">
        <is>
          <t>数据要素</t>
        </is>
      </c>
      <c r="G61" s="4" t="inlineStr">
        <is>
          <t>数据要素_交易所</t>
        </is>
      </c>
      <c r="H61" s="4" t="inlineStr">
        <is>
          <t>相关</t>
        </is>
      </c>
      <c r="I61" s="4" t="inlineStr">
        <is>
          <t>公司持有吉林省东北亚大数据交易服务中心半数股权，并依托省级数据要素服务中心开展公共数据加工、质量评估、入表、授权和交易服务。按平台及服务收费，但广电网络仍为主要经营基础。</t>
        </is>
      </c>
      <c r="J61" s="4" t="inlineStr">
        <is>
          <t>吉视传媒2024年年度报告</t>
        </is>
      </c>
      <c r="K61" s="4" t="inlineStr">
        <is>
          <t>2025-04-26</t>
        </is>
      </c>
      <c r="L61" s="4" t="inlineStr">
        <is>
          <t>iFinD ifind_get_stock_info (as of 2026-10-27)；吉视传媒2024年年度报告</t>
        </is>
      </c>
      <c r="M61" s="5" t="inlineStr">
        <is>
          <t>https://file.finance.qq.com/finance/hs/pdf/2025/04/26/1223309308.PDF</t>
        </is>
      </c>
    </row>
    <row r="62" ht="24" customHeight="1">
      <c r="B62" s="6" t="inlineStr">
        <is>
          <t>603000</t>
        </is>
      </c>
      <c r="C62" s="6" t="inlineStr">
        <is>
          <t>人民网</t>
        </is>
      </c>
      <c r="D62" s="6" t="inlineStr">
        <is>
          <t>数据要素_数据确权</t>
        </is>
      </c>
      <c r="E62" s="6" t="inlineStr">
        <is>
          <t>保留</t>
        </is>
      </c>
      <c r="F62" s="6" t="inlineStr">
        <is>
          <t>数据要素</t>
        </is>
      </c>
      <c r="G62" s="6" t="inlineStr">
        <is>
          <t>数据要素_数据确权</t>
        </is>
      </c>
      <c r="H62" s="6" t="inlineStr">
        <is>
          <t>核心</t>
        </is>
      </c>
      <c r="I62" s="6" t="inlineStr">
        <is>
          <t>控股子公司人民数据处理政企数据资源，提供数据资产确权、登记核验、入表一站式方案及公司披露口径的“三证”服务。数据及信息服务已形成独立收入板块，确权服务是明确产品。</t>
        </is>
      </c>
      <c r="J62" s="6" t="inlineStr">
        <is>
          <t>人民网2024年年度报告</t>
        </is>
      </c>
      <c r="K62" s="6" t="inlineStr">
        <is>
          <t>2025-04-26</t>
        </is>
      </c>
      <c r="L62" s="6" t="inlineStr">
        <is>
          <t>iFinD ifind_get_stock_info (as of 2026-10-27)；人民网2024年年度报告</t>
        </is>
      </c>
      <c r="M62" s="7" t="inlineStr">
        <is>
          <t>https://vip.stock.finance.sina.com.cn/corp/view/vCB_AllBulletinDetail.php?stockid=603000&amp;id=10981861</t>
        </is>
      </c>
    </row>
    <row r="63" ht="24" customHeight="1">
      <c r="B63" s="4" t="inlineStr">
        <is>
          <t>603138</t>
        </is>
      </c>
      <c r="C63" s="4" t="inlineStr">
        <is>
          <t>海量数据</t>
        </is>
      </c>
      <c r="D63" s="4" t="inlineStr">
        <is>
          <t>数据要素_数据存储</t>
        </is>
      </c>
      <c r="E63" s="4" t="inlineStr">
        <is>
          <t>重分类</t>
        </is>
      </c>
      <c r="F63" s="4" t="inlineStr">
        <is>
          <t>数据要素</t>
        </is>
      </c>
      <c r="G63" s="4" t="inlineStr">
        <is>
          <t>数据要素_数据库</t>
        </is>
      </c>
      <c r="H63" s="4" t="inlineStr">
        <is>
          <t>核心</t>
        </is>
      </c>
      <c r="I63" s="4" t="inlineStr">
        <is>
          <t>Vastbase G100、V100、M100是明确数据库主产品，处理关系、向量等数据，以软件使用许可销售并配套迁移、运维服务。交付标的即数据库软件及持续服务，应与基础设施型数据存储区分。</t>
        </is>
      </c>
      <c r="J63" s="4" t="inlineStr">
        <is>
          <t>海量数据2025年年度报告</t>
        </is>
      </c>
      <c r="K63" s="4" t="inlineStr">
        <is>
          <t>2026-04-17</t>
        </is>
      </c>
      <c r="L63" s="4" t="inlineStr">
        <is>
          <t>iFinD ifind_get_stock_info (as of 2026-10-27)；海量数据2025年年度报告</t>
        </is>
      </c>
      <c r="M63" s="5" t="inlineStr">
        <is>
          <t>http://file.finance.sina.com.cn/211.154.219.97:9494/MRGG/CNSESH_STOCK/2026/2026-4/2026-04-17/12102825.PDF</t>
        </is>
      </c>
    </row>
    <row r="64" ht="24" customHeight="1">
      <c r="B64" s="6" t="inlineStr">
        <is>
          <t>603496</t>
        </is>
      </c>
      <c r="C64" s="6" t="inlineStr">
        <is>
          <t>恒为科技</t>
        </is>
      </c>
      <c r="D64" s="6" t="inlineStr">
        <is>
          <t>数据要素_网络可视化监管</t>
        </is>
      </c>
      <c r="E64" s="6" t="inlineStr">
        <is>
          <t>保留</t>
        </is>
      </c>
      <c r="F64" s="6" t="inlineStr">
        <is>
          <t>数据要素</t>
        </is>
      </c>
      <c r="G64" s="6" t="inlineStr">
        <is>
          <t>数据要素_网络可视化监管</t>
        </is>
      </c>
      <c r="H64" s="6" t="inlineStr">
        <is>
          <t>相关</t>
        </is>
      </c>
      <c r="I64" s="6" t="inlineStr">
        <is>
          <t>在运营商网络节点开展全流量采集、DPI解析、分流和运维分析，以软硬件及系统项目交付。监管和运维场景中的数据处理链条明确，但数据嵌入系统交付，并非独立销售的数据主产品。</t>
        </is>
      </c>
      <c r="J64" s="6" t="inlineStr">
        <is>
          <t>恒为科技2025年年度报告</t>
        </is>
      </c>
      <c r="K64" s="6" t="inlineStr">
        <is>
          <t>2026-04-17</t>
        </is>
      </c>
      <c r="L64" s="6" t="inlineStr">
        <is>
          <t>iFinD ifind_get_stock_info (as of 2026-10-27)；恒为科技2025年年度报告</t>
        </is>
      </c>
      <c r="M64" s="7" t="inlineStr">
        <is>
          <t>https://static.cninfo.com.cn/finalpage/2026-04-17/1225111374.PDF</t>
        </is>
      </c>
    </row>
    <row r="65" ht="24" customHeight="1">
      <c r="B65" s="4" t="inlineStr">
        <is>
          <t>603533</t>
        </is>
      </c>
      <c r="C65" s="4" t="inlineStr">
        <is>
          <t>掌阅科技</t>
        </is>
      </c>
      <c r="D65" s="4" t="inlineStr">
        <is>
          <t>数据要素_内容数据</t>
        </is>
      </c>
      <c r="E65" s="4" t="inlineStr">
        <is>
          <t>保留</t>
        </is>
      </c>
      <c r="F65" s="4" t="inlineStr">
        <is>
          <t>数据要素</t>
        </is>
      </c>
      <c r="G65" s="4" t="inlineStr">
        <is>
          <t>数据要素_内容数据</t>
        </is>
      </c>
      <c r="H65" s="4" t="inlineStr">
        <is>
          <t>核心</t>
        </is>
      </c>
      <c r="I65" s="4" t="inlineStr">
        <is>
          <t>掌阅、得间等数字阅读平台提供电子书等内容，通过付费阅读、增值服务及版权授权变现。用户购买和平台交付的核心对象就是数字内容及其使用权益，内容数据不是附属资源。</t>
        </is>
      </c>
      <c r="J65" s="4" t="inlineStr">
        <is>
          <t>掌阅科技2025年年度报告摘要</t>
        </is>
      </c>
      <c r="K65" s="4" t="inlineStr">
        <is>
          <t>2026-04-24</t>
        </is>
      </c>
      <c r="L65" s="4" t="inlineStr">
        <is>
          <t>iFinD ifind_get_stock_info (as of 2026-10-27)；掌阅科技2025年年度报告摘要</t>
        </is>
      </c>
      <c r="M65" s="5" t="inlineStr">
        <is>
          <t>http://dataclouds.cninfo.com.cn/shgonggao/hsomarket/2026/20260424/77d36c920aac41d1bd07f0efd1c2ad6c.PDF</t>
        </is>
      </c>
    </row>
    <row r="66" ht="24" customHeight="1">
      <c r="B66" s="6" t="inlineStr">
        <is>
          <t>603569</t>
        </is>
      </c>
      <c r="C66" s="6" t="inlineStr">
        <is>
          <t>长久物流</t>
        </is>
      </c>
      <c r="D66" s="6" t="inlineStr">
        <is>
          <t>数据要素_汽车数据</t>
        </is>
      </c>
      <c r="E66" s="6" t="inlineStr">
        <is>
          <t>升级</t>
        </is>
      </c>
      <c r="F66" s="6" t="inlineStr">
        <is>
          <t>数据要素</t>
        </is>
      </c>
      <c r="G66" s="6" t="inlineStr">
        <is>
          <t>数据要素_汽车数据</t>
        </is>
      </c>
      <c r="H66" s="6" t="inlineStr">
        <is>
          <t>相关</t>
        </is>
      </c>
      <c r="I66" s="6" t="inlineStr">
        <is>
          <t>物流、司机、电池等数据资产已登记，相关数据产品已上架，TMS SaaS亦承载运输数据。虽有真实数据产品及交付载体，但整车物流仍是主业，数据业务尚非核心收入，故由边缘升为相关。</t>
        </is>
      </c>
      <c r="J66" s="6" t="inlineStr">
        <is>
          <t>长久物流2024年半年度报告</t>
        </is>
      </c>
      <c r="K66" s="6" t="inlineStr">
        <is>
          <t>2024-08-24</t>
        </is>
      </c>
      <c r="L66" s="6" t="inlineStr">
        <is>
          <t>iFinD ifind_get_stock_info (as of 2026-10-27)；长久物流2024年半年度报告</t>
        </is>
      </c>
      <c r="M66" s="7" t="inlineStr">
        <is>
          <t>http://dataclouds.cninfo.com.cn/shgonggao/2024/2024-08-24/27b1057f612b11efab0ffa163e26e5de.pdf</t>
        </is>
      </c>
    </row>
    <row r="67" ht="24" customHeight="1">
      <c r="B67" s="4" t="inlineStr">
        <is>
          <t>603636</t>
        </is>
      </c>
      <c r="C67" s="4" t="inlineStr">
        <is>
          <t>南威软件</t>
        </is>
      </c>
      <c r="D67" s="4" t="inlineStr">
        <is>
          <t>数据要素_数据确权</t>
        </is>
      </c>
      <c r="E67" s="4" t="inlineStr">
        <is>
          <t>重分类降级</t>
        </is>
      </c>
      <c r="F67" s="4" t="inlineStr">
        <is>
          <t>数据要素</t>
        </is>
      </c>
      <c r="G67" s="4" t="inlineStr">
        <is>
          <t>数据要素_数据清洗</t>
        </is>
      </c>
      <c r="H67" s="4" t="inlineStr">
        <is>
          <t>相关</t>
        </is>
      </c>
      <c r="I67" s="4" t="inlineStr">
        <is>
          <t>政务智能数据治理一体机和全生命周期治理平台处理多源政务数据，覆盖汇集、清洗、标准化及质量管理，并以标准安装和项目中标交付。直接证据偏数据治理，不足以支撑数据确权核心。</t>
        </is>
      </c>
      <c r="J67" s="4" t="inlineStr">
        <is>
          <t>南威软件2025年半年度报告</t>
        </is>
      </c>
      <c r="K67" s="4" t="inlineStr">
        <is>
          <t>2025-08-28</t>
        </is>
      </c>
      <c r="L67" s="4" t="inlineStr">
        <is>
          <t>iFinD ifind_get_stock_info (as of 2026-10-27)；南威软件2025年半年度报告</t>
        </is>
      </c>
      <c r="M67" s="5" t="inlineStr">
        <is>
          <t>http://static.cninfo.com.cn/finalpage/2025-08-28/1224593784.PDF</t>
        </is>
      </c>
    </row>
    <row r="68" ht="24" customHeight="1">
      <c r="B68" s="6" t="inlineStr">
        <is>
          <t>603716</t>
        </is>
      </c>
      <c r="C68" s="6" t="inlineStr">
        <is>
          <t>塞力医疗</t>
        </is>
      </c>
      <c r="D68" s="6" t="inlineStr">
        <is>
          <t>数据要素_其他行业数据</t>
        </is>
      </c>
      <c r="E68" s="6" t="inlineStr">
        <is>
          <t>重分类</t>
        </is>
      </c>
      <c r="F68" s="6" t="inlineStr">
        <is>
          <t>数据要素</t>
        </is>
      </c>
      <c r="G68" s="6" t="inlineStr">
        <is>
          <t>数据要素_医疗数据</t>
        </is>
      </c>
      <c r="H68" s="6" t="inlineStr">
        <is>
          <t>相关</t>
        </is>
      </c>
      <c r="I68" s="6" t="inlineStr">
        <is>
          <t>与华山医院合作药敏检测AI高级专家系统，分析微生物基因组、药敏及临床数据，另有医院模型项目。数据分析和模型交付真实存在，但IVD、SPD仍为主业，宜归医疗数据相关。</t>
        </is>
      </c>
      <c r="J68" s="6" t="inlineStr">
        <is>
          <t>塞力医疗2025年年度报告</t>
        </is>
      </c>
      <c r="K68" s="6" t="inlineStr">
        <is>
          <t>2026-04-29</t>
        </is>
      </c>
      <c r="L68" s="6" t="inlineStr">
        <is>
          <t>iFinD ifind_get_stock_info (as of 2026-10-27)；塞力医疗2025年年度报告</t>
        </is>
      </c>
      <c r="M68" s="7" t="inlineStr">
        <is>
          <t>https://money.finance.sina.com.cn/corp/view/vCB_AllBulletinDetail.php?stockid=603716&amp;id=12244208</t>
        </is>
      </c>
    </row>
    <row r="69" ht="24" customHeight="1">
      <c r="B69" s="4" t="inlineStr">
        <is>
          <t>603721</t>
        </is>
      </c>
      <c r="C69" s="4" t="inlineStr">
        <is>
          <t>中广天择</t>
        </is>
      </c>
      <c r="D69" s="4" t="inlineStr">
        <is>
          <t>数据要素_数据确权</t>
        </is>
      </c>
      <c r="E69" s="4" t="inlineStr">
        <is>
          <t>保留</t>
        </is>
      </c>
      <c r="F69" s="4" t="inlineStr">
        <is>
          <t>数据要素</t>
        </is>
      </c>
      <c r="G69" s="4" t="inlineStr">
        <is>
          <t>数据要素_数据确权</t>
        </is>
      </c>
      <c r="H69" s="4" t="inlineStr">
        <is>
          <t>相关</t>
        </is>
      </c>
      <c r="I69" s="4" t="inlineStr">
        <is>
          <t>天择微链运营中国V链，提供版权存证、登记、监测和交易服务，已形成数字版权保护及技术服务收入。确权产品与收费均明确，但占公司整体业务较小，故列相关。</t>
        </is>
      </c>
      <c r="J69" s="4" t="inlineStr">
        <is>
          <t>中广天择2025年年度报告</t>
        </is>
      </c>
      <c r="K69" s="4" t="inlineStr">
        <is>
          <t>2026-04-18</t>
        </is>
      </c>
      <c r="L69" s="4" t="inlineStr">
        <is>
          <t>iFinD ifind_get_stock_info (as of 2026-10-27)；中广天择2025年年度报告</t>
        </is>
      </c>
      <c r="M69" s="5" t="inlineStr">
        <is>
          <t>https://static.cninfo.com.cn/finalpage/2026-04-18/1225119820.PDF</t>
        </is>
      </c>
    </row>
    <row r="70" ht="24" customHeight="1">
      <c r="B70" s="6" t="inlineStr">
        <is>
          <t>603859</t>
        </is>
      </c>
      <c r="C70" s="6" t="inlineStr">
        <is>
          <t>能科科技</t>
        </is>
      </c>
      <c r="D70" s="6" t="inlineStr">
        <is>
          <t>物理AI_数据采集</t>
        </is>
      </c>
      <c r="E70" s="6" t="inlineStr">
        <is>
          <t>重分类</t>
        </is>
      </c>
      <c r="F70" s="6" t="inlineStr">
        <is>
          <t>数据要素</t>
        </is>
      </c>
      <c r="G70" s="6" t="inlineStr">
        <is>
          <t>数据要素_数据清洗</t>
        </is>
      </c>
      <c r="H70" s="6" t="inlineStr">
        <is>
          <t>相关</t>
        </is>
      </c>
      <c r="I70" s="6" t="inlineStr">
        <is>
          <t>自研“乐数”覆盖工业数据采集、清洗治理、管理和分析，随乐系列云软件及服务向制造企业交付。收费标的是工业数据软件与服务，而非机器人或传感器等物理感知设备。</t>
        </is>
      </c>
      <c r="J70" s="6" t="inlineStr">
        <is>
          <t>能科科技2025年年度报告</t>
        </is>
      </c>
      <c r="K70" s="6" t="inlineStr">
        <is>
          <t>2026-04-24</t>
        </is>
      </c>
      <c r="L70" s="6" t="inlineStr">
        <is>
          <t>iFinD ifind_get_stock_info (as of 2026-10-27)；能科科技2025年年度报告</t>
        </is>
      </c>
      <c r="M70" s="7" t="inlineStr">
        <is>
          <t>https://money.finance.sina.com.cn/corp/view/vCB_AllBulletinDetail.php?stockid=603859&amp;id=12166829</t>
        </is>
      </c>
    </row>
    <row r="71" ht="24" customHeight="1">
      <c r="B71" s="4" t="inlineStr">
        <is>
          <t>603860</t>
        </is>
      </c>
      <c r="C71" s="4" t="inlineStr">
        <is>
          <t>中公高科</t>
        </is>
      </c>
      <c r="D71" s="4" t="inlineStr">
        <is>
          <t>数据要素_交通数据</t>
        </is>
      </c>
      <c r="E71" s="4" t="inlineStr">
        <is>
          <t>保留</t>
        </is>
      </c>
      <c r="F71" s="4" t="inlineStr">
        <is>
          <t>数据要素</t>
        </is>
      </c>
      <c r="G71" s="4" t="inlineStr">
        <is>
          <t>数据要素_交通数据</t>
        </is>
      </c>
      <c r="H71" s="4" t="inlineStr">
        <is>
          <t>相关</t>
        </is>
      </c>
      <c r="I71" s="4" t="inlineStr">
        <is>
          <t>CiCS、RDR采集路况与病害数据，CRMS、iRMS、CMAP用于资产管理和养护决策，通过检测设备、软件系统及咨询服务交付。交通数据贯穿产品流程，但主要支撑检测养护服务。</t>
        </is>
      </c>
      <c r="J71" s="4" t="inlineStr">
        <is>
          <t>中公高科2025年年度报告</t>
        </is>
      </c>
      <c r="K71" s="4" t="inlineStr">
        <is>
          <t>2026-03-25</t>
        </is>
      </c>
      <c r="L71" s="4" t="inlineStr">
        <is>
          <t>iFinD ifind_get_stock_info (as of 2026-10-27)；中公高科2025年年度报告</t>
        </is>
      </c>
      <c r="M71" s="5" t="inlineStr">
        <is>
          <t>http://file.finance.sina.com.cn/211.154.219.97:9494/MRGG/CNSESH_STOCK/2026/2026-3/2026-03-25/12016033.PDF</t>
        </is>
      </c>
    </row>
    <row r="72" ht="24" customHeight="1">
      <c r="B72" s="6" t="inlineStr">
        <is>
          <t>603888</t>
        </is>
      </c>
      <c r="C72" s="6" t="inlineStr">
        <is>
          <t>新华网</t>
        </is>
      </c>
      <c r="D72" s="6" t="inlineStr">
        <is>
          <t>数据要素_数据确权</t>
        </is>
      </c>
      <c r="E72" s="6" t="inlineStr">
        <is>
          <t>重分类</t>
        </is>
      </c>
      <c r="F72" s="6" t="inlineStr">
        <is>
          <t>数据要素</t>
        </is>
      </c>
      <c r="G72" s="6" t="inlineStr">
        <is>
          <t>数据要素_数据分析</t>
        </is>
      </c>
      <c r="H72" s="6" t="inlineStr">
        <is>
          <t>相关</t>
        </is>
      </c>
      <c r="I72" s="6" t="inlineStr">
        <is>
          <t>新华睿思V7.0处理舆情、经济主体和消费场景数据，提供监测预警、研判及决策支持，按平台与解决方案服务政企客户。直接产品是数据分析和舆情治理，未找到自身数据确权主产品证据。</t>
        </is>
      </c>
      <c r="J72" s="6" t="inlineStr">
        <is>
          <t>新华睿思7.0发布说明</t>
        </is>
      </c>
      <c r="K72" s="6" t="inlineStr">
        <is>
          <t>2025-05-21</t>
        </is>
      </c>
      <c r="L72" s="6" t="inlineStr">
        <is>
          <t>iFinD ifind_get_stock_info (as of 2026-10-27)；新华睿思7.0发布说明</t>
        </is>
      </c>
      <c r="M72" s="7" t="inlineStr">
        <is>
          <t>https://www.news.cn/20250521/b00fcbdbb2f84e3883102f675ebf9095/c.html</t>
        </is>
      </c>
    </row>
    <row r="73" ht="24" customHeight="1">
      <c r="B73" s="4" t="inlineStr">
        <is>
          <t>603918</t>
        </is>
      </c>
      <c r="C73" s="4" t="inlineStr">
        <is>
          <t>金桥信息</t>
        </is>
      </c>
      <c r="D73" s="4" t="inlineStr">
        <is>
          <t>数据要素_数据确权</t>
        </is>
      </c>
      <c r="E73" s="4" t="inlineStr">
        <is>
          <t>重分类</t>
        </is>
      </c>
      <c r="F73" s="4" t="inlineStr">
        <is>
          <t>数据要素</t>
        </is>
      </c>
      <c r="G73" s="4" t="inlineStr">
        <is>
          <t>数据要素_司法数据</t>
        </is>
      </c>
      <c r="H73" s="4" t="inlineStr">
        <is>
          <t>相关</t>
        </is>
      </c>
      <c r="I73" s="4" t="inlineStr">
        <is>
          <t>执行110、移动执行平台和司法可信管理中台服务法院办案、执行与可信管理，按信息化项目、软件及运维交付。业务处理的是司法数据，区块链存验证功能不等于对外数据确权产品。</t>
        </is>
      </c>
      <c r="J73" s="4" t="inlineStr">
        <is>
          <t>金桥信息2025年年度报告</t>
        </is>
      </c>
      <c r="K73" s="4" t="inlineStr">
        <is>
          <t>2026-04-29</t>
        </is>
      </c>
      <c r="L73" s="4" t="inlineStr">
        <is>
          <t>iFinD ifind_get_stock_info (as of 2026-10-27)；金桥信息2025年年度报告</t>
        </is>
      </c>
      <c r="M73" s="5" t="inlineStr">
        <is>
          <t>https://vip.stock.finance.sina.com.cn/corp/view/vCB_AllBulletinDetail.php?stockid=603918&amp;id=12240543</t>
        </is>
      </c>
    </row>
    <row r="74" ht="24" customHeight="1">
      <c r="B74" s="6" t="inlineStr">
        <is>
          <t>603999</t>
        </is>
      </c>
      <c r="C74" s="6" t="inlineStr">
        <is>
          <t>读者传媒</t>
        </is>
      </c>
      <c r="D74" s="6" t="inlineStr">
        <is>
          <t>数据要素_内容数据</t>
        </is>
      </c>
      <c r="E74" s="6" t="inlineStr">
        <is>
          <t>降级</t>
        </is>
      </c>
      <c r="F74" s="6" t="inlineStr">
        <is>
          <t>数据要素</t>
        </is>
      </c>
      <c r="G74" s="6" t="inlineStr">
        <is>
          <t>数据要素_内容数据</t>
        </is>
      </c>
      <c r="H74" s="6" t="inlineStr">
        <is>
          <t>相关</t>
        </is>
      </c>
      <c r="I74" s="6" t="inlineStr">
        <is>
          <t>纸质期刊、图书出版发行仍为主业；文溯阁《四库全书》数字化、文创IP库和读者听书、App已形成数字内容并有初步销售，但规模和主业地位有限，内容数据标签可保留为相关。</t>
        </is>
      </c>
      <c r="J74" s="6" t="inlineStr">
        <is>
          <t>读者传媒2025年半年度报告</t>
        </is>
      </c>
      <c r="K74" s="6" t="inlineStr">
        <is>
          <t>2025-08-28</t>
        </is>
      </c>
      <c r="L74" s="6" t="inlineStr">
        <is>
          <t>iFinD ifind_get_stock_info (as of 2026-10-27)；读者传媒2025年半年度报告</t>
        </is>
      </c>
      <c r="M74" s="7" t="inlineStr">
        <is>
          <t>https://vip.stock.finance.sina.com.cn/corp/view/vCB_AllBulletinDetail.php?stockid=603999&amp;id=11389900</t>
        </is>
      </c>
    </row>
    <row r="75" ht="24" customHeight="1">
      <c r="B75" s="4" t="inlineStr">
        <is>
          <t>688023</t>
        </is>
      </c>
      <c r="C75" s="4" t="inlineStr">
        <is>
          <t>安恒信息</t>
        </is>
      </c>
      <c r="D75" s="4" t="inlineStr">
        <is>
          <t>数据要素_交易所</t>
        </is>
      </c>
      <c r="E75" s="4" t="inlineStr">
        <is>
          <t>重分类</t>
        </is>
      </c>
      <c r="F75" s="4" t="inlineStr">
        <is>
          <t>数据要素</t>
        </is>
      </c>
      <c r="G75" s="4" t="inlineStr">
        <is>
          <t>数据要素_数据安全</t>
        </is>
      </c>
      <c r="H75" s="4" t="inlineStr">
        <is>
          <t>相关</t>
        </is>
      </c>
      <c r="I75" s="4" t="inlineStr">
        <is>
          <t>AiSort、AiMask、AiGate、AiDLP及数据安全管控平台提供分类分级、脱敏、访问控制和防泄漏，以安全产品、项目及运营服务收费。产品矩阵指向数据安全，未见运营数据交易所证据。</t>
        </is>
      </c>
      <c r="J75" s="4" t="inlineStr">
        <is>
          <t>安恒信息2025年年度报告</t>
        </is>
      </c>
      <c r="K75" s="4" t="inlineStr">
        <is>
          <t>2026-03-26</t>
        </is>
      </c>
      <c r="L75" s="4" t="inlineStr">
        <is>
          <t>iFinD ifind_get_stock_info (as of 2026-10-27)；安恒信息2025年年度报告</t>
        </is>
      </c>
      <c r="M75" s="5" t="inlineStr">
        <is>
          <t>http://file.finance.sina.com.cn/211.154.219.97:9494/MRGG/CNSESH_STOCK/2026/2026-3/2026-03-26/12018515.PDF</t>
        </is>
      </c>
    </row>
    <row r="76" ht="24" customHeight="1">
      <c r="B76" s="6" t="inlineStr">
        <is>
          <t>688292</t>
        </is>
      </c>
      <c r="C76" s="6" t="inlineStr">
        <is>
          <t>浩瀚深度</t>
        </is>
      </c>
      <c r="D76" s="6" t="inlineStr">
        <is>
          <t>数据要素_网络可视化监管</t>
        </is>
      </c>
      <c r="E76" s="6" t="inlineStr">
        <is>
          <t>保留</t>
        </is>
      </c>
      <c r="F76" s="6" t="inlineStr">
        <is>
          <t>数据要素</t>
        </is>
      </c>
      <c r="G76" s="6" t="inlineStr">
        <is>
          <t>数据要素_网络可视化监管</t>
        </is>
      </c>
      <c r="H76" s="6" t="inlineStr">
        <is>
          <t>相关</t>
        </is>
      </c>
      <c r="I76" s="6" t="inlineStr">
        <is>
          <t>DPI、全流量采集解析和日志留存处理运营商网络流量，顺水云进一步开展流量数据治理，以软硬件和解决方案交付。与网络可视化监管直接匹配，但数据主要嵌入系统服务。</t>
        </is>
      </c>
      <c r="J76" s="6" t="inlineStr">
        <is>
          <t>浩瀚深度2025年年度报告</t>
        </is>
      </c>
      <c r="K76" s="6" t="inlineStr">
        <is>
          <t>2026-04-29</t>
        </is>
      </c>
      <c r="L76" s="6" t="inlineStr">
        <is>
          <t>iFinD ifind_get_stock_info (as of 2026-10-27)；浩瀚深度2025年年度报告</t>
        </is>
      </c>
      <c r="M76" s="7" t="inlineStr">
        <is>
          <t>https://vip.stock.finance.sina.com.cn/corp/view/vCB_AllBulletinDetail.php?stockid=688292&amp;id=12244828</t>
        </is>
      </c>
    </row>
    <row r="77" ht="24" customHeight="1">
      <c r="B77" s="4" t="inlineStr">
        <is>
          <t>688296</t>
        </is>
      </c>
      <c r="C77" s="4" t="inlineStr">
        <is>
          <t>和达科技</t>
        </is>
      </c>
      <c r="D77" s="4" t="inlineStr">
        <is>
          <t>数据要素_其他行业数据</t>
        </is>
      </c>
      <c r="E77" s="4" t="inlineStr">
        <is>
          <t>重分类</t>
        </is>
      </c>
      <c r="F77" s="4" t="inlineStr">
        <is>
          <t>数据要素</t>
        </is>
      </c>
      <c r="G77" s="4" t="inlineStr">
        <is>
          <t>数据要素_水务数据</t>
        </is>
      </c>
      <c r="H77" s="4" t="inlineStr">
        <is>
          <t>相关</t>
        </is>
      </c>
      <c r="I77" s="4" t="inlineStr">
        <is>
          <t>WimDB、WimOS及生产调度、分区控漏系统治理水厂、泵站、管网数据，通过智能终端、软件系统、SaaS和运维服务交付。属于明确的水务行业数据应用，但未见以数据本身独立销售为主。</t>
        </is>
      </c>
      <c r="J77" s="4" t="inlineStr">
        <is>
          <t>和达科技2025年年度报告</t>
        </is>
      </c>
      <c r="K77" s="4" t="inlineStr">
        <is>
          <t>2026-04-17</t>
        </is>
      </c>
      <c r="L77" s="4" t="inlineStr">
        <is>
          <t>iFinD ifind_get_stock_info (as of 2026-10-27)；和达科技2025年年度报告</t>
        </is>
      </c>
      <c r="M77" s="5" t="inlineStr">
        <is>
          <t>http://money.finance.sina.com.cn/corp/view/vCB_AllBulletinDetail.php?stockid=688296&amp;id=12100723</t>
        </is>
      </c>
    </row>
    <row r="78" ht="24" customHeight="1">
      <c r="B78" s="6" t="inlineStr">
        <is>
          <t>688500</t>
        </is>
      </c>
      <c r="C78" s="6" t="inlineStr">
        <is>
          <t>慧辰股份</t>
        </is>
      </c>
      <c r="D78" s="6" t="inlineStr">
        <is>
          <t>数据要素_数据分析</t>
        </is>
      </c>
      <c r="E78" s="6" t="inlineStr">
        <is>
          <t>保留</t>
        </is>
      </c>
      <c r="F78" s="6" t="inlineStr">
        <is>
          <t>数据要素</t>
        </is>
      </c>
      <c r="G78" s="6" t="inlineStr">
        <is>
          <t>数据要素_数据分析</t>
        </is>
      </c>
      <c r="H78" s="6" t="inlineStr">
        <is>
          <t>核心</t>
        </is>
      </c>
      <c r="I78" s="6" t="inlineStr">
        <is>
          <t>DataAgent、ChatBI及行业洞察平台分析企业内外部数据，向企业客户提供数据产品和定制分析解决方案并收费。数据分析本身就是主要产品和交付内容，而非其他业务的附属功能。</t>
        </is>
      </c>
      <c r="J78" s="6" t="inlineStr">
        <is>
          <t>慧辰股份2025年年度报告</t>
        </is>
      </c>
      <c r="K78" s="6" t="inlineStr">
        <is>
          <t>2026-04-18</t>
        </is>
      </c>
      <c r="L78" s="6" t="inlineStr">
        <is>
          <t>iFinD ifind_get_stock_info (as of 2026-10-27)；慧辰股份2025年年度报告</t>
        </is>
      </c>
      <c r="M78" s="7" t="inlineStr">
        <is>
          <t>https://money.finance.sina.com.cn/corp/view/vCB_AllBulletinDetail.php?stockid=688500&amp;id=12110690</t>
        </is>
      </c>
    </row>
    <row r="79" ht="24" customHeight="1">
      <c r="B79" s="4" t="inlineStr">
        <is>
          <t>688561</t>
        </is>
      </c>
      <c r="C79" s="4" t="inlineStr">
        <is>
          <t>奇安信-U</t>
        </is>
      </c>
      <c r="D79" s="4" t="inlineStr">
        <is>
          <t>数据要素_数据安全</t>
        </is>
      </c>
      <c r="E79" s="4" t="inlineStr">
        <is>
          <t>保留</t>
        </is>
      </c>
      <c r="F79" s="4" t="inlineStr">
        <is>
          <t>数据要素</t>
        </is>
      </c>
      <c r="G79" s="4" t="inlineStr">
        <is>
          <t>数据要素_数据安全</t>
        </is>
      </c>
      <c r="H79" s="4" t="inlineStr">
        <is>
          <t>相关</t>
        </is>
      </c>
      <c r="I79" s="4" t="inlineStr">
        <is>
          <t>DSCP、数据安全网关、数据库审计和脱敏等产品覆盖数据识别、流转监测与防护，通过安全产品及运营服务交付。数据安全概念匹配且商业化明确，但主营不是数据交易或数据内容经营。</t>
        </is>
      </c>
      <c r="J79" s="4" t="inlineStr">
        <is>
          <t>奇安信数据安全产品说明</t>
        </is>
      </c>
      <c r="K79" s="4" t="inlineStr">
        <is>
          <t>2025-08-29</t>
        </is>
      </c>
      <c r="L79" s="4" t="inlineStr">
        <is>
          <t>iFinD ifind_get_stock_info (as of 2026-10-27)；奇安信数据安全产品说明</t>
        </is>
      </c>
      <c r="M79" s="5" t="inlineStr">
        <is>
          <t>https://www.qianxin.com/news/detail?news_id=13883</t>
        </is>
      </c>
    </row>
    <row r="80" ht="24" customHeight="1">
      <c r="B80" s="6" t="inlineStr">
        <is>
          <t>688787</t>
        </is>
      </c>
      <c r="C80" s="6" t="inlineStr">
        <is>
          <t>海天瑞声</t>
        </is>
      </c>
      <c r="D80" s="6" t="inlineStr">
        <is>
          <t>数据要素_数据标注</t>
        </is>
      </c>
      <c r="E80" s="6" t="inlineStr">
        <is>
          <t>保留</t>
        </is>
      </c>
      <c r="F80" s="6" t="inlineStr">
        <is>
          <t>数据要素</t>
        </is>
      </c>
      <c r="G80" s="6" t="inlineStr">
        <is>
          <t>数据要素_数据标注</t>
        </is>
      </c>
      <c r="H80" s="6" t="inlineStr">
        <is>
          <t>核心</t>
        </is>
      </c>
      <c r="I80" s="6" t="inlineStr">
        <is>
          <t>语音、视觉、自然语言训练数据集经采集、加工和标注后以软件形式交付，标准数据集按授权许可收费，定制项目按服务收费。主产品和收入来源直接围绕训练数据，与数据标注完全对应。</t>
        </is>
      </c>
      <c r="J80" s="6" t="inlineStr">
        <is>
          <t>海天瑞声2025年年度报告摘要</t>
        </is>
      </c>
      <c r="K80" s="6" t="inlineStr">
        <is>
          <t>2026-04-23</t>
        </is>
      </c>
      <c r="L80" s="6" t="inlineStr">
        <is>
          <t>iFinD ifind_get_stock_info (as of 2026-10-27)；海天瑞声2025年年度报告摘要</t>
        </is>
      </c>
      <c r="M80" s="7" t="inlineStr">
        <is>
          <t>http://dataclouds.cninfo.com.cn/shgonggao/hsomarket/2026/20260423/6e73b9f9af064447be66dbb7e7f3b4b2.PDF</t>
        </is>
      </c>
    </row>
    <row r="81" ht="24" customHeight="1">
      <c r="B81" s="4" t="inlineStr">
        <is>
          <t>920207</t>
        </is>
      </c>
      <c r="C81" s="4" t="inlineStr">
        <is>
          <t>众诚科技</t>
        </is>
      </c>
      <c r="D81" s="4" t="inlineStr">
        <is>
          <t>数据要素_北交所</t>
        </is>
      </c>
      <c r="E81" s="4" t="inlineStr">
        <is>
          <t>重分类</t>
        </is>
      </c>
      <c r="F81" s="4" t="inlineStr">
        <is>
          <t>数据要素</t>
        </is>
      </c>
      <c r="G81" s="4" t="inlineStr">
        <is>
          <t>数据要素_数据清洗</t>
        </is>
      </c>
      <c r="H81" s="4" t="inlineStr">
        <is>
          <t>相关</t>
        </is>
      </c>
      <c r="I81" s="4" t="inlineStr">
        <is>
          <t>数据管理集成、数据资产管理及数据质量、ETL引擎处理政企数据，随软件开发和系统集成项目交付。业务实质是数据汇聚、清洗和质量治理，“北交所”仅表示上市地点，不能作为业务概念。</t>
        </is>
      </c>
      <c r="J81" s="4" t="inlineStr">
        <is>
          <t>众诚科技2025年年度报告</t>
        </is>
      </c>
      <c r="K81" s="4" t="inlineStr">
        <is>
          <t>2026-04-27</t>
        </is>
      </c>
      <c r="L81" s="4" t="inlineStr">
        <is>
          <t>iFinD ifind_get_stock_info (as of 2026-10-27)；众诚科技2025年年度报告</t>
        </is>
      </c>
      <c r="M81" s="5" t="inlineStr">
        <is>
          <t>https://money.finance.sina.com.cn/corp/view/vCB_AllBulletinDetail.php?stockid=920207&amp;id=12229400</t>
        </is>
      </c>
    </row>
  </sheetData>
  <autoFilter ref="B4:M81"/>
  <mergeCells count="2">
    <mergeCell ref="B3:M3"/>
    <mergeCell ref="B2:M2"/>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B2:M25"/>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2" customWidth="1" min="2" max="2"/>
    <col width="14" customWidth="1" min="3" max="3"/>
    <col width="32" customWidth="1" min="4" max="4"/>
    <col width="16" customWidth="1" min="5" max="5"/>
    <col width="14" customWidth="1" min="6" max="6"/>
    <col width="28" customWidth="1" min="7" max="7"/>
    <col width="10" customWidth="1" min="8" max="8"/>
    <col width="95" customWidth="1" min="9" max="9"/>
    <col width="36" customWidth="1" min="10" max="10"/>
    <col width="14" customWidth="1" min="11" max="11"/>
    <col width="46" customWidth="1" min="12" max="12"/>
    <col width="72" customWidth="1" min="13" max="13"/>
  </cols>
  <sheetData>
    <row r="2" ht="32" customHeight="1">
      <c r="B2" s="1" t="inlineStr">
        <is>
          <t>摘除与迁出 · 审计清单</t>
        </is>
      </c>
    </row>
    <row r="3">
      <c r="B3" s="2" t="inlineStr">
        <is>
          <t>完全摘除 14 只；迁回物理 AI 7 只。历史标签仍保留在 watchlist 审计字段中。</t>
        </is>
      </c>
    </row>
    <row r="4" ht="26" customHeight="1">
      <c r="B4" s="3" t="inlineStr">
        <is>
          <t>代码</t>
        </is>
      </c>
      <c r="C4" s="3" t="inlineStr">
        <is>
          <t>名称</t>
        </is>
      </c>
      <c r="D4" s="3" t="inlineStr">
        <is>
          <t>旧概念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000156</t>
        </is>
      </c>
      <c r="C5" s="4" t="inlineStr">
        <is>
          <t>华数传媒</t>
        </is>
      </c>
      <c r="D5" s="4" t="inlineStr">
        <is>
          <t>物理AI_数据采集</t>
        </is>
      </c>
      <c r="E5" s="4" t="inlineStr">
        <is>
          <t>摘除</t>
        </is>
      </c>
      <c r="F5" s="4" t="inlineStr"/>
      <c r="G5" s="4" t="inlineStr"/>
      <c r="H5" s="4" t="inlineStr">
        <is>
          <t>错标</t>
        </is>
      </c>
      <c r="I5" s="4" t="inlineStr">
        <is>
          <t>主业为有线电视、新媒体、宽带、智慧城市数字化及广电5G，收入来自节目传输、网络接入和数字化项目。数据要素仅是未来投资方向，未核到独立数据产品，更不属于物理AI数据采集。</t>
        </is>
      </c>
      <c r="J5" s="4" t="inlineStr">
        <is>
          <t>华数传媒2025年年度报告</t>
        </is>
      </c>
      <c r="K5" s="4" t="inlineStr">
        <is>
          <t>2026-03-21</t>
        </is>
      </c>
      <c r="L5" s="4" t="inlineStr">
        <is>
          <t>iFinD ifind_get_stock_info (as of 2026-10-27)；华数传媒2025年年度报告</t>
        </is>
      </c>
      <c r="M5" s="5" t="inlineStr">
        <is>
          <t>https://money.finance.sina.com.cn/corp/view/vCB_AllBulletinDetail.php?stockid=000156&amp;id=12009319</t>
        </is>
      </c>
    </row>
    <row r="6" ht="24" customHeight="1">
      <c r="B6" s="6" t="inlineStr">
        <is>
          <t>000719</t>
        </is>
      </c>
      <c r="C6" s="6" t="inlineStr">
        <is>
          <t>中原传媒</t>
        </is>
      </c>
      <c r="D6" s="6" t="inlineStr">
        <is>
          <t>数据要素_交易所</t>
        </is>
      </c>
      <c r="E6" s="6" t="inlineStr">
        <is>
          <t>摘除</t>
        </is>
      </c>
      <c r="F6" s="6" t="inlineStr"/>
      <c r="G6" s="6" t="inlineStr"/>
      <c r="H6" s="6" t="inlineStr">
        <is>
          <t>边缘</t>
        </is>
      </c>
      <c r="I6" s="6" t="inlineStr">
        <is>
          <t>公司仅出资参股郑州数据交易中心，主营业务仍为出版、发行及相关文化服务。现有证据体现的是财务投资，而非上市公司直接建设或运营数据交易平台，严格口径下不参与数据要素选股。</t>
        </is>
      </c>
      <c r="J6" s="6" t="inlineStr">
        <is>
          <t>中原传媒参股郑州数据交易中心相关说明</t>
        </is>
      </c>
      <c r="K6" s="6" t="inlineStr">
        <is>
          <t>2024-11-18</t>
        </is>
      </c>
      <c r="L6" s="6" t="inlineStr">
        <is>
          <t>iFinD ifind_get_stock_info (as of 2026-10-27)；中原传媒参股郑州数据交易中心相关说明</t>
        </is>
      </c>
      <c r="M6" s="7" t="inlineStr">
        <is>
          <t>https://yuanchuang.10jqka.com.cn/20241118/c663606520.shtml</t>
        </is>
      </c>
    </row>
    <row r="7" ht="24" customHeight="1">
      <c r="B7" s="4" t="inlineStr">
        <is>
          <t>000810</t>
        </is>
      </c>
      <c r="C7" s="4" t="inlineStr">
        <is>
          <t>创维数字</t>
        </is>
      </c>
      <c r="D7" s="4" t="inlineStr">
        <is>
          <t>物理AI_数据采集</t>
        </is>
      </c>
      <c r="E7" s="4" t="inlineStr">
        <is>
          <t>迁出数据要素</t>
        </is>
      </c>
      <c r="F7" s="4" t="inlineStr">
        <is>
          <t>物理AI</t>
        </is>
      </c>
      <c r="G7" s="4" t="inlineStr">
        <is>
          <t>物理AI_智能终端</t>
        </is>
      </c>
      <c r="H7" s="4" t="inlineStr">
        <is>
          <t>相关</t>
        </is>
      </c>
      <c r="I7" s="4" t="inlineStr">
        <is>
          <t>机顶盒、宽带连接终端、XR设备及摄像机属于智能终端硬件，现有主营资料未显示其对外提供数据采集、加工或数据集服务。应保留在物理AI终端链，而不是数据要素或数据采集概念。</t>
        </is>
      </c>
      <c r="J7" s="4" t="inlineStr">
        <is>
          <t>创维数字2025年年度报告摘要</t>
        </is>
      </c>
      <c r="K7" s="4" t="inlineStr">
        <is>
          <t>2026-03-28</t>
        </is>
      </c>
      <c r="L7" s="4" t="inlineStr">
        <is>
          <t>iFinD ifind_get_stock_info (as of 2026-10-27)；创维数字2025年年度报告摘要</t>
        </is>
      </c>
      <c r="M7" s="5" t="inlineStr">
        <is>
          <t>http://static.cninfo.com.cn/finalpage/2026-03-28/1225044554.PDF</t>
        </is>
      </c>
    </row>
    <row r="8" ht="24" customHeight="1">
      <c r="B8" s="6" t="inlineStr">
        <is>
          <t>002009</t>
        </is>
      </c>
      <c r="C8" s="6" t="inlineStr">
        <is>
          <t>天奇股份</t>
        </is>
      </c>
      <c r="D8" s="6" t="inlineStr">
        <is>
          <t>物理AI_数据采集</t>
        </is>
      </c>
      <c r="E8" s="6" t="inlineStr">
        <is>
          <t>迁出数据要素</t>
        </is>
      </c>
      <c r="F8" s="6" t="inlineStr">
        <is>
          <t>物理AI</t>
        </is>
      </c>
      <c r="G8" s="6" t="inlineStr">
        <is>
          <t>物理AI_数据采集</t>
        </is>
      </c>
      <c r="H8" s="6" t="inlineStr">
        <is>
          <t>相关</t>
        </is>
      </c>
      <c r="I8" s="6" t="inlineStr">
        <is>
          <t>具身智能业务及实训中心采集多模态真机数据，用于机器人训练和交付验证，相关能力随装备、实训及解决方案项目落地。该标签适用于物理AI训练链，不应混入数据要素股池。</t>
        </is>
      </c>
      <c r="J8" s="6" t="inlineStr">
        <is>
          <t>天奇股份2025年年度报告摘要</t>
        </is>
      </c>
      <c r="K8" s="6" t="inlineStr">
        <is>
          <t>2026-04-28</t>
        </is>
      </c>
      <c r="L8" s="6" t="inlineStr">
        <is>
          <t>iFinD ifind_get_stock_info (as of 2026-10-27)；天奇股份2025年年度报告摘要</t>
        </is>
      </c>
      <c r="M8" s="7" t="inlineStr">
        <is>
          <t>https://static.cninfo.com.cn/finalpage/2026-04-28/1225218333.PDF</t>
        </is>
      </c>
    </row>
    <row r="9" ht="24" customHeight="1">
      <c r="B9" s="4" t="inlineStr">
        <is>
          <t>002076</t>
        </is>
      </c>
      <c r="C9" s="4" t="inlineStr">
        <is>
          <t>星光股份</t>
        </is>
      </c>
      <c r="D9" s="4" t="inlineStr">
        <is>
          <t>数据要素_其他行业数据</t>
        </is>
      </c>
      <c r="E9" s="4" t="inlineStr">
        <is>
          <t>摘除</t>
        </is>
      </c>
      <c r="F9" s="4" t="inlineStr"/>
      <c r="G9" s="4" t="inlineStr"/>
      <c r="H9" s="4" t="inlineStr">
        <is>
          <t>错标</t>
        </is>
      </c>
      <c r="I9" s="4" t="inlineStr">
        <is>
          <t>公司拟收购“造价通”事项已于2025年6月终止，相关合资公司亦未实缴，不能把造价通建材价格库计入上市公司。现有主营与独立行业数据产品之间缺少可核验的承接关系。</t>
        </is>
      </c>
      <c r="J9" s="4" t="inlineStr">
        <is>
          <t>星光股份终止收购相关公告及2025年半年度报告</t>
        </is>
      </c>
      <c r="K9" s="4" t="inlineStr">
        <is>
          <t>2025-08-30</t>
        </is>
      </c>
      <c r="L9" s="4" t="inlineStr">
        <is>
          <t>iFinD ifind_get_stock_info (as of 2026-10-27)；星光股份终止收购相关公告及2025年半年度报告</t>
        </is>
      </c>
      <c r="M9" s="5" t="inlineStr">
        <is>
          <t>https://money.finance.sina.com.cn/corp/view/vCB_AllBulletinDetail.php?stockid=002076&amp;id=11423604</t>
        </is>
      </c>
    </row>
    <row r="10" ht="24" customHeight="1">
      <c r="B10" s="6" t="inlineStr">
        <is>
          <t>002354</t>
        </is>
      </c>
      <c r="C10" s="6" t="inlineStr">
        <is>
          <t>天娱数科</t>
        </is>
      </c>
      <c r="D10" s="6" t="inlineStr">
        <is>
          <t>物理AI_数据采集</t>
        </is>
      </c>
      <c r="E10" s="6" t="inlineStr">
        <is>
          <t>迁出数据要素</t>
        </is>
      </c>
      <c r="F10" s="6" t="inlineStr">
        <is>
          <t>物理AI</t>
        </is>
      </c>
      <c r="G10" s="6" t="inlineStr">
        <is>
          <t>物理AI_数据采集</t>
        </is>
      </c>
      <c r="H10" s="6" t="inlineStr">
        <is>
          <t>相关</t>
        </is>
      </c>
      <c r="I10" s="6" t="inlineStr">
        <is>
          <t>Behavision形成3D、多模态和机器人任务数据，并通过空间智能MaaS、数据集服务等方式交付，直接服务于机器人及物理AI训练。业务与物理AI相关，但不应与数据要素公共数据流通混为一组。</t>
        </is>
      </c>
      <c r="J10" s="6" t="inlineStr">
        <is>
          <t>天娱数科物理AI数据业务说明</t>
        </is>
      </c>
      <c r="K10" s="6" t="inlineStr">
        <is>
          <t>2025-07-28</t>
        </is>
      </c>
      <c r="L10" s="6" t="inlineStr">
        <is>
          <t>iFinD ifind_get_stock_info (as of 2026-10-27)；天娱数科物理AI数据业务说明</t>
        </is>
      </c>
      <c r="M10" s="7" t="inlineStr">
        <is>
          <t>https://www.tianyushuke.com/xwmt/2025/2025-07-28/907.html</t>
        </is>
      </c>
    </row>
    <row r="11" ht="24" customHeight="1">
      <c r="B11" s="4" t="inlineStr">
        <is>
          <t>002380</t>
        </is>
      </c>
      <c r="C11" s="4" t="inlineStr">
        <is>
          <t>科远智慧</t>
        </is>
      </c>
      <c r="D11" s="4" t="inlineStr">
        <is>
          <t>物理AI_数据采集</t>
        </is>
      </c>
      <c r="E11" s="4" t="inlineStr">
        <is>
          <t>迁出数据要素</t>
        </is>
      </c>
      <c r="F11" s="4" t="inlineStr">
        <is>
          <t>物理AI</t>
        </is>
      </c>
      <c r="G11" s="4" t="inlineStr">
        <is>
          <t>物理AI_数据采集</t>
        </is>
      </c>
      <c r="H11" s="4" t="inlineStr">
        <is>
          <t>相关</t>
        </is>
      </c>
      <c r="I11" s="4" t="inlineStr">
        <is>
          <t>NT6000 DCS、SyncBASE实时数据库和EmpoworX平台采集设备、工艺及质量数据，并随工控、MES、工业互联网项目交付。其采集对象主要是工业生产过程，适合物理AI工业数据链，不并入数据要素。</t>
        </is>
      </c>
      <c r="J11" s="4" t="inlineStr">
        <is>
          <t>科远智慧公司及产品体系介绍</t>
        </is>
      </c>
      <c r="K11" s="4" t="inlineStr">
        <is>
          <t>2018-08-08</t>
        </is>
      </c>
      <c r="L11" s="4" t="inlineStr">
        <is>
          <t>iFinD ifind_get_stock_info (as of 2026-10-27)；科远智慧公司及产品体系介绍</t>
        </is>
      </c>
      <c r="M11" s="5" t="inlineStr">
        <is>
          <t>https://www.sciyon.com/index.php/about/info.html</t>
        </is>
      </c>
    </row>
    <row r="12" ht="24" customHeight="1">
      <c r="B12" s="6" t="inlineStr">
        <is>
          <t>002869</t>
        </is>
      </c>
      <c r="C12" s="6" t="inlineStr">
        <is>
          <t>金溢科技</t>
        </is>
      </c>
      <c r="D12" s="6" t="inlineStr">
        <is>
          <t>数据要素_交通数据</t>
        </is>
      </c>
      <c r="E12" s="6" t="inlineStr">
        <is>
          <t>摘除</t>
        </is>
      </c>
      <c r="F12" s="6" t="inlineStr"/>
      <c r="G12" s="6" t="inlineStr"/>
      <c r="H12" s="6" t="inlineStr">
        <is>
          <t>边缘</t>
        </is>
      </c>
      <c r="I12" s="6" t="inlineStr">
        <is>
          <t>OBU、RSU、RFID及全息路口采集车辆身份、收费和路况数据，主要以智能终端、路侧设备及边端系统项目销售。未核到独立交通数据产品收费，属于上游感知和项目交付，严格口径下移出数据要素。</t>
        </is>
      </c>
      <c r="J12" s="6" t="inlineStr">
        <is>
          <t>金溢科技2024年年度报告</t>
        </is>
      </c>
      <c r="K12" s="6" t="inlineStr">
        <is>
          <t>2025-04-22</t>
        </is>
      </c>
      <c r="L12" s="6" t="inlineStr">
        <is>
          <t>iFinD ifind_get_stock_info (as of 2026-10-27)；金溢科技2024年年度报告</t>
        </is>
      </c>
      <c r="M12" s="7" t="inlineStr">
        <is>
          <t>http://money.finance.sina.com.cn/corp/view/vCB_AllBulletinDetail.php?stockid=002869&amp;id=10921058</t>
        </is>
      </c>
    </row>
    <row r="13" ht="24" customHeight="1">
      <c r="B13" s="4" t="inlineStr">
        <is>
          <t>300085</t>
        </is>
      </c>
      <c r="C13" s="4" t="inlineStr">
        <is>
          <t>银之杰</t>
        </is>
      </c>
      <c r="D13" s="4" t="inlineStr">
        <is>
          <t>数据要素_其他行业数据</t>
        </is>
      </c>
      <c r="E13" s="4" t="inlineStr">
        <is>
          <t>摘除</t>
        </is>
      </c>
      <c r="F13" s="4" t="inlineStr"/>
      <c r="G13" s="4" t="inlineStr"/>
      <c r="H13" s="4" t="inlineStr">
        <is>
          <t>边缘</t>
        </is>
      </c>
      <c r="I13" s="4" t="inlineStr">
        <is>
          <t>金融软件、数据中台为银行处理业务数据并按软件和设备交付，征信逻辑主要来自联营及参股机构。上市公司自身未见独立征信数据主产品，且其他业务占比较大，严格口径下不再纳入数据要素。</t>
        </is>
      </c>
      <c r="J13" s="4" t="inlineStr">
        <is>
          <t>银之杰2025年年度报告</t>
        </is>
      </c>
      <c r="K13" s="4" t="inlineStr">
        <is>
          <t>2026-04-15</t>
        </is>
      </c>
      <c r="L13" s="4" t="inlineStr">
        <is>
          <t>iFinD ifind_get_stock_info (as of 2026-10-27)；银之杰2025年年度报告</t>
        </is>
      </c>
      <c r="M13" s="5" t="inlineStr">
        <is>
          <t>https://money.finance.sina.com.cn/corp/view/vCB_AllBulletinDetail.php?stockid=300085&amp;id=12089901</t>
        </is>
      </c>
    </row>
    <row r="14" ht="24" customHeight="1">
      <c r="B14" s="6" t="inlineStr">
        <is>
          <t>300552</t>
        </is>
      </c>
      <c r="C14" s="6" t="inlineStr">
        <is>
          <t>万集科技</t>
        </is>
      </c>
      <c r="D14" s="6" t="inlineStr">
        <is>
          <t>数据要素_交通数据</t>
        </is>
      </c>
      <c r="E14" s="6" t="inlineStr">
        <is>
          <t>摘除</t>
        </is>
      </c>
      <c r="F14" s="6" t="inlineStr"/>
      <c r="G14" s="6" t="inlineStr"/>
      <c r="H14" s="6" t="inlineStr">
        <is>
          <t>边缘</t>
        </is>
      </c>
      <c r="I14" s="6" t="inlineStr">
        <is>
          <t>ETC、激光雷达、动态称重和V2X路侧设备采集车辆重量、轮廓、轨迹及路况数据，收入来自智能交通设备和系统项目。未核到独立交通数据产品收费，属于上游感知端。</t>
        </is>
      </c>
      <c r="J14" s="6" t="inlineStr">
        <is>
          <t>万集科技2025年年度报告</t>
        </is>
      </c>
      <c r="K14" s="6" t="inlineStr">
        <is>
          <t>2026-03-31</t>
        </is>
      </c>
      <c r="L14" s="6" t="inlineStr">
        <is>
          <t>iFinD ifind_get_stock_info (as of 2026-10-27)；万集科技2025年年度报告</t>
        </is>
      </c>
      <c r="M14" s="7" t="inlineStr">
        <is>
          <t>https://wanji.net.cn/uploadfile/2026/0331/20260331013334898.pdf</t>
        </is>
      </c>
    </row>
    <row r="15" ht="24" customHeight="1">
      <c r="B15" s="4" t="inlineStr">
        <is>
          <t>300949</t>
        </is>
      </c>
      <c r="C15" s="4" t="inlineStr">
        <is>
          <t>奥雅股份</t>
        </is>
      </c>
      <c r="D15" s="4" t="inlineStr">
        <is>
          <t>数据要素_其他行业数据</t>
        </is>
      </c>
      <c r="E15" s="4" t="inlineStr">
        <is>
          <t>摘除</t>
        </is>
      </c>
      <c r="F15" s="4" t="inlineStr"/>
      <c r="G15" s="4" t="inlineStr"/>
      <c r="H15" s="4" t="inlineStr">
        <is>
          <t>错标</t>
        </is>
      </c>
      <c r="I15" s="4" t="inlineStr">
        <is>
          <t>灵绘、奥创和植物数据库把植物、空间指标用于内部景观生成与文旅设计提效，收入仍来自景观设计和综合文旅项目。未见对外销售数据库、数据订阅或授权运营产品，数字科技不等于数据要素。</t>
        </is>
      </c>
      <c r="J15" s="4" t="inlineStr">
        <is>
          <t>奥雅股份2025年年度报告</t>
        </is>
      </c>
      <c r="K15" s="4" t="inlineStr">
        <is>
          <t>2026-04-29</t>
        </is>
      </c>
      <c r="L15" s="4" t="inlineStr">
        <is>
          <t>iFinD ifind_get_stock_info (as of 2026-10-27)；奥雅股份2025年年度报告</t>
        </is>
      </c>
      <c r="M15" s="5" t="inlineStr">
        <is>
          <t>https://money.finance.sina.com.cn/corp/view/vCB_AllBulletinDetail.php?stockid=300949&amp;id=12255135</t>
        </is>
      </c>
    </row>
    <row r="16" ht="24" customHeight="1">
      <c r="B16" s="6" t="inlineStr">
        <is>
          <t>301215</t>
        </is>
      </c>
      <c r="C16" s="6" t="inlineStr">
        <is>
          <t>中汽股份</t>
        </is>
      </c>
      <c r="D16" s="6" t="inlineStr">
        <is>
          <t>数据要素_汽车数据</t>
        </is>
      </c>
      <c r="E16" s="6" t="inlineStr">
        <is>
          <t>摘除</t>
        </is>
      </c>
      <c r="F16" s="6" t="inlineStr"/>
      <c r="G16" s="6" t="inlineStr"/>
      <c r="H16" s="6" t="inlineStr">
        <is>
          <t>边缘</t>
        </is>
      </c>
      <c r="I16" s="6" t="inlineStr">
        <is>
          <t>试验场在整车、轮胎及智能网联测试中形成车速、工况和性能数据，但客户购买的是场地及配套试验技术服务，按道路时长、里程或包场结算。测试数据服务于报告交付，未核到独立数据库销售。</t>
        </is>
      </c>
      <c r="J16" s="6" t="inlineStr">
        <is>
          <t>中汽股份2025年年度报告</t>
        </is>
      </c>
      <c r="K16" s="6" t="inlineStr">
        <is>
          <t>2026-04-29</t>
        </is>
      </c>
      <c r="L16" s="6" t="inlineStr">
        <is>
          <t>iFinD ifind_get_stock_info (as of 2026-10-27)；中汽股份2025年年度报告</t>
        </is>
      </c>
      <c r="M16" s="7" t="inlineStr">
        <is>
          <t>https://static.cninfo.com.cn/finalpage/2026-04-29/1225242619.PDF</t>
        </is>
      </c>
    </row>
    <row r="17" ht="24" customHeight="1">
      <c r="B17" s="4" t="inlineStr">
        <is>
          <t>301231</t>
        </is>
      </c>
      <c r="C17" s="4" t="inlineStr">
        <is>
          <t>荣信文化</t>
        </is>
      </c>
      <c r="D17" s="4" t="inlineStr">
        <is>
          <t>数据要素_内容数据</t>
        </is>
      </c>
      <c r="E17" s="4" t="inlineStr">
        <is>
          <t>摘除</t>
        </is>
      </c>
      <c r="F17" s="4" t="inlineStr"/>
      <c r="G17" s="4" t="inlineStr"/>
      <c r="H17" s="4" t="inlineStr">
        <is>
          <t>错标</t>
        </is>
      </c>
      <c r="I17" s="4" t="inlineStr">
        <is>
          <t>核心产品是立体书、翻翻书等少儿图书，通过策划、版权授权、印刷和发行实现销售。未核到将图书内容加工为数据库、语料包或数据接口并单独授权收费，出版版权不能直接等同内容数据产品。</t>
        </is>
      </c>
      <c r="J17" s="4" t="inlineStr">
        <is>
          <t>荣信文化2025年半年度报告</t>
        </is>
      </c>
      <c r="K17" s="4" t="inlineStr">
        <is>
          <t>2025-08-28</t>
        </is>
      </c>
      <c r="L17" s="4" t="inlineStr">
        <is>
          <t>iFinD ifind_get_stock_info (as of 2026-10-27)；荣信文化2025年半年度报告</t>
        </is>
      </c>
      <c r="M17" s="5" t="inlineStr">
        <is>
          <t>http://static.cninfo.com.cn/finalpage/2025-08-28/1224600002.PDF</t>
        </is>
      </c>
    </row>
    <row r="18" ht="24" customHeight="1">
      <c r="B18" s="6" t="inlineStr">
        <is>
          <t>301428</t>
        </is>
      </c>
      <c r="C18" s="6" t="inlineStr">
        <is>
          <t>世纪恒通</t>
        </is>
      </c>
      <c r="D18" s="6" t="inlineStr">
        <is>
          <t>数据要素_营销数据</t>
        </is>
      </c>
      <c r="E18" s="6" t="inlineStr">
        <is>
          <t>摘除</t>
        </is>
      </c>
      <c r="F18" s="6" t="inlineStr"/>
      <c r="G18" s="6" t="inlineStr"/>
      <c r="H18" s="6" t="inlineStr">
        <is>
          <t>边缘</t>
        </is>
      </c>
      <c r="I18" s="6" t="inlineStr">
        <is>
          <t>车后服务平台接入商户API，处理车主、优惠券、会员权益和营销触达数据，用于权益运营、客服及营销推广。按企业服务采购和运营项目收费，数据主要支撑自有服务，未核到独立营销数据库产品。</t>
        </is>
      </c>
      <c r="J18" s="6" t="inlineStr">
        <is>
          <t>世纪恒通2024年年度报告摘要</t>
        </is>
      </c>
      <c r="K18" s="6" t="inlineStr">
        <is>
          <t>2025-04-26</t>
        </is>
      </c>
      <c r="L18" s="6" t="inlineStr">
        <is>
          <t>iFinD ifind_get_stock_info (as of 2026-10-27)；世纪恒通2024年年度报告摘要</t>
        </is>
      </c>
      <c r="M18" s="7" t="inlineStr">
        <is>
          <t>https://static.cninfo.com.cn/finalpage/2025-04-26/1223313183.PDF</t>
        </is>
      </c>
    </row>
    <row r="19" ht="24" customHeight="1">
      <c r="B19" s="4" t="inlineStr">
        <is>
          <t>600604</t>
        </is>
      </c>
      <c r="C19" s="4" t="inlineStr">
        <is>
          <t>市北高新</t>
        </is>
      </c>
      <c r="D19" s="4" t="inlineStr">
        <is>
          <t>数据要素_交易所</t>
        </is>
      </c>
      <c r="E19" s="4" t="inlineStr">
        <is>
          <t>摘除</t>
        </is>
      </c>
      <c r="F19" s="4" t="inlineStr"/>
      <c r="G19" s="4" t="inlineStr"/>
      <c r="H19" s="4" t="inlineStr">
        <is>
          <t>边缘</t>
        </is>
      </c>
      <c r="I19" s="4" t="inlineStr">
        <is>
          <t>上市公司收入来自园区载体销售、住宅、租赁和园区服务；旧概念依据为持有上海数据交易中心少量股权，未见其负责交易所运营或按数据交易收费。少量参股只形成间接敞口。</t>
        </is>
      </c>
      <c r="J19" s="4" t="inlineStr">
        <is>
          <t>市北高新2024年年度报告</t>
        </is>
      </c>
      <c r="K19" s="4" t="inlineStr">
        <is>
          <t>2025-04-12</t>
        </is>
      </c>
      <c r="L19" s="4" t="inlineStr">
        <is>
          <t>iFinD ifind_get_stock_info (as of 2026-10-27)；市北高新2024年年度报告</t>
        </is>
      </c>
      <c r="M19" s="5" t="inlineStr">
        <is>
          <t>https://static.cninfo.com.cn/finalpage/2025-04-12/1223069636.PDF</t>
        </is>
      </c>
    </row>
    <row r="20" ht="24" customHeight="1">
      <c r="B20" s="6" t="inlineStr">
        <is>
          <t>600822</t>
        </is>
      </c>
      <c r="C20" s="6" t="inlineStr">
        <is>
          <t>上海物贸</t>
        </is>
      </c>
      <c r="D20" s="6" t="inlineStr">
        <is>
          <t>数据要素_其他行业数据</t>
        </is>
      </c>
      <c r="E20" s="6" t="inlineStr">
        <is>
          <t>摘除</t>
        </is>
      </c>
      <c r="F20" s="6" t="inlineStr"/>
      <c r="G20" s="6" t="inlineStr"/>
      <c r="H20" s="6" t="inlineStr">
        <is>
          <t>错标</t>
        </is>
      </c>
      <c r="I20" s="6" t="inlineStr">
        <is>
          <t>子公司上海有色金属交易中心曾将“有色金属现货指数查询”挂牌数据交易所，但公司风险公告明确该产品挂牌后未成交且目前暂失效，未贡献经营业绩；当前主业仍为金属和汽车贸易。</t>
        </is>
      </c>
      <c r="J20" s="6" t="inlineStr">
        <is>
          <t>上海物贸股票交易风险提示公告</t>
        </is>
      </c>
      <c r="K20" s="6" t="inlineStr">
        <is>
          <t>2025-07-17</t>
        </is>
      </c>
      <c r="L20" s="6" t="inlineStr">
        <is>
          <t>iFinD ifind_get_stock_info (as of 2026-10-27)；上海物贸股票交易风险提示公告</t>
        </is>
      </c>
      <c r="M20" s="7" t="inlineStr">
        <is>
          <t>https://data.eastmoney.com/notices/detail/600822/AN202507171710657701.html</t>
        </is>
      </c>
    </row>
    <row r="21" ht="24" customHeight="1">
      <c r="B21" s="4" t="inlineStr">
        <is>
          <t>601999</t>
        </is>
      </c>
      <c r="C21" s="4" t="inlineStr">
        <is>
          <t>出版传媒</t>
        </is>
      </c>
      <c r="D21" s="4" t="inlineStr">
        <is>
          <t>数据要素_内容数据</t>
        </is>
      </c>
      <c r="E21" s="4" t="inlineStr">
        <is>
          <t>摘除</t>
        </is>
      </c>
      <c r="F21" s="4" t="inlineStr"/>
      <c r="G21" s="4" t="inlineStr"/>
      <c r="H21" s="4" t="inlineStr">
        <is>
          <t>错标</t>
        </is>
      </c>
      <c r="I21" s="4" t="inlineStr">
        <is>
          <t>主要经营一般图书、教材教辅、纸张印刷物资和票据印刷，通过图书包销、经销及物资销售交付。未见独立数据库、内容数据接口或语料授权收费产品，不能将出版资源直接认定为内容数据业务。</t>
        </is>
      </c>
      <c r="J21" s="4" t="inlineStr">
        <is>
          <t>出版传媒2024年年度报告</t>
        </is>
      </c>
      <c r="K21" s="4" t="inlineStr">
        <is>
          <t>2025-04-10</t>
        </is>
      </c>
      <c r="L21" s="4" t="inlineStr">
        <is>
          <t>iFinD ifind_get_stock_info (as of 2026-10-27)；出版传媒2024年年度报告</t>
        </is>
      </c>
      <c r="M21" s="5" t="inlineStr">
        <is>
          <t>https://vip.stock.finance.sina.com.cn/corp/view/vCB_AllBulletinDetail.php?stockid=601999&amp;id=10859582</t>
        </is>
      </c>
    </row>
    <row r="22" ht="24" customHeight="1">
      <c r="B22" s="6" t="inlineStr">
        <is>
          <t>603341</t>
        </is>
      </c>
      <c r="C22" s="6" t="inlineStr">
        <is>
          <t>龙旗科技</t>
        </is>
      </c>
      <c r="D22" s="6" t="inlineStr">
        <is>
          <t>物理AI_数据采集</t>
        </is>
      </c>
      <c r="E22" s="6" t="inlineStr">
        <is>
          <t>迁出数据要素</t>
        </is>
      </c>
      <c r="F22" s="6" t="inlineStr">
        <is>
          <t>物理AI</t>
        </is>
      </c>
      <c r="G22" s="6" t="inlineStr">
        <is>
          <t>物理AI_智能终端</t>
        </is>
      </c>
      <c r="H22" s="6" t="inlineStr">
        <is>
          <t>相关</t>
        </is>
      </c>
      <c r="I22" s="6" t="inlineStr">
        <is>
          <t>公司按ODM模式研发、制造并销售智能手机、平板和AIoT整机，收入来自终端产品交付。终端运行虽会产生数据，但未核到面向客户的数据采集、治理或授权产品，应迁回物理AI终端链。</t>
        </is>
      </c>
      <c r="J22" s="6" t="inlineStr">
        <is>
          <t>龙旗科技2025年年度报告</t>
        </is>
      </c>
      <c r="K22" s="6" t="inlineStr">
        <is>
          <t>2026-03-30</t>
        </is>
      </c>
      <c r="L22" s="6" t="inlineStr">
        <is>
          <t>iFinD ifind_get_stock_info (as of 2026-10-27)；龙旗科技2025年年度报告</t>
        </is>
      </c>
      <c r="M22" s="7" t="inlineStr">
        <is>
          <t>https://www.hkexnews.hk/listedco/listconews/sehk/2026/0330/2026033004243_c.pdf</t>
        </is>
      </c>
    </row>
    <row r="23" ht="24" customHeight="1">
      <c r="B23" s="4" t="inlineStr">
        <is>
          <t>603466</t>
        </is>
      </c>
      <c r="C23" s="4" t="inlineStr">
        <is>
          <t>风语筑</t>
        </is>
      </c>
      <c r="D23" s="4" t="inlineStr">
        <is>
          <t>物理AI_数据采集</t>
        </is>
      </c>
      <c r="E23" s="4" t="inlineStr">
        <is>
          <t>摘除</t>
        </is>
      </c>
      <c r="F23" s="4" t="inlineStr"/>
      <c r="G23" s="4" t="inlineStr"/>
      <c r="H23" s="4" t="inlineStr">
        <is>
          <t>错标</t>
        </is>
      </c>
      <c r="I23" s="4" t="inlineStr">
        <is>
          <t>城市、文化及品牌体验空间按策划、设计、实施和维护项目收费，沉浸交互与AI视频用于展示内容。项目重点是空间体验和展陈工程，未核到独立数据采集产品、数据交付或授权收费。</t>
        </is>
      </c>
      <c r="J23" s="4" t="inlineStr">
        <is>
          <t>风语筑2025年半年度报告</t>
        </is>
      </c>
      <c r="K23" s="4" t="inlineStr">
        <is>
          <t>2025-08-29</t>
        </is>
      </c>
      <c r="L23" s="4" t="inlineStr">
        <is>
          <t>iFinD ifind_get_stock_info (as of 2026-10-27)；风语筑2025年半年度报告</t>
        </is>
      </c>
      <c r="M23" s="5" t="inlineStr">
        <is>
          <t>http://static.cninfo.com.cn/finalpage/2025-08-29/1224603815.PDF</t>
        </is>
      </c>
    </row>
    <row r="24" ht="24" customHeight="1">
      <c r="B24" s="6" t="inlineStr">
        <is>
          <t>605488</t>
        </is>
      </c>
      <c r="C24" s="6" t="inlineStr">
        <is>
          <t>福莱新材</t>
        </is>
      </c>
      <c r="D24" s="6" t="inlineStr">
        <is>
          <t>物理AI_数据采集</t>
        </is>
      </c>
      <c r="E24" s="6" t="inlineStr">
        <is>
          <t>迁出数据要素</t>
        </is>
      </c>
      <c r="F24" s="6" t="inlineStr">
        <is>
          <t>物理AI</t>
        </is>
      </c>
      <c r="G24" s="6" t="inlineStr">
        <is>
          <t>物理AI_传感器</t>
        </is>
      </c>
      <c r="H24" s="6" t="inlineStr">
        <is>
          <t>相关</t>
        </is>
      </c>
      <c r="I24" s="6" t="inlineStr">
        <is>
          <t>欧仁新材料、柔感未来等电子皮肤感知压力和剪切力，产品以柔性传感器硬件及方案销售交付，服务机器人触觉感知。其属于物理AI上游传感器，不是数据要素产品或数据运营。</t>
        </is>
      </c>
      <c r="J24" s="6" t="inlineStr">
        <is>
          <t>福莱新材2025年年度报告</t>
        </is>
      </c>
      <c r="K24" s="6" t="inlineStr">
        <is>
          <t>2026-04-28</t>
        </is>
      </c>
      <c r="L24" s="6" t="inlineStr">
        <is>
          <t>iFinD ifind_get_stock_info (as of 2026-10-27)；福莱新材2025年年度报告</t>
        </is>
      </c>
      <c r="M24" s="7" t="inlineStr">
        <is>
          <t>http://money.finance.sina.com.cn/corp/view/vCB_AllBulletinDetail.php?stockid=605488&amp;id=12210056</t>
        </is>
      </c>
    </row>
    <row r="25" ht="24" customHeight="1">
      <c r="B25" s="4" t="inlineStr">
        <is>
          <t>688686</t>
        </is>
      </c>
      <c r="C25" s="4" t="inlineStr">
        <is>
          <t>奥普特</t>
        </is>
      </c>
      <c r="D25" s="4" t="inlineStr">
        <is>
          <t>物理AI_数据采集</t>
        </is>
      </c>
      <c r="E25" s="4" t="inlineStr">
        <is>
          <t>迁出数据要素</t>
        </is>
      </c>
      <c r="F25" s="4" t="inlineStr">
        <is>
          <t>物理AI</t>
        </is>
      </c>
      <c r="G25" s="4" t="inlineStr">
        <is>
          <t>物理AI_机器视觉</t>
        </is>
      </c>
      <c r="H25" s="4" t="inlineStr">
        <is>
          <t>相关</t>
        </is>
      </c>
      <c r="I25" s="4" t="inlineStr">
        <is>
          <t>相机、光源、镜头及视觉算法采集工业图像用于检测识别，按机器视觉核心部件和解决方案销售。图像采集服务于工业检测设备，属于物理AI感知上游，未形成数据要素产品或数据运营。</t>
        </is>
      </c>
      <c r="J25" s="4" t="inlineStr">
        <is>
          <t>奥普特2025年年度报告</t>
        </is>
      </c>
      <c r="K25" s="4" t="inlineStr">
        <is>
          <t>2026-04-03</t>
        </is>
      </c>
      <c r="L25" s="4" t="inlineStr">
        <is>
          <t>iFinD ifind_get_stock_info (as of 2026-10-27)；奥普特2025年年度报告</t>
        </is>
      </c>
      <c r="M25" s="5" t="inlineStr">
        <is>
          <t>https://vip.stock.finance.sina.com.cn/corp/view/vCB_AllBulletinDetail.php?stockid=688686&amp;id=12060637</t>
        </is>
      </c>
    </row>
  </sheetData>
  <autoFilter ref="B4:M25"/>
  <mergeCells count="2">
    <mergeCell ref="B3:M3"/>
    <mergeCell ref="B2:M2"/>
  </mergeCell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B2:M19"/>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2" customWidth="1" min="2" max="2"/>
    <col width="14" customWidth="1" min="3" max="3"/>
    <col width="32" customWidth="1" min="4" max="4"/>
    <col width="16" customWidth="1" min="5" max="5"/>
    <col width="14" customWidth="1" min="6" max="6"/>
    <col width="28" customWidth="1" min="7" max="7"/>
    <col width="10" customWidth="1" min="8" max="8"/>
    <col width="95" customWidth="1" min="9" max="9"/>
    <col width="36" customWidth="1" min="10" max="10"/>
    <col width="14" customWidth="1" min="11" max="11"/>
    <col width="46" customWidth="1" min="12" max="12"/>
    <col width="72" customWidth="1" min="13" max="13"/>
  </cols>
  <sheetData>
    <row r="2" ht="32" customHeight="1">
      <c r="B2" s="1" t="inlineStr">
        <is>
          <t>数据存储 · 截图原15只专项复核</t>
        </is>
      </c>
    </row>
    <row r="3">
      <c r="B3" s="2" t="inlineStr">
        <is>
          <t>重点纠正把数据库、数据治理、数据运营和IDC全部混入“数据存储”的旧口径。</t>
        </is>
      </c>
    </row>
    <row r="4" ht="26" customHeight="1">
      <c r="B4" s="3" t="inlineStr">
        <is>
          <t>代码</t>
        </is>
      </c>
      <c r="C4" s="3" t="inlineStr">
        <is>
          <t>名称</t>
        </is>
      </c>
      <c r="D4" s="3" t="inlineStr">
        <is>
          <t>旧概念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002368</t>
        </is>
      </c>
      <c r="C5" s="4" t="inlineStr">
        <is>
          <t>太极股份</t>
        </is>
      </c>
      <c r="D5" s="4" t="inlineStr">
        <is>
          <t>数据要素_数据存储</t>
        </is>
      </c>
      <c r="E5" s="4" t="inlineStr">
        <is>
          <t>重分类</t>
        </is>
      </c>
      <c r="F5" s="4" t="inlineStr">
        <is>
          <t>数据要素</t>
        </is>
      </c>
      <c r="G5" s="4" t="inlineStr">
        <is>
          <t>数据要素_数据库</t>
        </is>
      </c>
      <c r="H5" s="4" t="inlineStr">
        <is>
          <t>相关</t>
        </is>
      </c>
      <c r="I5" s="4" t="inlineStr">
        <is>
          <t>电科金仓KingbaseES、KES及分布式HTAP数据库通过许可、一体机和项目方式交付，承担数据组织、查询、事务处理和管理功能。产品层级是数据库软件，不等同于通用存储设备。</t>
        </is>
      </c>
      <c r="J5" s="4" t="inlineStr">
        <is>
          <t>太极股份2024年年度报告</t>
        </is>
      </c>
      <c r="K5" s="4" t="inlineStr">
        <is>
          <t>2025-04-02</t>
        </is>
      </c>
      <c r="L5" s="4" t="inlineStr">
        <is>
          <t>iFinD ifind_get_stock_info (as of 2026-10-27)；太极股份2024年年度报告</t>
        </is>
      </c>
      <c r="M5" s="5" t="inlineStr">
        <is>
          <t>https://money.finance.sina.com.cn/corp/view/vCB_AllBulletinDetail.php?stockid=002368&amp;id=10840405</t>
        </is>
      </c>
    </row>
    <row r="6" ht="24" customHeight="1">
      <c r="B6" s="6" t="inlineStr">
        <is>
          <t>601728</t>
        </is>
      </c>
      <c r="C6" s="6" t="inlineStr">
        <is>
          <t>中国电信</t>
        </is>
      </c>
      <c r="D6" s="6" t="inlineStr">
        <is>
          <t>数据要素_数据存储</t>
        </is>
      </c>
      <c r="E6" s="6" t="inlineStr">
        <is>
          <t>保留</t>
        </is>
      </c>
      <c r="F6" s="6" t="inlineStr">
        <is>
          <t>数据要素</t>
        </is>
      </c>
      <c r="G6" s="6" t="inlineStr">
        <is>
          <t>数据要素_数据存储</t>
        </is>
      </c>
      <c r="H6" s="6" t="inlineStr">
        <is>
          <t>相关</t>
        </is>
      </c>
      <c r="I6" s="6" t="inlineStr">
        <is>
          <t>天翼云和IDC为政企客户提供云资源、机柜、存储及产业数字化服务，按资源使用和项目服务收费。数据存储属于明确业务板块，但集团主要仍是通信及云网基础设施。</t>
        </is>
      </c>
      <c r="J6" s="6" t="inlineStr">
        <is>
          <t>中国电信2024年年度报告</t>
        </is>
      </c>
      <c r="K6" s="6" t="inlineStr">
        <is>
          <t>2025-03-25</t>
        </is>
      </c>
      <c r="L6" s="6" t="inlineStr">
        <is>
          <t>iFinD ifind_get_stock_info (as of 2026-10-27)；中国电信2024年年度报告</t>
        </is>
      </c>
      <c r="M6" s="7" t="inlineStr">
        <is>
          <t>https://www.chinatelecom-h.com/sc/ir/report/annual2024_ashare.pdf</t>
        </is>
      </c>
    </row>
    <row r="7" ht="24" customHeight="1">
      <c r="B7" s="4" t="inlineStr">
        <is>
          <t>000948</t>
        </is>
      </c>
      <c r="C7" s="4" t="inlineStr">
        <is>
          <t>南天信息</t>
        </is>
      </c>
      <c r="D7" s="4" t="inlineStr">
        <is>
          <t>数据要素_数据存储</t>
        </is>
      </c>
      <c r="E7" s="4" t="inlineStr">
        <is>
          <t>重分类</t>
        </is>
      </c>
      <c r="F7" s="4" t="inlineStr">
        <is>
          <t>数据要素</t>
        </is>
      </c>
      <c r="G7" s="4" t="inlineStr">
        <is>
          <t>数据要素_数据治理</t>
        </is>
      </c>
      <c r="H7" s="4" t="inlineStr">
        <is>
          <t>相关</t>
        </is>
      </c>
      <c r="I7" s="4" t="inlineStr">
        <is>
          <t>南天数据资产管理平台覆盖数据集成、治理、目录、盘点和运营，主要面向金融客户以IT项目方式交付。其价值在于把分散数据加工为可管理、可使用的资产，而非提供底层存储介质。</t>
        </is>
      </c>
      <c r="J7" s="4" t="inlineStr">
        <is>
          <t>南天数据资产管理平台</t>
        </is>
      </c>
      <c r="K7" s="4" t="inlineStr">
        <is>
          <t>2024-07-30</t>
        </is>
      </c>
      <c r="L7" s="4" t="inlineStr">
        <is>
          <t>iFinD ifind_get_stock_info (as of 2026-10-27)；南天数据资产管理平台</t>
        </is>
      </c>
      <c r="M7" s="5" t="inlineStr">
        <is>
          <t>https://www.nantian.com.cn/case-detail/2375.html</t>
        </is>
      </c>
    </row>
    <row r="8" ht="24" customHeight="1">
      <c r="B8" s="6" t="inlineStr">
        <is>
          <t>603138</t>
        </is>
      </c>
      <c r="C8" s="6" t="inlineStr">
        <is>
          <t>海量数据</t>
        </is>
      </c>
      <c r="D8" s="6" t="inlineStr">
        <is>
          <t>数据要素_数据存储</t>
        </is>
      </c>
      <c r="E8" s="6" t="inlineStr">
        <is>
          <t>重分类</t>
        </is>
      </c>
      <c r="F8" s="6" t="inlineStr">
        <is>
          <t>数据要素</t>
        </is>
      </c>
      <c r="G8" s="6" t="inlineStr">
        <is>
          <t>数据要素_数据库</t>
        </is>
      </c>
      <c r="H8" s="6" t="inlineStr">
        <is>
          <t>核心</t>
        </is>
      </c>
      <c r="I8" s="6" t="inlineStr">
        <is>
          <t>Vastbase G100、V100、M100是明确数据库主产品，处理关系、向量等数据，以软件使用许可销售并配套迁移、运维服务。交付标的即数据库软件及持续服务，应与基础设施型数据存储区分。</t>
        </is>
      </c>
      <c r="J8" s="6" t="inlineStr">
        <is>
          <t>海量数据2025年年度报告</t>
        </is>
      </c>
      <c r="K8" s="6" t="inlineStr">
        <is>
          <t>2026-04-17</t>
        </is>
      </c>
      <c r="L8" s="6" t="inlineStr">
        <is>
          <t>iFinD ifind_get_stock_info (as of 2026-10-27)；海量数据2025年年度报告</t>
        </is>
      </c>
      <c r="M8" s="7" t="inlineStr">
        <is>
          <t>http://file.finance.sina.com.cn/211.154.219.97:9494/MRGG/CNSESH_STOCK/2026/2026-4/2026-04-17/12102825.PDF</t>
        </is>
      </c>
    </row>
    <row r="9" ht="24" customHeight="1">
      <c r="B9" s="4" t="inlineStr">
        <is>
          <t>600050</t>
        </is>
      </c>
      <c r="C9" s="4" t="inlineStr">
        <is>
          <t>中国联通</t>
        </is>
      </c>
      <c r="D9" s="4" t="inlineStr">
        <is>
          <t>数据要素_数据存储</t>
        </is>
      </c>
      <c r="E9" s="4" t="inlineStr">
        <is>
          <t>保留</t>
        </is>
      </c>
      <c r="F9" s="4" t="inlineStr">
        <is>
          <t>数据要素</t>
        </is>
      </c>
      <c r="G9" s="4" t="inlineStr">
        <is>
          <t>数据要素_数据存储</t>
        </is>
      </c>
      <c r="H9" s="4" t="inlineStr">
        <is>
          <t>相关</t>
        </is>
      </c>
      <c r="I9" s="4" t="inlineStr">
        <is>
          <t>联通云和数据中心面向政企提供云网、机柜、存储及算力资源，按通信、云资源和数据中心服务收费。虽另有政务数据平台及可信数据空间，集团主要交付仍是连接和算网基础设施。</t>
        </is>
      </c>
      <c r="J9" s="4" t="inlineStr">
        <is>
          <t>中国联通2024年年度报告摘要</t>
        </is>
      </c>
      <c r="K9" s="4" t="inlineStr">
        <is>
          <t>2025-03-18</t>
        </is>
      </c>
      <c r="L9" s="4" t="inlineStr">
        <is>
          <t>iFinD ifind_get_stock_info (as of 2026-10-27)；中国联通2024年年度报告摘要</t>
        </is>
      </c>
      <c r="M9" s="5" t="inlineStr">
        <is>
          <t>http://file.finance.sina.com.cn/211.154.219.97:9494/MRGG/CNSESH_STOCK/2025/2025-3/2025-03-19/10790569.PDF</t>
        </is>
      </c>
    </row>
    <row r="10" ht="24" customHeight="1">
      <c r="B10" s="6" t="inlineStr">
        <is>
          <t>600941</t>
        </is>
      </c>
      <c r="C10" s="6" t="inlineStr">
        <is>
          <t>中国移动</t>
        </is>
      </c>
      <c r="D10" s="6" t="inlineStr">
        <is>
          <t>数据要素_数据存储</t>
        </is>
      </c>
      <c r="E10" s="6" t="inlineStr">
        <is>
          <t>保留</t>
        </is>
      </c>
      <c r="F10" s="6" t="inlineStr">
        <is>
          <t>数据要素</t>
        </is>
      </c>
      <c r="G10" s="6" t="inlineStr">
        <is>
          <t>数据要素_数据存储</t>
        </is>
      </c>
      <c r="H10" s="6" t="inlineStr">
        <is>
          <t>相关</t>
        </is>
      </c>
      <c r="I10" s="6" t="inlineStr">
        <is>
          <t>移动云和数据中心、AIDC提供云存储、机柜及算网服务，按云资源和政企项目收费。梧桐大数据等能力不能改变集团以通信连接和基础设施为主的交付结构，因此不列为核心数据产品商。</t>
        </is>
      </c>
      <c r="J10" s="6" t="inlineStr">
        <is>
          <t>中国移动2024年业绩及数字化转型说明</t>
        </is>
      </c>
      <c r="K10" s="6" t="inlineStr">
        <is>
          <t>2025-03-20</t>
        </is>
      </c>
      <c r="L10" s="6" t="inlineStr">
        <is>
          <t>iFinD ifind_get_stock_info (as of 2026-10-27)；中国移动2024年业绩及数字化转型说明</t>
        </is>
      </c>
      <c r="M10" s="7" t="inlineStr">
        <is>
          <t>https://www.10086.cn/aboutus/news/groupnews/index_detail_52089.html</t>
        </is>
      </c>
    </row>
    <row r="11" ht="24" customHeight="1">
      <c r="B11" s="4" t="inlineStr">
        <is>
          <t>000032</t>
        </is>
      </c>
      <c r="C11" s="4" t="inlineStr">
        <is>
          <t>深桑达A</t>
        </is>
      </c>
      <c r="D11" s="4" t="inlineStr">
        <is>
          <t>数据要素_数据存储</t>
        </is>
      </c>
      <c r="E11" s="4" t="inlineStr">
        <is>
          <t>重分类</t>
        </is>
      </c>
      <c r="F11" s="4" t="inlineStr">
        <is>
          <t>数据要素</t>
        </is>
      </c>
      <c r="G11" s="4" t="inlineStr">
        <is>
          <t>数据要素_数据运营</t>
        </is>
      </c>
      <c r="H11" s="4" t="inlineStr">
        <is>
          <t>核心</t>
        </is>
      </c>
      <c r="I11" s="4" t="inlineStr">
        <is>
          <t>中国电子云数据港对接获授权的公共数据与社会数据，开展治理、融合和产品孵化，并以“蚝保宝”等数据产品面向企业及交易所输出。业务重点是持续运营和数据产品服务，而非单纯提供存储资源。</t>
        </is>
      </c>
      <c r="J11" s="4" t="inlineStr">
        <is>
          <t>深桑达A 2024年年度报告摘要</t>
        </is>
      </c>
      <c r="K11" s="4" t="inlineStr">
        <is>
          <t>2025-04-25</t>
        </is>
      </c>
      <c r="L11" s="4" t="inlineStr">
        <is>
          <t>iFinD ifind_get_stock_info (as of 2026-10-27)；深桑达A 2024年年度报告摘要</t>
        </is>
      </c>
      <c r="M11" s="5" t="inlineStr">
        <is>
          <t>https://static.cninfo.com.cn/finalpage/2025-04-25/1223281534.PDF</t>
        </is>
      </c>
    </row>
    <row r="12" ht="24" customHeight="1">
      <c r="B12" s="6" t="inlineStr">
        <is>
          <t>000158</t>
        </is>
      </c>
      <c r="C12" s="6" t="inlineStr">
        <is>
          <t>常山北明</t>
        </is>
      </c>
      <c r="D12" s="6" t="inlineStr">
        <is>
          <t>数据要素_数据存储</t>
        </is>
      </c>
      <c r="E12" s="6" t="inlineStr">
        <is>
          <t>重分类</t>
        </is>
      </c>
      <c r="F12" s="6" t="inlineStr">
        <is>
          <t>数据要素</t>
        </is>
      </c>
      <c r="G12" s="6" t="inlineStr">
        <is>
          <t>数据要素_数据治理</t>
        </is>
      </c>
      <c r="H12" s="6" t="inlineStr">
        <is>
          <t>相关</t>
        </is>
      </c>
      <c r="I12" s="6" t="inlineStr">
        <is>
          <t>北明软件具备数据资源化、产品化、资产化、资本化流程服务，配有数据资产管理平台，并在交通、港口及企业场景开展统一治理。收入仍主要来自系统集成、行业解决方案和定制软件，不属于底层存储产品。</t>
        </is>
      </c>
      <c r="J12" s="6" t="inlineStr">
        <is>
          <t>常山北明2025年年度报告</t>
        </is>
      </c>
      <c r="K12" s="6" t="inlineStr">
        <is>
          <t>2026-04-03</t>
        </is>
      </c>
      <c r="L12" s="6" t="inlineStr">
        <is>
          <t>iFinD ifind_get_stock_info (as of 2026-10-27)；常山北明2025年年度报告</t>
        </is>
      </c>
      <c r="M12" s="7" t="inlineStr">
        <is>
          <t>http://money.finance.sina.com.cn/corp/view/vCB_AllBulletinDetail.php?stockid=000158&amp;id=12060253</t>
        </is>
      </c>
    </row>
    <row r="13" ht="24" customHeight="1">
      <c r="B13" s="4" t="inlineStr">
        <is>
          <t>000815</t>
        </is>
      </c>
      <c r="C13" s="4" t="inlineStr">
        <is>
          <t>美利云</t>
        </is>
      </c>
      <c r="D13" s="4" t="inlineStr">
        <is>
          <t>数据要素_数据存储</t>
        </is>
      </c>
      <c r="E13" s="4" t="inlineStr">
        <is>
          <t>升级</t>
        </is>
      </c>
      <c r="F13" s="4" t="inlineStr">
        <is>
          <t>数据要素</t>
        </is>
      </c>
      <c r="G13" s="4" t="inlineStr">
        <is>
          <t>数据要素_数据存储</t>
        </is>
      </c>
      <c r="H13" s="4" t="inlineStr">
        <is>
          <t>相关</t>
        </is>
      </c>
      <c r="I13" s="4" t="inlineStr">
        <is>
          <t>公司已于2024年底停止造纸，旧“造纸为主”理由失效；誉成云创目前提供机架、网络接入及运维并按合同收费，云业务已成为主体。其本质仍是IDC基础设施服务，而非数据内容运营，故列相关而非核心。</t>
        </is>
      </c>
      <c r="J13" s="4" t="inlineStr">
        <is>
          <t>美利云2025年年度报告</t>
        </is>
      </c>
      <c r="K13" s="4" t="inlineStr">
        <is>
          <t>2026-04-24</t>
        </is>
      </c>
      <c r="L13" s="4" t="inlineStr">
        <is>
          <t>iFinD ifind_get_stock_info (as of 2026-10-27)；美利云2025年年度报告</t>
        </is>
      </c>
      <c r="M13" s="5" t="inlineStr">
        <is>
          <t>http://static.cninfo.com.cn/finalpage/2026-04-24/1225160605.PDF</t>
        </is>
      </c>
    </row>
    <row r="14" ht="24" customHeight="1">
      <c r="B14" s="6" t="inlineStr">
        <is>
          <t>000938</t>
        </is>
      </c>
      <c r="C14" s="6" t="inlineStr">
        <is>
          <t>紫光股份</t>
        </is>
      </c>
      <c r="D14" s="6" t="inlineStr">
        <is>
          <t>数据要素_数据存储</t>
        </is>
      </c>
      <c r="E14" s="6" t="inlineStr">
        <is>
          <t>保留</t>
        </is>
      </c>
      <c r="F14" s="6" t="inlineStr">
        <is>
          <t>数据要素</t>
        </is>
      </c>
      <c r="G14" s="6" t="inlineStr">
        <is>
          <t>数据要素_数据存储</t>
        </is>
      </c>
      <c r="H14" s="6" t="inlineStr">
        <is>
          <t>相关</t>
        </is>
      </c>
      <c r="I14" s="6" t="inlineStr">
        <is>
          <t>新华三ONEStor、UniStor等产品处理块、文件、对象及非结构化数据，通过软硬件、软件授权和解决方案交付。产品确属数据存储基础设施，但上市公司业务还覆盖网络、计算及云服务，因此维持相关。</t>
        </is>
      </c>
      <c r="J14" s="6" t="inlineStr">
        <is>
          <t>H3C ONEStor分布式存储软件</t>
        </is>
      </c>
      <c r="K14" s="6" t="inlineStr">
        <is>
          <t>无日期</t>
        </is>
      </c>
      <c r="L14" s="6" t="inlineStr">
        <is>
          <t>iFinD ifind_get_stock_info (as of 2026-10-27)；H3C ONEStor分布式存储软件</t>
        </is>
      </c>
      <c r="M14" s="7" t="inlineStr">
        <is>
          <t>https://www.h3c.com/cn/Products_And_Solution/Storage/H3C/Products/Mass_Storage_Device/Products_Series/Software/ONEStor_5.0/</t>
        </is>
      </c>
    </row>
    <row r="15" ht="24" customHeight="1">
      <c r="B15" s="4" t="inlineStr">
        <is>
          <t>300895</t>
        </is>
      </c>
      <c r="C15" s="4" t="inlineStr">
        <is>
          <t>铜牛信息</t>
        </is>
      </c>
      <c r="D15" s="4" t="inlineStr">
        <is>
          <t>数据要素_数据存储</t>
        </is>
      </c>
      <c r="E15" s="4" t="inlineStr">
        <is>
          <t>保留</t>
        </is>
      </c>
      <c r="F15" s="4" t="inlineStr">
        <is>
          <t>数据要素</t>
        </is>
      </c>
      <c r="G15" s="4" t="inlineStr">
        <is>
          <t>数据要素_数据存储</t>
        </is>
      </c>
      <c r="H15" s="4" t="inlineStr">
        <is>
          <t>相关</t>
        </is>
      </c>
      <c r="I15" s="4" t="inlineStr">
        <is>
          <t>自建IDC和云平台为客户托管服务器，提供带宽、备份、恢复和日志分析，按资源、托管及系统集成收费。公司承载客户数据而不生产或运营自有数据内容，属于数据存储基础设施。</t>
        </is>
      </c>
      <c r="J15" s="4" t="inlineStr">
        <is>
          <t>铜牛信息2025年年度报告</t>
        </is>
      </c>
      <c r="K15" s="4" t="inlineStr">
        <is>
          <t>2026-04-23</t>
        </is>
      </c>
      <c r="L15" s="4" t="inlineStr">
        <is>
          <t>iFinD ifind_get_stock_info (as of 2026-10-27)；铜牛信息2025年年度报告</t>
        </is>
      </c>
      <c r="M15" s="5" t="inlineStr">
        <is>
          <t>https://money.finance.sina.com.cn/corp/view/vCB_AllBulletinDetail.php?stockid=300895&amp;id=12153341</t>
        </is>
      </c>
    </row>
    <row r="16" ht="24" customHeight="1">
      <c r="B16" s="6" t="inlineStr">
        <is>
          <t>002642</t>
        </is>
      </c>
      <c r="C16" s="6" t="inlineStr">
        <is>
          <t>荣联科技</t>
        </is>
      </c>
      <c r="D16" s="6" t="inlineStr">
        <is>
          <t>数据要素_数据存储</t>
        </is>
      </c>
      <c r="E16" s="6" t="inlineStr">
        <is>
          <t>保留</t>
        </is>
      </c>
      <c r="F16" s="6" t="inlineStr">
        <is>
          <t>数据要素</t>
        </is>
      </c>
      <c r="G16" s="6" t="inlineStr">
        <is>
          <t>数据要素_数据存储</t>
        </is>
      </c>
      <c r="H16" s="6" t="inlineStr">
        <is>
          <t>相关</t>
        </is>
      </c>
      <c r="I16" s="6" t="inlineStr">
        <is>
          <t>为企业建设数据中心、存储和容灾系统，并对物联网、生物医疗数据做清洗、备份和分析，收入按系统集成、技术服务和产品交付。未见自有数据库或独立数据订阅主产品，维持数据存储相关。</t>
        </is>
      </c>
      <c r="J16" s="6" t="inlineStr">
        <is>
          <t>荣联科技2025年年度报告</t>
        </is>
      </c>
      <c r="K16" s="6" t="inlineStr">
        <is>
          <t>2026-03-28</t>
        </is>
      </c>
      <c r="L16" s="6" t="inlineStr">
        <is>
          <t>iFinD ifind_get_stock_info (as of 2026-10-27)；荣联科技2025年年度报告</t>
        </is>
      </c>
      <c r="M16" s="7" t="inlineStr">
        <is>
          <t>https://static.cninfo.com.cn/finalpage/2026-03-28/1225043883.PDF</t>
        </is>
      </c>
    </row>
    <row r="17" ht="24" customHeight="1">
      <c r="B17" s="4" t="inlineStr">
        <is>
          <t>002152</t>
        </is>
      </c>
      <c r="C17" s="4" t="inlineStr">
        <is>
          <t>广电运通</t>
        </is>
      </c>
      <c r="D17" s="4" t="inlineStr">
        <is>
          <t>数据要素_数据存储</t>
        </is>
      </c>
      <c r="E17" s="4" t="inlineStr">
        <is>
          <t>重分类</t>
        </is>
      </c>
      <c r="F17" s="4" t="inlineStr">
        <is>
          <t>数据要素</t>
        </is>
      </c>
      <c r="G17" s="4" t="inlineStr">
        <is>
          <t>数据要素_数据运营</t>
        </is>
      </c>
      <c r="H17" s="4" t="inlineStr">
        <is>
          <t>相关</t>
        </is>
      </c>
      <c r="I17" s="4" t="inlineStr">
        <is>
          <t>运通信息、清远数投参与公共数据运营，“清易贷”“清易保”等产品已上架，中数智汇拥有产业链及ESG数据集。业务覆盖数据治理、产品开发和场景运营，但上市公司仍包含大量智能终端业务。</t>
        </is>
      </c>
      <c r="J17" s="4" t="inlineStr">
        <is>
          <t>广电运通公共数据运营业务说明</t>
        </is>
      </c>
      <c r="K17" s="4" t="inlineStr">
        <is>
          <t>2025-08-01</t>
        </is>
      </c>
      <c r="L17" s="4" t="inlineStr">
        <is>
          <t>iFinD ifind_get_stock_info (as of 2026-10-27)；广电运通公共数据运营业务说明</t>
        </is>
      </c>
      <c r="M17" s="5" t="inlineStr">
        <is>
          <t>https://www.grgbanking.com/cn/news/detail.html?id=2308</t>
        </is>
      </c>
    </row>
    <row r="18" ht="24" customHeight="1">
      <c r="B18" s="6" t="inlineStr">
        <is>
          <t>600602</t>
        </is>
      </c>
      <c r="C18" s="6" t="inlineStr">
        <is>
          <t>云赛智联</t>
        </is>
      </c>
      <c r="D18" s="6" t="inlineStr">
        <is>
          <t>数据要素_数据存储</t>
        </is>
      </c>
      <c r="E18" s="6" t="inlineStr">
        <is>
          <t>保留</t>
        </is>
      </c>
      <c r="F18" s="6" t="inlineStr">
        <is>
          <t>数据要素</t>
        </is>
      </c>
      <c r="G18" s="6" t="inlineStr">
        <is>
          <t>数据要素_数据存储</t>
        </is>
      </c>
      <c r="H18" s="6" t="inlineStr">
        <is>
          <t>相关</t>
        </is>
      </c>
      <c r="I18" s="6" t="inlineStr">
        <is>
          <t>云计算大数据板块提供IDC基础设施及增值、互联网接入、VPN、IaaS和算力服务，并承接数据采集、清洗、治理项目；按机柜、云资源及技术项目收费，存储与治理服务明确但不是独立数据产品销售。</t>
        </is>
      </c>
      <c r="J18" s="6" t="inlineStr">
        <is>
          <t>云赛智联2024年年度报告</t>
        </is>
      </c>
      <c r="K18" s="6" t="inlineStr">
        <is>
          <t>2025-03-26</t>
        </is>
      </c>
      <c r="L18" s="6" t="inlineStr">
        <is>
          <t>iFinD ifind_get_stock_info (as of 2026-10-27)；云赛智联2024年年度报告</t>
        </is>
      </c>
      <c r="M18" s="7" t="inlineStr">
        <is>
          <t>https://pdf.dfcfw.com/pdf/H2_AN202503261647812272_1.pdf</t>
        </is>
      </c>
    </row>
    <row r="19" ht="24" customHeight="1">
      <c r="B19" s="4" t="inlineStr">
        <is>
          <t>600037</t>
        </is>
      </c>
      <c r="C19" s="4" t="inlineStr">
        <is>
          <t>歌华有线</t>
        </is>
      </c>
      <c r="D19" s="4" t="inlineStr">
        <is>
          <t>数据要素_数据存储</t>
        </is>
      </c>
      <c r="E19" s="4" t="inlineStr">
        <is>
          <t>保留</t>
        </is>
      </c>
      <c r="F19" s="4" t="inlineStr">
        <is>
          <t>数据要素</t>
        </is>
      </c>
      <c r="G19" s="4" t="inlineStr">
        <is>
          <t>数据要素_数据存储</t>
        </is>
      </c>
      <c r="H19" s="4" t="inlineStr">
        <is>
          <t>相关</t>
        </is>
      </c>
      <c r="I19" s="4" t="inlineStr">
        <is>
          <t>主营仍为北京地区有线电视网络，同时建设“歌华云”混合云并具备IaaS、PaaS、SaaS能力，为集团客户提供云和数据业务服务。按云资源及项目服务收费，属于存储基础设施。</t>
        </is>
      </c>
      <c r="J19" s="4" t="inlineStr">
        <is>
          <t>歌华有线2024年年度报告</t>
        </is>
      </c>
      <c r="K19" s="4" t="inlineStr">
        <is>
          <t>2025-04-25</t>
        </is>
      </c>
      <c r="L19" s="4" t="inlineStr">
        <is>
          <t>iFinD ifind_get_stock_info (as of 2026-10-27)；歌华有线2024年年度报告</t>
        </is>
      </c>
      <c r="M19" s="5" t="inlineStr">
        <is>
          <t>http://money.finance.sina.com.cn/corp/view/vCB_AllBulletinDetail.php?stockid=600037&amp;id=10962081</t>
        </is>
      </c>
    </row>
  </sheetData>
  <autoFilter ref="B4:M19"/>
  <mergeCells count="2">
    <mergeCell ref="B3:M3"/>
    <mergeCell ref="B2:M2"/>
  </mergeCells>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sheetPr>
  <dimension ref="B2:E3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4" customWidth="1" min="2" max="2"/>
    <col width="16" customWidth="1" min="3" max="3"/>
    <col width="16" customWidth="1" min="4" max="4"/>
    <col width="16" customWidth="1" min="5" max="5"/>
  </cols>
  <sheetData>
    <row r="2" ht="32" customHeight="1">
      <c r="B2" s="1" t="inlineStr">
        <is>
          <t>保留股池 · 二级概念分布</t>
        </is>
      </c>
    </row>
    <row r="3">
      <c r="B3" s="2" t="inlineStr">
        <is>
          <t>统计范围仅为清洗后保留的77只；数量由公式引用“保留股池”计算。</t>
        </is>
      </c>
    </row>
    <row r="4">
      <c r="B4" s="8" t="inlineStr">
        <is>
          <t>二级概念</t>
        </is>
      </c>
      <c r="C4" s="8" t="inlineStr">
        <is>
          <t>核心（只）</t>
        </is>
      </c>
      <c r="D4" s="8" t="inlineStr">
        <is>
          <t>相关（只）</t>
        </is>
      </c>
      <c r="E4" s="8" t="inlineStr">
        <is>
          <t>合计（只）</t>
        </is>
      </c>
    </row>
    <row r="5">
      <c r="B5" s="9" t="inlineStr">
        <is>
          <t>数据要素_交易所</t>
        </is>
      </c>
      <c r="C5" s="10">
        <f>COUNTIFS('保留股池'!$G$5:$G$81,B5,'保留股池'!$H$5:$H$81,"核心")</f>
        <v/>
      </c>
      <c r="D5" s="10">
        <f>COUNTIFS('保留股池'!$G$5:$G$81,B5,'保留股池'!$H$5:$H$81,"相关")</f>
        <v/>
      </c>
      <c r="E5" s="11">
        <f>SUM(C5:D5)</f>
        <v/>
      </c>
    </row>
    <row r="6">
      <c r="B6" s="12" t="inlineStr">
        <is>
          <t>数据要素_交通数据</t>
        </is>
      </c>
      <c r="C6" s="13">
        <f>COUNTIFS('保留股池'!$G$5:$G$81,B6,'保留股池'!$H$5:$H$81,"核心")</f>
        <v/>
      </c>
      <c r="D6" s="13">
        <f>COUNTIFS('保留股池'!$G$5:$G$81,B6,'保留股池'!$H$5:$H$81,"相关")</f>
        <v/>
      </c>
      <c r="E6" s="14">
        <f>SUM(C6:D6)</f>
        <v/>
      </c>
    </row>
    <row r="7">
      <c r="B7" s="9" t="inlineStr">
        <is>
          <t>数据要素_其他行业数据</t>
        </is>
      </c>
      <c r="C7" s="10">
        <f>COUNTIFS('保留股池'!$G$5:$G$81,B7,'保留股池'!$H$5:$H$81,"核心")</f>
        <v/>
      </c>
      <c r="D7" s="10">
        <f>COUNTIFS('保留股池'!$G$5:$G$81,B7,'保留股池'!$H$5:$H$81,"相关")</f>
        <v/>
      </c>
      <c r="E7" s="11">
        <f>SUM(C7:D7)</f>
        <v/>
      </c>
    </row>
    <row r="8">
      <c r="B8" s="12" t="inlineStr">
        <is>
          <t>数据要素_内容数据</t>
        </is>
      </c>
      <c r="C8" s="13">
        <f>COUNTIFS('保留股池'!$G$5:$G$81,B8,'保留股池'!$H$5:$H$81,"核心")</f>
        <v/>
      </c>
      <c r="D8" s="13">
        <f>COUNTIFS('保留股池'!$G$5:$G$81,B8,'保留股池'!$H$5:$H$81,"相关")</f>
        <v/>
      </c>
      <c r="E8" s="14">
        <f>SUM(C8:D8)</f>
        <v/>
      </c>
    </row>
    <row r="9">
      <c r="B9" s="9" t="inlineStr">
        <is>
          <t>数据要素_医疗数据</t>
        </is>
      </c>
      <c r="C9" s="10">
        <f>COUNTIFS('保留股池'!$G$5:$G$81,B9,'保留股池'!$H$5:$H$81,"核心")</f>
        <v/>
      </c>
      <c r="D9" s="10">
        <f>COUNTIFS('保留股池'!$G$5:$G$81,B9,'保留股池'!$H$5:$H$81,"相关")</f>
        <v/>
      </c>
      <c r="E9" s="11">
        <f>SUM(C9:D9)</f>
        <v/>
      </c>
    </row>
    <row r="10">
      <c r="B10" s="12" t="inlineStr">
        <is>
          <t>数据要素_司法数据</t>
        </is>
      </c>
      <c r="C10" s="13">
        <f>COUNTIFS('保留股池'!$G$5:$G$81,B10,'保留股池'!$H$5:$H$81,"核心")</f>
        <v/>
      </c>
      <c r="D10" s="13">
        <f>COUNTIFS('保留股池'!$G$5:$G$81,B10,'保留股池'!$H$5:$H$81,"相关")</f>
        <v/>
      </c>
      <c r="E10" s="14">
        <f>SUM(C10:D10)</f>
        <v/>
      </c>
    </row>
    <row r="11">
      <c r="B11" s="9" t="inlineStr">
        <is>
          <t>数据要素_图片数据</t>
        </is>
      </c>
      <c r="C11" s="10">
        <f>COUNTIFS('保留股池'!$G$5:$G$81,B11,'保留股池'!$H$5:$H$81,"核心")</f>
        <v/>
      </c>
      <c r="D11" s="10">
        <f>COUNTIFS('保留股池'!$G$5:$G$81,B11,'保留股池'!$H$5:$H$81,"相关")</f>
        <v/>
      </c>
      <c r="E11" s="11">
        <f>SUM(C11:D11)</f>
        <v/>
      </c>
    </row>
    <row r="12">
      <c r="B12" s="12" t="inlineStr">
        <is>
          <t>数据要素_大宗数据</t>
        </is>
      </c>
      <c r="C12" s="13">
        <f>COUNTIFS('保留股池'!$G$5:$G$81,B12,'保留股池'!$H$5:$H$81,"核心")</f>
        <v/>
      </c>
      <c r="D12" s="13">
        <f>COUNTIFS('保留股池'!$G$5:$G$81,B12,'保留股池'!$H$5:$H$81,"相关")</f>
        <v/>
      </c>
      <c r="E12" s="14">
        <f>SUM(C12:D12)</f>
        <v/>
      </c>
    </row>
    <row r="13">
      <c r="B13" s="9" t="inlineStr">
        <is>
          <t>数据要素_学术数据</t>
        </is>
      </c>
      <c r="C13" s="10">
        <f>COUNTIFS('保留股池'!$G$5:$G$81,B13,'保留股池'!$H$5:$H$81,"核心")</f>
        <v/>
      </c>
      <c r="D13" s="10">
        <f>COUNTIFS('保留股池'!$G$5:$G$81,B13,'保留股池'!$H$5:$H$81,"相关")</f>
        <v/>
      </c>
      <c r="E13" s="11">
        <f>SUM(C13:D13)</f>
        <v/>
      </c>
    </row>
    <row r="14">
      <c r="B14" s="12" t="inlineStr">
        <is>
          <t>数据要素_教育数据</t>
        </is>
      </c>
      <c r="C14" s="13">
        <f>COUNTIFS('保留股池'!$G$5:$G$81,B14,'保留股池'!$H$5:$H$81,"核心")</f>
        <v/>
      </c>
      <c r="D14" s="13">
        <f>COUNTIFS('保留股池'!$G$5:$G$81,B14,'保留股池'!$H$5:$H$81,"相关")</f>
        <v/>
      </c>
      <c r="E14" s="14">
        <f>SUM(C14:D14)</f>
        <v/>
      </c>
    </row>
    <row r="15">
      <c r="B15" s="9" t="inlineStr">
        <is>
          <t>数据要素_数据分析</t>
        </is>
      </c>
      <c r="C15" s="10">
        <f>COUNTIFS('保留股池'!$G$5:$G$81,B15,'保留股池'!$H$5:$H$81,"核心")</f>
        <v/>
      </c>
      <c r="D15" s="10">
        <f>COUNTIFS('保留股池'!$G$5:$G$81,B15,'保留股池'!$H$5:$H$81,"相关")</f>
        <v/>
      </c>
      <c r="E15" s="11">
        <f>SUM(C15:D15)</f>
        <v/>
      </c>
    </row>
    <row r="16">
      <c r="B16" s="12" t="inlineStr">
        <is>
          <t>数据要素_数据存储</t>
        </is>
      </c>
      <c r="C16" s="13">
        <f>COUNTIFS('保留股池'!$G$5:$G$81,B16,'保留股池'!$H$5:$H$81,"核心")</f>
        <v/>
      </c>
      <c r="D16" s="13">
        <f>COUNTIFS('保留股池'!$G$5:$G$81,B16,'保留股池'!$H$5:$H$81,"相关")</f>
        <v/>
      </c>
      <c r="E16" s="14">
        <f>SUM(C16:D16)</f>
        <v/>
      </c>
    </row>
    <row r="17">
      <c r="B17" s="9" t="inlineStr">
        <is>
          <t>数据要素_数据安全</t>
        </is>
      </c>
      <c r="C17" s="10">
        <f>COUNTIFS('保留股池'!$G$5:$G$81,B17,'保留股池'!$H$5:$H$81,"核心")</f>
        <v/>
      </c>
      <c r="D17" s="10">
        <f>COUNTIFS('保留股池'!$G$5:$G$81,B17,'保留股池'!$H$5:$H$81,"相关")</f>
        <v/>
      </c>
      <c r="E17" s="11">
        <f>SUM(C17:D17)</f>
        <v/>
      </c>
    </row>
    <row r="18">
      <c r="B18" s="12" t="inlineStr">
        <is>
          <t>数据要素_数据库</t>
        </is>
      </c>
      <c r="C18" s="13">
        <f>COUNTIFS('保留股池'!$G$5:$G$81,B18,'保留股池'!$H$5:$H$81,"核心")</f>
        <v/>
      </c>
      <c r="D18" s="13">
        <f>COUNTIFS('保留股池'!$G$5:$G$81,B18,'保留股池'!$H$5:$H$81,"相关")</f>
        <v/>
      </c>
      <c r="E18" s="14">
        <f>SUM(C18:D18)</f>
        <v/>
      </c>
    </row>
    <row r="19">
      <c r="B19" s="9" t="inlineStr">
        <is>
          <t>数据要素_数据标注</t>
        </is>
      </c>
      <c r="C19" s="10">
        <f>COUNTIFS('保留股池'!$G$5:$G$81,B19,'保留股池'!$H$5:$H$81,"核心")</f>
        <v/>
      </c>
      <c r="D19" s="10">
        <f>COUNTIFS('保留股池'!$G$5:$G$81,B19,'保留股池'!$H$5:$H$81,"相关")</f>
        <v/>
      </c>
      <c r="E19" s="11">
        <f>SUM(C19:D19)</f>
        <v/>
      </c>
    </row>
    <row r="20">
      <c r="B20" s="12" t="inlineStr">
        <is>
          <t>数据要素_数据治理</t>
        </is>
      </c>
      <c r="C20" s="13">
        <f>COUNTIFS('保留股池'!$G$5:$G$81,B20,'保留股池'!$H$5:$H$81,"核心")</f>
        <v/>
      </c>
      <c r="D20" s="13">
        <f>COUNTIFS('保留股池'!$G$5:$G$81,B20,'保留股池'!$H$5:$H$81,"相关")</f>
        <v/>
      </c>
      <c r="E20" s="14">
        <f>SUM(C20:D20)</f>
        <v/>
      </c>
    </row>
    <row r="21">
      <c r="B21" s="9" t="inlineStr">
        <is>
          <t>数据要素_数据清洗</t>
        </is>
      </c>
      <c r="C21" s="10">
        <f>COUNTIFS('保留股池'!$G$5:$G$81,B21,'保留股池'!$H$5:$H$81,"核心")</f>
        <v/>
      </c>
      <c r="D21" s="10">
        <f>COUNTIFS('保留股池'!$G$5:$G$81,B21,'保留股池'!$H$5:$H$81,"相关")</f>
        <v/>
      </c>
      <c r="E21" s="11">
        <f>SUM(C21:D21)</f>
        <v/>
      </c>
    </row>
    <row r="22">
      <c r="B22" s="12" t="inlineStr">
        <is>
          <t>数据要素_数据确权</t>
        </is>
      </c>
      <c r="C22" s="13">
        <f>COUNTIFS('保留股池'!$G$5:$G$81,B22,'保留股池'!$H$5:$H$81,"核心")</f>
        <v/>
      </c>
      <c r="D22" s="13">
        <f>COUNTIFS('保留股池'!$G$5:$G$81,B22,'保留股池'!$H$5:$H$81,"相关")</f>
        <v/>
      </c>
      <c r="E22" s="14">
        <f>SUM(C22:D22)</f>
        <v/>
      </c>
    </row>
    <row r="23">
      <c r="B23" s="9" t="inlineStr">
        <is>
          <t>数据要素_数据运营</t>
        </is>
      </c>
      <c r="C23" s="10">
        <f>COUNTIFS('保留股池'!$G$5:$G$81,B23,'保留股池'!$H$5:$H$81,"核心")</f>
        <v/>
      </c>
      <c r="D23" s="10">
        <f>COUNTIFS('保留股池'!$G$5:$G$81,B23,'保留股池'!$H$5:$H$81,"相关")</f>
        <v/>
      </c>
      <c r="E23" s="11">
        <f>SUM(C23:D23)</f>
        <v/>
      </c>
    </row>
    <row r="24">
      <c r="B24" s="12" t="inlineStr">
        <is>
          <t>数据要素_水务数据</t>
        </is>
      </c>
      <c r="C24" s="13">
        <f>COUNTIFS('保留股池'!$G$5:$G$81,B24,'保留股池'!$H$5:$H$81,"核心")</f>
        <v/>
      </c>
      <c r="D24" s="13">
        <f>COUNTIFS('保留股池'!$G$5:$G$81,B24,'保留股池'!$H$5:$H$81,"相关")</f>
        <v/>
      </c>
      <c r="E24" s="14">
        <f>SUM(C24:D24)</f>
        <v/>
      </c>
    </row>
    <row r="25">
      <c r="B25" s="9" t="inlineStr">
        <is>
          <t>数据要素_汽车数据</t>
        </is>
      </c>
      <c r="C25" s="10">
        <f>COUNTIFS('保留股池'!$G$5:$G$81,B25,'保留股池'!$H$5:$H$81,"核心")</f>
        <v/>
      </c>
      <c r="D25" s="10">
        <f>COUNTIFS('保留股池'!$G$5:$G$81,B25,'保留股池'!$H$5:$H$81,"相关")</f>
        <v/>
      </c>
      <c r="E25" s="11">
        <f>SUM(C25:D25)</f>
        <v/>
      </c>
    </row>
    <row r="26">
      <c r="B26" s="12" t="inlineStr">
        <is>
          <t>数据要素_网络可视化监管</t>
        </is>
      </c>
      <c r="C26" s="13">
        <f>COUNTIFS('保留股池'!$G$5:$G$81,B26,'保留股池'!$H$5:$H$81,"核心")</f>
        <v/>
      </c>
      <c r="D26" s="13">
        <f>COUNTIFS('保留股池'!$G$5:$G$81,B26,'保留股池'!$H$5:$H$81,"相关")</f>
        <v/>
      </c>
      <c r="E26" s="14">
        <f>SUM(C26:D26)</f>
        <v/>
      </c>
    </row>
    <row r="27">
      <c r="B27" s="9" t="inlineStr">
        <is>
          <t>数据要素_航运数据</t>
        </is>
      </c>
      <c r="C27" s="10">
        <f>COUNTIFS('保留股池'!$G$5:$G$81,B27,'保留股池'!$H$5:$H$81,"核心")</f>
        <v/>
      </c>
      <c r="D27" s="10">
        <f>COUNTIFS('保留股池'!$G$5:$G$81,B27,'保留股池'!$H$5:$H$81,"相关")</f>
        <v/>
      </c>
      <c r="E27" s="11">
        <f>SUM(C27:D27)</f>
        <v/>
      </c>
    </row>
    <row r="28">
      <c r="B28" s="12" t="inlineStr">
        <is>
          <t>数据要素_营销数据</t>
        </is>
      </c>
      <c r="C28" s="13">
        <f>COUNTIFS('保留股池'!$G$5:$G$81,B28,'保留股池'!$H$5:$H$81,"核心")</f>
        <v/>
      </c>
      <c r="D28" s="13">
        <f>COUNTIFS('保留股池'!$G$5:$G$81,B28,'保留股池'!$H$5:$H$81,"相关")</f>
        <v/>
      </c>
      <c r="E28" s="14">
        <f>SUM(C28:D28)</f>
        <v/>
      </c>
    </row>
    <row r="29">
      <c r="B29" s="9" t="inlineStr">
        <is>
          <t>数据要素_酒店数据</t>
        </is>
      </c>
      <c r="C29" s="10">
        <f>COUNTIFS('保留股池'!$G$5:$G$81,B29,'保留股池'!$H$5:$H$81,"核心")</f>
        <v/>
      </c>
      <c r="D29" s="10">
        <f>COUNTIFS('保留股池'!$G$5:$G$81,B29,'保留股池'!$H$5:$H$81,"相关")</f>
        <v/>
      </c>
      <c r="E29" s="11">
        <f>SUM(C29:D29)</f>
        <v/>
      </c>
    </row>
    <row r="30">
      <c r="B30" s="15" t="inlineStr">
        <is>
          <t>合计</t>
        </is>
      </c>
      <c r="C30" s="16">
        <f>SUM(C5:C29)</f>
        <v/>
      </c>
      <c r="D30" s="16">
        <f>SUM(D5:D29)</f>
        <v/>
      </c>
      <c r="E30" s="16">
        <f>SUM(E5:E29)</f>
        <v/>
      </c>
    </row>
  </sheetData>
  <autoFilter ref="B4:E29"/>
  <mergeCells count="2">
    <mergeCell ref="B3:E3"/>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2026-10-27T00:40:19Z</dcterms:created>
  <dcterms:modified xmlns:dcterms="http://purl.org/dc/terms/" xmlns:xsi="http://www.w3.org/2001/XMLSchema-instance" xsi:type="dcterms:W3CDTF">2026-10-27T00:40:34Z</dcterms:modified>
</cp:coreProperties>
</file>