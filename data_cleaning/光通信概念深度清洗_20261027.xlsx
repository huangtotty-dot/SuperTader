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封面" sheetId="1" state="visible" r:id="rId1"/>
    <sheet xmlns:r="http://schemas.openxmlformats.org/officeDocument/2006/relationships" name="清洗总表" sheetId="2" state="visible" r:id="rId2"/>
    <sheet xmlns:r="http://schemas.openxmlformats.org/officeDocument/2006/relationships" name="光通信" sheetId="3" state="visible" r:id="rId3"/>
    <sheet xmlns:r="http://schemas.openxmlformats.org/officeDocument/2006/relationships" name="摘除清单" sheetId="4" state="visible" r:id="rId4"/>
    <sheet xmlns:r="http://schemas.openxmlformats.org/officeDocument/2006/relationships" name="概念展开" sheetId="5" state="hidden" r:id="rId5"/>
    <sheet xmlns:r="http://schemas.openxmlformats.org/officeDocument/2006/relationships" name="概念统计" sheetId="6" state="visible" r:id="rId6"/>
  </sheets>
  <definedNames>
    <definedName name="_xlnm._FilterDatabase" localSheetId="1" hidden="1">'清洗总表'!$B$4:$M$49</definedName>
    <definedName name="_xlnm._FilterDatabase" localSheetId="2" hidden="1">'光通信'!$B$4:$M$46</definedName>
    <definedName name="_xlnm._FilterDatabase" localSheetId="3" hidden="1">'摘除清单'!$B$4:$M$7</definedName>
    <definedName name="_xlnm._FilterDatabase" localSheetId="5" hidden="1">'概念统计'!$B$4:$F$23</definedName>
  </definedNames>
  <calcPr calcMode="auto" fullCalcOnLoad="1" forceFullCalc="1" calcId="124519"/>
</workbook>
</file>

<file path=xl/styles.xml><?xml version="1.0" encoding="utf-8"?>
<styleSheet xmlns="http://schemas.openxmlformats.org/spreadsheetml/2006/main">
  <numFmts count="0"/>
  <fonts count="15">
    <font>
      <name val="Calibri"/>
      <family val="2"/>
      <color theme="1"/>
      <sz val="11"/>
      <scheme val="minor"/>
    </font>
    <font>
      <name val="Microsoft YaHei"/>
      <b val="1"/>
      <color rgb="0017365D"/>
      <sz val="18"/>
    </font>
    <font>
      <name val="Microsoft YaHei"/>
      <color rgb="00666666"/>
      <sz val="10"/>
    </font>
    <font>
      <name val="Microsoft YaHei"/>
      <b val="1"/>
      <color rgb="00FFFFFF"/>
    </font>
    <font>
      <name val="Microsoft YaHei"/>
      <color rgb="000066CC"/>
      <sz val="10"/>
    </font>
    <font>
      <name val="Microsoft YaHei"/>
      <color rgb="00FF0000"/>
      <sz val="10"/>
    </font>
    <font>
      <b val="1"/>
      <color rgb="00FFFFFF"/>
    </font>
    <font>
      <color rgb="000066CC"/>
    </font>
    <font>
      <color rgb="00008000"/>
    </font>
    <font>
      <b val="1"/>
    </font>
    <font>
      <name val="Microsoft YaHei"/>
      <b val="1"/>
      <color rgb="00333333"/>
    </font>
    <font>
      <name val="Microsoft YaHei"/>
      <b val="1"/>
      <color rgb="00008000"/>
      <sz val="14"/>
    </font>
    <font>
      <b val="1"/>
      <color rgb="0017365D"/>
      <sz val="13"/>
    </font>
    <font>
      <b val="1"/>
      <color rgb="000066CC"/>
    </font>
    <font>
      <color rgb="00666666"/>
      <sz val="10"/>
    </font>
  </fonts>
  <fills count="4">
    <fill>
      <patternFill/>
    </fill>
    <fill>
      <patternFill patternType="gray125"/>
    </fill>
    <fill>
      <patternFill patternType="solid">
        <fgColor rgb="0017365D"/>
      </patternFill>
    </fill>
    <fill>
      <patternFill patternType="solid">
        <fgColor rgb="00F5F7FA"/>
      </patternFill>
    </fill>
  </fills>
  <borders count="2">
    <border>
      <left/>
      <right/>
      <top/>
      <bottom/>
      <diagonal/>
    </border>
    <border>
      <bottom style="thin">
        <color rgb="00D0D7E2"/>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4" fillId="3" borderId="0" applyAlignment="1" pivotButton="0" quotePrefix="0" xfId="0">
      <alignment horizontal="left" vertical="top"/>
    </xf>
    <xf numFmtId="0" fontId="4" fillId="3" borderId="0" applyAlignment="1" pivotButton="0" quotePrefix="0" xfId="0">
      <alignment horizontal="left" vertical="top" wrapText="1"/>
    </xf>
    <xf numFmtId="0" fontId="5" fillId="3" borderId="0" applyAlignment="1" pivotButton="0" quotePrefix="0" xfId="0">
      <alignment horizontal="left" vertical="top" wrapText="1"/>
    </xf>
    <xf numFmtId="0" fontId="6" fillId="2" borderId="0" applyAlignment="1" pivotButton="0" quotePrefix="0" xfId="0">
      <alignment horizontal="center"/>
    </xf>
    <xf numFmtId="0" fontId="7" fillId="0" borderId="0" pivotButton="0" quotePrefix="0" xfId="0"/>
    <xf numFmtId="0" fontId="8" fillId="0" borderId="0" pivotButton="0" quotePrefix="0" xfId="0"/>
    <xf numFmtId="0" fontId="0" fillId="3" borderId="0" pivotButton="0" quotePrefix="0" xfId="0"/>
    <xf numFmtId="0" fontId="7" fillId="3" borderId="0" pivotButton="0" quotePrefix="0" xfId="0"/>
    <xf numFmtId="0" fontId="8" fillId="3"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6"/>
  <sheetViews>
    <sheetView showGridLines="0" workbookViewId="0">
      <selection activeCell="A1" sqref="A1"/>
    </sheetView>
  </sheetViews>
  <sheetFormatPr baseColWidth="8" defaultRowHeight="15" outlineLevelCol="0"/>
  <cols>
    <col width="2" customWidth="1" min="1" max="1"/>
    <col width="30" customWidth="1" min="2" max="2"/>
    <col width="18" customWidth="1" min="3" max="3"/>
    <col width="18" customWidth="1" min="4" max="4"/>
    <col width="18" customWidth="1" min="5" max="5"/>
    <col width="18" customWidth="1" min="6" max="6"/>
    <col width="18" customWidth="1" min="7" max="7"/>
    <col width="18" customWidth="1" min="8" max="8"/>
  </cols>
  <sheetData>
    <row r="2" ht="32" customHeight="1">
      <c r="B2" s="1" t="inlineStr">
        <is>
          <t>光通信概念深度清洗报告</t>
        </is>
      </c>
    </row>
    <row r="3">
      <c r="B3" s="2" t="inlineStr">
        <is>
          <t>复核日期：2026-10-27｜范围：45只｜重点：业务实质、产品层级、商业订单与二次边界复审</t>
        </is>
      </c>
    </row>
    <row r="6" ht="26" customHeight="1">
      <c r="B6" s="17" t="inlineStr">
        <is>
          <t>复核股票（只）</t>
        </is>
      </c>
      <c r="C6" s="18">
        <f>COUNTA('清洗总表'!$B$5:$B$49)</f>
        <v/>
      </c>
    </row>
    <row r="7" ht="26" customHeight="1">
      <c r="B7" s="17" t="inlineStr">
        <is>
          <t>保留光通信（只）</t>
        </is>
      </c>
      <c r="C7" s="18">
        <f>COUNTA('光通信'!$B$5:$B$46)</f>
        <v/>
      </c>
    </row>
    <row r="8" ht="26" customHeight="1">
      <c r="B8" s="17" t="inlineStr">
        <is>
          <t>核心判词（只）</t>
        </is>
      </c>
      <c r="C8" s="18">
        <f>COUNTIF('光通信'!$H$5:$H$46,"核心")</f>
        <v/>
      </c>
    </row>
    <row r="9" ht="26" customHeight="1">
      <c r="B9" s="17" t="inlineStr">
        <is>
          <t>相关判词（只）</t>
        </is>
      </c>
      <c r="C9" s="18">
        <f>COUNTIF('光通信'!$H$5:$H$46,"相关")</f>
        <v/>
      </c>
    </row>
    <row r="10" ht="26" customHeight="1">
      <c r="B10" s="17" t="inlineStr">
        <is>
          <t>纠错动作（只）</t>
        </is>
      </c>
      <c r="C10" s="18">
        <f>COUNTIF('清洗总表'!$E$5:$E$49,"纠错")</f>
        <v/>
      </c>
    </row>
    <row r="11" ht="26" customHeight="1">
      <c r="B11" s="17" t="inlineStr">
        <is>
          <t>完全摘除（只）</t>
        </is>
      </c>
      <c r="C11" s="18">
        <f>COUNTA('摘除清单'!$B$5:$B$7)</f>
        <v/>
      </c>
    </row>
    <row r="15">
      <c r="B15" s="19" t="inlineStr">
        <is>
          <t>工作表索引</t>
        </is>
      </c>
    </row>
    <row r="16">
      <c r="B16" s="20" t="inlineStr">
        <is>
          <t>清洗总表</t>
        </is>
      </c>
      <c r="C16" s="11" t="inlineStr">
        <is>
          <t>45只旧概念、新概念、动作、判词、详细理由和证据</t>
        </is>
      </c>
    </row>
    <row r="17">
      <c r="B17" s="20" t="inlineStr">
        <is>
          <t>光通信</t>
        </is>
      </c>
      <c r="C17" s="11" t="inlineStr">
        <is>
          <t>42只清洗后光通信公司</t>
        </is>
      </c>
    </row>
    <row r="18">
      <c r="B18" s="20" t="inlineStr">
        <is>
          <t>摘除清单</t>
        </is>
      </c>
      <c r="C18" s="11" t="inlineStr">
        <is>
          <t>3只通用业务或光通信证据不足公司</t>
        </is>
      </c>
    </row>
    <row r="19">
      <c r="B19" s="20" t="inlineStr">
        <is>
          <t>概念统计</t>
        </is>
      </c>
      <c r="C19" s="11" t="inlineStr">
        <is>
          <t>19个实际使用的二级概念</t>
        </is>
      </c>
    </row>
    <row r="23">
      <c r="B23" s="21" t="inlineStr">
        <is>
          <t>核心：光通信是明确主营、重要收入来源，或已有规模化核心产品；相关：有真实光通信产品、订单、客户验证或交付，但早期、低占比、未拆分或其他行业为主。</t>
        </is>
      </c>
    </row>
    <row r="24">
      <c r="B24" s="21" t="inlineStr">
        <is>
          <t>摘除：只有通用晶振、材料、零部件或设备的潜在用途，以及算力租赁、SOFC、MLCC、千帆星座、SpaceX等跨概念联想；参股不等于自身经营。</t>
        </is>
      </c>
    </row>
    <row r="25">
      <c r="B25" s="21" t="inlineStr">
        <is>
          <t>二次复审：30只核心、12只相关和3只摘除均维持；修正亨通光电总收入数量级、长飞光纤光互联组件收入、太辰光总收入及占比三处数字。</t>
        </is>
      </c>
    </row>
    <row r="26">
      <c r="B26" s="21" t="inlineStr">
        <is>
          <t>主营与2025分部：iFinD ifind_get_stock_info、ifind_get_stock_business_segmentation（2026-10-27）；逐股公告与证据见Source列。</t>
        </is>
      </c>
    </row>
  </sheetData>
  <mergeCells count="10">
    <mergeCell ref="B26:H26"/>
    <mergeCell ref="C16:G16"/>
    <mergeCell ref="C19:G19"/>
    <mergeCell ref="B2:H2"/>
    <mergeCell ref="B24:H24"/>
    <mergeCell ref="B25:H25"/>
    <mergeCell ref="B3:H3"/>
    <mergeCell ref="C18:G18"/>
    <mergeCell ref="C17:G17"/>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2:M4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光通信 · 45只逐项复核</t>
        </is>
      </c>
    </row>
    <row r="3">
      <c r="B3" s="2" t="inlineStr">
        <is>
          <t>逐股核对真实产品、订单、客户、交付、运营与股权；区分光通信、传统军工航天和潜在联想。</t>
        </is>
      </c>
    </row>
    <row r="4">
      <c r="B4" s="3" t="inlineStr">
        <is>
          <t>代码</t>
        </is>
      </c>
      <c r="C4" s="3" t="inlineStr">
        <is>
          <t>名称</t>
        </is>
      </c>
      <c r="D4" s="3" t="inlineStr">
        <is>
          <t>旧光通信概念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000070</t>
        </is>
      </c>
      <c r="C5" s="4" t="inlineStr">
        <is>
          <t>特发信息</t>
        </is>
      </c>
      <c r="D5" s="5" t="inlineStr">
        <is>
          <t>光通信：光纤光缆</t>
        </is>
      </c>
      <c r="E5" s="4" t="inlineStr">
        <is>
          <t>纠错</t>
        </is>
      </c>
      <c r="F5" s="4" t="inlineStr">
        <is>
          <t>光通信、光通信</t>
        </is>
      </c>
      <c r="G5" s="5" t="inlineStr">
        <is>
          <t>光缆与线缆；光纤预制棒与光纤</t>
        </is>
      </c>
      <c r="H5" s="4" t="inlineStr">
        <is>
          <t>核心</t>
        </is>
      </c>
      <c r="I5" s="5" t="inlineStr">
        <is>
          <t>公司真实产品包括光纤、光缆、光连接器及配线产品，线缆板块同时覆盖通信与电力传输，属于光通信物理链路的重要制造环节，而不是仅凭名称关联的概念标的。2025年线缆板块收入35.2179亿元，公司总收入约44.1655亿元，占比约79.74%，业务规模和对收入的重要性均足以支持核心定级；但该板块还含电力传输等产品，不能把35.2179亿元全部认定为光通信收入，也不能进一步虚构光纤、光缆各自收入。此次纠错应将旧“相关、光纤光缆”粗标签提升为核心，并拆分为光缆与线缆、光纤预制棒与光纤两个白名单概念，同时保留板块收入不可全归属光通信的边界。</t>
        </is>
      </c>
      <c r="J5" s="4" t="inlineStr">
        <is>
          <t>特发信息：2025年年度报告</t>
        </is>
      </c>
      <c r="K5" s="4" t="inlineStr">
        <is>
          <t>2026-04-22</t>
        </is>
      </c>
      <c r="L5" s="5" t="inlineStr">
        <is>
          <t>iFinD ifind_get_stock_info + ifind_get_stock_business_segmentation (as of 2026-10-27)；特发信息：2025年年度报告</t>
        </is>
      </c>
      <c r="M5" s="6" t="inlineStr">
        <is>
          <t>http://money.finance.sina.com.cn/corp/view/vCB_AllBulletinDetail.php?stockid=000070&amp;id=12133674</t>
        </is>
      </c>
    </row>
    <row r="6" ht="104" customHeight="1">
      <c r="B6" s="7" t="inlineStr">
        <is>
          <t>000586</t>
        </is>
      </c>
      <c r="C6" s="7" t="inlineStr">
        <is>
          <t>汇源通信</t>
        </is>
      </c>
      <c r="D6" s="8" t="inlineStr">
        <is>
          <t>光通信：光纤光缆</t>
        </is>
      </c>
      <c r="E6" s="7" t="inlineStr">
        <is>
          <t>纠错</t>
        </is>
      </c>
      <c r="F6" s="7" t="inlineStr">
        <is>
          <t>光通信、光通信</t>
        </is>
      </c>
      <c r="G6" s="8" t="inlineStr">
        <is>
          <t>光缆与线缆；光纤预制棒与光纤</t>
        </is>
      </c>
      <c r="H6" s="7" t="inlineStr">
        <is>
          <t>核心</t>
        </is>
      </c>
      <c r="I6" s="8" t="inlineStr">
        <is>
          <t>公司实际经营电力光缆、塑料光纤以及光纤光缆相关产品，这些产品直接构成通信和电力专网的光传输介质，传统光通信业务具有真实且重要的收入基础。2025年光纤光缆及相关产品收入2.2488亿元，总收入约5.1255亿元，占比43.88%；在线监测收入2.2980亿元则属于另一业务，不能混入光通信。2026年异动公告又明确公司没有石英光纤制造产能，也不涉及算力数据中心光纤光缆，因此不得借核心定级追加石英光纤、CPO或数通光模块标签。此次纠错是把旧“相关”提升为核心，保留光缆与线缆、光纤预制棒与光纤的既有产业事实，同时以公告限定产品能力边界。</t>
        </is>
      </c>
      <c r="J6" s="7" t="inlineStr">
        <is>
          <t>汇源通信：2025年年度报告</t>
        </is>
      </c>
      <c r="K6" s="7" t="inlineStr">
        <is>
          <t>2026-04-22</t>
        </is>
      </c>
      <c r="L6" s="8" t="inlineStr">
        <is>
          <t>iFinD ifind_get_stock_info + ifind_get_stock_business_segmentation (as of 2026-10-27)；汇源通信：2025年年度报告</t>
        </is>
      </c>
      <c r="M6" s="9" t="inlineStr">
        <is>
          <t>https://money.finance.sina.com.cn/corp/view/vCB_AllBulletinDetail.php?stockid=000586&amp;id=12132149</t>
        </is>
      </c>
    </row>
    <row r="7" ht="104" customHeight="1">
      <c r="B7" s="4" t="inlineStr">
        <is>
          <t>000988</t>
        </is>
      </c>
      <c r="C7" s="4" t="inlineStr">
        <is>
          <t>华工科技</t>
        </is>
      </c>
      <c r="D7" s="5" t="inlineStr">
        <is>
          <t>光通信：光模块/CPO、光通信</t>
        </is>
      </c>
      <c r="E7" s="4" t="inlineStr">
        <is>
          <t>纠错</t>
        </is>
      </c>
      <c r="F7" s="4" t="inlineStr">
        <is>
          <t>光通信、光通信、光通信</t>
        </is>
      </c>
      <c r="G7" s="5" t="inlineStr">
        <is>
          <t>光模块-数通与AI算力；光模块-电信与传输；CPO与硅光集成</t>
        </is>
      </c>
      <c r="H7" s="4" t="inlineStr">
        <is>
          <t>核心</t>
        </is>
      </c>
      <c r="I7" s="5" t="inlineStr">
        <is>
          <t>公司光电器件系列覆盖电信传输和数据中心用光模块，年报披露800G硅光LPO、1.6T模块规模交付以及3.2T CPO光引擎，说明数通、电信和硅光集成均有明确产品依据，并非泛化的激光或传感器概念。2025年光电器件系列收入60.9682亿元，公司总收入143.55亿元，占比42.47%，已构成重要收入支柱，定为核心有充分规模依据。不过光电器件是合并披露口径，不能把激光装备、敏感元器件等其他收入算入，也不能从该收入中虚构CPO或1.6T的单独金额。此次纠错应以核心替代过宽的旧粗标签，并分别落到数通与AI算力、电信与传输、CPO与硅光集成三个真实方向。</t>
        </is>
      </c>
      <c r="J7" s="4" t="inlineStr">
        <is>
          <t>华工科技：2025年年度报告</t>
        </is>
      </c>
      <c r="K7" s="4" t="inlineStr">
        <is>
          <t>2026-03-26</t>
        </is>
      </c>
      <c r="L7" s="5" t="inlineStr">
        <is>
          <t>iFinD ifind_get_stock_info + ifind_get_stock_business_segmentation (as of 2026-10-27)；华工科技：2025年年度报告</t>
        </is>
      </c>
      <c r="M7" s="6" t="inlineStr">
        <is>
          <t>https://vip.stock.finance.sina.com.cn/corp/view/vCB_AllBulletinDetail.php?stockid=000988&amp;id=12018524</t>
        </is>
      </c>
    </row>
    <row r="8" ht="104" customHeight="1">
      <c r="B8" s="7" t="inlineStr">
        <is>
          <t>002179</t>
        </is>
      </c>
      <c r="C8" s="7" t="inlineStr">
        <is>
          <t>中航光电</t>
        </is>
      </c>
      <c r="D8" s="8" t="inlineStr">
        <is>
          <t>光通信：MPO/连接器、连接器、军工电子</t>
        </is>
      </c>
      <c r="E8" s="7" t="inlineStr">
        <is>
          <t>纠错</t>
        </is>
      </c>
      <c r="F8" s="7" t="inlineStr">
        <is>
          <t>光通信</t>
        </is>
      </c>
      <c r="G8" s="8" t="inlineStr">
        <is>
          <t>光连接器与陶瓷插芯</t>
        </is>
      </c>
      <c r="H8" s="7" t="inlineStr">
        <is>
          <t>核心</t>
        </is>
      </c>
      <c r="I8" s="8" t="inlineStr">
        <is>
          <t>公司具有光连接器、光传输器件与组件等真实产品，应用于防务、无线基站和数据中心，2025年数据中心光纤产品取得突破，光连接属于其规模化互连产品体系，而非偶发研发概念。2025年光连接器及其他光器件以及光电设备混合分部收入36.5877亿元，总收入213.86亿元，占比17.11%；该口径还包含其他光器件和光电设备，只能视为相关业务规模上限，不能全部计作光通信，也不能据此推算MPO收入。此次定为核心依据的是光连接产品的持续经营和实际应用，不是把整个公司等同光通信企业。纠错时仅保留光连接器与陶瓷插芯这一白名单概念，不沿用旧MPO粗标签，也不把防务或全部连接器收入迁移到光通信。</t>
        </is>
      </c>
      <c r="J8" s="7" t="inlineStr">
        <is>
          <t>中航光电科技股份有限公司2025年年度报告全文</t>
        </is>
      </c>
      <c r="K8" s="7" t="inlineStr">
        <is>
          <t>2026-03-28</t>
        </is>
      </c>
      <c r="L8" s="8" t="inlineStr">
        <is>
          <t>iFinD ifind_get_stock_info + ifind_get_stock_business_segmentation (as of 2026-10-27)；中航光电科技股份有限公司2025年年度报告全文</t>
        </is>
      </c>
      <c r="M8" s="9" t="inlineStr">
        <is>
          <t>https://static.cninfo.com.cn/finalpage/2026-03-28/1225044952.PDF</t>
        </is>
      </c>
    </row>
    <row r="9" ht="104" customHeight="1">
      <c r="B9" s="4" t="inlineStr">
        <is>
          <t>002199</t>
        </is>
      </c>
      <c r="C9" s="4" t="inlineStr">
        <is>
          <t>东晶电子</t>
        </is>
      </c>
      <c r="D9" s="5" t="inlineStr">
        <is>
          <t>光通信：石英晶振</t>
        </is>
      </c>
      <c r="E9" s="4" t="inlineStr">
        <is>
          <t>摘除</t>
        </is>
      </c>
      <c r="F9" s="4" t="inlineStr">
        <is>
          <t>—</t>
        </is>
      </c>
      <c r="G9" s="5" t="inlineStr">
        <is>
          <t>—</t>
        </is>
      </c>
      <c r="H9" s="4" t="inlineStr">
        <is>
          <t>摘除</t>
        </is>
      </c>
      <c r="I9" s="5" t="inlineStr">
        <is>
          <t>公司主营石英晶体谐振器和振荡器，产品确实可广泛用于通讯、消费电子、汽车电子等领域，但2025年年报没有将光模块或光通信列作专门用途，也没有披露光通信客户、订单或对应产品收入。2025年石英晶体元器件收入2.4086亿元，总收入3.5527亿元，占比约67.79%，其中谐振器2.3593亿元、振荡器493.35万元；这些数字证明的是通用晶振主业，不能转换成光通信收入，光通信占比亦无法可靠拆分。通用电子元器件在理论上能够进入某种设备，不足以证明已经形成可识别产业暴露，因此本次应摘除旧“时钟晶振与频率器件”标签，不保留任何光通信二级概念，纠错点是消除由潜在用途推导现实业务的误判。</t>
        </is>
      </c>
      <c r="J9" s="4" t="inlineStr">
        <is>
          <t>*ST东晶：2025年年度报告摘要</t>
        </is>
      </c>
      <c r="K9" s="4" t="inlineStr">
        <is>
          <t>2026-04-28</t>
        </is>
      </c>
      <c r="L9" s="5" t="inlineStr">
        <is>
          <t>iFinD ifind_get_stock_info + ifind_get_stock_business_segmentation (as of 2026-10-27)；*ST东晶：2025年年度报告摘要</t>
        </is>
      </c>
      <c r="M9" s="6" t="inlineStr">
        <is>
          <t>http://money.finance.sina.com.cn/corp/view/vCB_AllBulletinDetail.php?stockid=002199&amp;id=12233410</t>
        </is>
      </c>
    </row>
    <row r="10" ht="104" customHeight="1">
      <c r="B10" s="7" t="inlineStr">
        <is>
          <t>002281</t>
        </is>
      </c>
      <c r="C10" s="7" t="inlineStr">
        <is>
          <t>光迅科技</t>
        </is>
      </c>
      <c r="D10" s="8" t="inlineStr">
        <is>
          <t>光通信：光模块/CPO、光通信</t>
        </is>
      </c>
      <c r="E10" s="7" t="inlineStr">
        <is>
          <t>纠错</t>
        </is>
      </c>
      <c r="F10" s="7" t="inlineStr">
        <is>
          <t>光通信、光通信、光通信、光通信</t>
        </is>
      </c>
      <c r="G10" s="8" t="inlineStr">
        <is>
          <t>光模块-数通与AI算力；光模块-电信与传输；光器件-无源器件；CPO与硅光集成</t>
        </is>
      </c>
      <c r="H10" s="7" t="inlineStr">
        <is>
          <t>核心</t>
        </is>
      </c>
      <c r="I10" s="8" t="inlineStr">
        <is>
          <t>公司产品覆盖全系列光模块、无源光器件和光波导集成产品，接入与数据业务对应数通及接入场景，传输业务对应电信传输，年报另有CPO和硅光布局，因此四个标签均建立在明确产品体系上。2025年接入和数据收入84.6289亿元、传输收入34.1165亿元，合计118.7454亿元，总收入约119.29亿元，占比约99.54%，光通信是绝对主业，核心定级明确。不可拆分的边界在于接入和数据分部并非全部等于AI数通模块，传输分部也不能再细拆到单一器件，CPO与硅光更没有被单列收入。此次纠错应淘汰笼统的旧光通信标签，按数通、电信、无源和CPO硅光细分，但不把研发或布局描述伪装成独立营收。</t>
        </is>
      </c>
      <c r="J10" s="7" t="inlineStr">
        <is>
          <t>光迅科技：2025年年度报告</t>
        </is>
      </c>
      <c r="K10" s="7" t="inlineStr">
        <is>
          <t>2026-04-23</t>
        </is>
      </c>
      <c r="L10" s="8" t="inlineStr">
        <is>
          <t>iFinD ifind_get_stock_info + ifind_get_stock_business_segmentation (as of 2026-10-27)；光迅科技：2025年年度报告</t>
        </is>
      </c>
      <c r="M10" s="9" t="inlineStr">
        <is>
          <t>https://vip.stock.finance.sina.com.cn/corp/view/vCB_AllBulletinDetail.php?stockid=002281&amp;id=12145451</t>
        </is>
      </c>
    </row>
    <row r="11" ht="104" customHeight="1">
      <c r="B11" s="4" t="inlineStr">
        <is>
          <t>002384</t>
        </is>
      </c>
      <c r="C11" s="4" t="inlineStr">
        <is>
          <t>东山精密</t>
        </is>
      </c>
      <c r="D11" s="5" t="inlineStr">
        <is>
          <t>光通信：光芯片</t>
        </is>
      </c>
      <c r="E11" s="4" t="inlineStr">
        <is>
          <t>纠错</t>
        </is>
      </c>
      <c r="F11" s="4" t="inlineStr">
        <is>
          <t>光通信、光通信、光通信</t>
        </is>
      </c>
      <c r="G11" s="5" t="inlineStr">
        <is>
          <t>光模块-数通与AI算力；光模块-电信与传输；光芯片-激光器与探测器</t>
        </is>
      </c>
      <c r="H11" s="4" t="inlineStr">
        <is>
          <t>核心</t>
        </is>
      </c>
      <c r="I11" s="5" t="inlineStr">
        <is>
          <t>公司2025年收购索尔思后形成真实光模块及光芯片业务，产品覆盖数通和电信光模块，并包含激光器、探测器等光芯片能力，不能再仅按PCB企业理解而摘除光通信暴露。2025年光模块含光芯片收入14.3553亿元，总收入401.25亿元，占比3.58%，而且仅第四季度并表；收入占比虽低，但已是规模化经营产品，核心表示业务真实性而非其在集团中的收入支配程度。需要严守的边界是通信设备组件及其他收入59.3024亿元不能整体算成光通信，PCB、触控显示和新能源等业务更不能并入。此次纠错应保留核心并按数通、电信、激光器与探测器细分，同时在解释中披露低占比和部分年度并表，避免夸大集团光通信纯度。</t>
        </is>
      </c>
      <c r="J11" s="4" t="inlineStr">
        <is>
          <t>东山精密：2025年年度报告</t>
        </is>
      </c>
      <c r="K11" s="4" t="inlineStr">
        <is>
          <t>2026-04-22</t>
        </is>
      </c>
      <c r="L11" s="5" t="inlineStr">
        <is>
          <t>iFinD ifind_get_stock_info + ifind_get_stock_business_segmentation (as of 2026-10-27)；东山精密：2025年年度报告</t>
        </is>
      </c>
      <c r="M11" s="6" t="inlineStr">
        <is>
          <t>http://money.finance.sina.com.cn/corp/view/vCB_AllBulletinDetail.php?stockid=002384&amp;id=12133235</t>
        </is>
      </c>
    </row>
    <row r="12" ht="104" customHeight="1">
      <c r="B12" s="7" t="inlineStr">
        <is>
          <t>002428</t>
        </is>
      </c>
      <c r="C12" s="7" t="inlineStr">
        <is>
          <t>云南锗业</t>
        </is>
      </c>
      <c r="D12" s="8" t="inlineStr">
        <is>
          <t>光通信：光材料、锗、锗电池</t>
        </is>
      </c>
      <c r="E12" s="7" t="inlineStr">
        <is>
          <t>纠错</t>
        </is>
      </c>
      <c r="F12" s="7" t="inlineStr">
        <is>
          <t>光通信</t>
        </is>
      </c>
      <c r="G12" s="8" t="inlineStr">
        <is>
          <t>光通信材料-光学与晶体</t>
        </is>
      </c>
      <c r="H12" s="7" t="inlineStr">
        <is>
          <t>核心</t>
        </is>
      </c>
      <c r="I12" s="8" t="inlineStr">
        <is>
          <t>公司光纤用四氯化锗是光纤预制棒制造的关键掺杂原料，具有直接、可验证的光通信材料用途，与仅有间接半导体想象的锗概念不同。2025年光纤用四氯化锗收入1.9986亿元，总收入10.6588亿元，占比18.75%，并披露60吨每年产能，真实收入和产能足以支持核心定级。边界必须限定在该具体材料：锗锭、太阳能锗片、红外级锗产品以及砷化镓、磷化铟业务不能因为同属锗或化合物半导体就并入光通信，相关收入也不可推算为光纤材料收入。此次纠错保留旧“相关程度核心”所反映的重要业务地位，但把概念统一为光通信材料中的光学与晶体，并删除旧“锗、锗电池”等跨概念污染，避免把其他终端用途混入。</t>
        </is>
      </c>
      <c r="J12" s="7" t="inlineStr">
        <is>
          <t>云南锗业：2025年年度报告</t>
        </is>
      </c>
      <c r="K12" s="7" t="inlineStr">
        <is>
          <t>2026-04-23</t>
        </is>
      </c>
      <c r="L12" s="8" t="inlineStr">
        <is>
          <t>iFinD ifind_get_stock_info + ifind_get_stock_business_segmentation (as of 2026-10-27)；云南锗业：2025年年度报告</t>
        </is>
      </c>
      <c r="M12" s="9" t="inlineStr">
        <is>
          <t>https://money.finance.sina.com.cn/corp/view/vCB_AllBulletinDetail.php?stockid=002428&amp;id=12150108</t>
        </is>
      </c>
    </row>
    <row r="13" ht="104" customHeight="1">
      <c r="B13" s="4" t="inlineStr">
        <is>
          <t>002491</t>
        </is>
      </c>
      <c r="C13" s="4" t="inlineStr">
        <is>
          <t>通鼎互联</t>
        </is>
      </c>
      <c r="D13" s="5" t="inlineStr">
        <is>
          <t>光通信：光纤光缆</t>
        </is>
      </c>
      <c r="E13" s="4" t="inlineStr">
        <is>
          <t>纠错</t>
        </is>
      </c>
      <c r="F13" s="4" t="inlineStr">
        <is>
          <t>光通信、光通信</t>
        </is>
      </c>
      <c r="G13" s="5" t="inlineStr">
        <is>
          <t>光纤预制棒与光纤；光缆与线缆</t>
        </is>
      </c>
      <c r="H13" s="4" t="inlineStr">
        <is>
          <t>相关</t>
        </is>
      </c>
      <c r="I13" s="5" t="inlineStr">
        <is>
          <t>公司具备光纤、光缆及通信线缆产业链业务，产品与光通信传输介质直接相关，因此不能因业务多元而完全摘除；但核心定级还要看当年可量化暴露。2025年光纤收入1.8253亿元，总收入34.13亿元，占比5.35%；通信电缆收入9.0726亿元、通信设备收入2.5868亿元均为较宽口径，不能全部认作光通信，电力电缆13.0614亿元和安全业务6.6919亿元更明确属于其他板块。全产业链叙述并不等于全部收入具有光通信属性，现有可拆分数据支持相关而非核心。此次纠错保留光纤预制棒与光纤、光缆与线缆两个真实概念，纠正把通信、电缆或安全板块笼统并入光通信的旧粗标签，并以5.35%的可核实光纤占比约束定级。</t>
        </is>
      </c>
      <c r="J13" s="4" t="inlineStr">
        <is>
          <t>通鼎互联：2025年年度报告</t>
        </is>
      </c>
      <c r="K13" s="4" t="inlineStr">
        <is>
          <t>2026-04-28</t>
        </is>
      </c>
      <c r="L13" s="5" t="inlineStr">
        <is>
          <t>iFinD ifind_get_stock_info + ifind_get_stock_business_segmentation (as of 2026-10-27)；通鼎互联：2025年年度报告</t>
        </is>
      </c>
      <c r="M13" s="6" t="inlineStr">
        <is>
          <t>https://vip.stock.finance.sina.com.cn/corp/view/vCB_AllBulletinDetail.php?stockid=002491&amp;id=12232603</t>
        </is>
      </c>
    </row>
    <row r="14" ht="104" customHeight="1">
      <c r="B14" s="7" t="inlineStr">
        <is>
          <t>300265</t>
        </is>
      </c>
      <c r="C14" s="7" t="inlineStr">
        <is>
          <t>通光线缆</t>
        </is>
      </c>
      <c r="D14" s="8" t="inlineStr">
        <is>
          <t>光通信：光纤光缆</t>
        </is>
      </c>
      <c r="E14" s="7" t="inlineStr">
        <is>
          <t>纠错</t>
        </is>
      </c>
      <c r="F14" s="7" t="inlineStr">
        <is>
          <t>光通信、光通信</t>
        </is>
      </c>
      <c r="G14" s="8" t="inlineStr">
        <is>
          <t>光缆与线缆；光纤预制棒与光纤</t>
        </is>
      </c>
      <c r="H14" s="7" t="inlineStr">
        <is>
          <t>核心</t>
        </is>
      </c>
      <c r="I14" s="8" t="inlineStr">
        <is>
          <t>公司光纤光缆业务直接提供通信传输介质，是持续经营且有独立收入披露的光通信产品，不应因输电线缆规模更大而被忽略，也不应仅凭公司名称判断。2025年光纤光缆收入6.7828亿元，总收入25.4363亿元，占比26.67%，这一收入体量及占比足以支持核心定级；同期输电线缆收入13.2083亿元、装备线缆收入3.3358亿元必须排除在光通信之外，不能把公司全部线缆收入统一贴成光纤光缆。此次纠错将旧“相关”提升为核心，概念细分为光缆与线缆、光纤预制棒与光纤，同时明确26.67%是可归属分部的口径，不能进一步虚构光纤与光缆各自金额，也不能用核心标签掩盖公司多业务结构。</t>
        </is>
      </c>
      <c r="J14" s="7" t="inlineStr">
        <is>
          <t>通光线缆：2025年年度报告</t>
        </is>
      </c>
      <c r="K14" s="7" t="inlineStr">
        <is>
          <t>2026-04-18</t>
        </is>
      </c>
      <c r="L14" s="8" t="inlineStr">
        <is>
          <t>iFinD ifind_get_stock_info + ifind_get_stock_business_segmentation (as of 2026-10-27)；通光线缆：2025年年度报告</t>
        </is>
      </c>
      <c r="M14" s="9" t="inlineStr">
        <is>
          <t>http://money.finance.sina.com.cn/corp/view/vCB_AllBulletinDetail.php?stockid=300265&amp;id=12111702</t>
        </is>
      </c>
    </row>
    <row r="15" ht="104" customHeight="1">
      <c r="B15" s="4" t="inlineStr">
        <is>
          <t>300292</t>
        </is>
      </c>
      <c r="C15" s="4" t="inlineStr">
        <is>
          <t>吴通控股</t>
        </is>
      </c>
      <c r="D15" s="5" t="inlineStr">
        <is>
          <t>光通信：其他</t>
        </is>
      </c>
      <c r="E15" s="4" t="inlineStr">
        <is>
          <t>纠错</t>
        </is>
      </c>
      <c r="F15" s="4" t="inlineStr">
        <is>
          <t>光通信、光通信</t>
        </is>
      </c>
      <c r="G15" s="5" t="inlineStr">
        <is>
          <t>MPO/MTP与高密度连接；光缆与线缆</t>
        </is>
      </c>
      <c r="H15" s="4" t="inlineStr">
        <is>
          <t>相关</t>
        </is>
      </c>
      <c r="I15" s="5" t="inlineStr">
        <is>
          <t>正式投资者关系记录确认公司销售光跳线、尾纤、预端接光缆和光缆，并具有MPO/MTP跳线、光分路器等产品，这些是真实的光通信连接与线缆业务；但公司明确不生产光模块，不能借光通信标签延伸到模块或CPO。2025年上述光通信相关收入仅占公司约2%至3%，因此只能定为相关；通讯基础连接产品分部收入3.0140亿元、占比6.92%，口径更宽，不能全部替代光通信收入，移动信息服务收入35.3199亿元、占比81.14%则反映集团主业仍在信息服务。此次纠错把旧“边缘、其他”调整为有证据支持的相关，并精确落到MPO/MTP与高密度连接、光缆与线缆，同时保留低收入占比和不生产光模块的边界。</t>
        </is>
      </c>
      <c r="J15" s="4" t="inlineStr">
        <is>
          <t>吴通控股集团股份有限公司投资者关系活动记录表</t>
        </is>
      </c>
      <c r="K15" s="4" t="inlineStr">
        <is>
          <t>2026-05-18</t>
        </is>
      </c>
      <c r="L15" s="5" t="inlineStr">
        <is>
          <t>iFinD ifind_get_stock_info + ifind_get_stock_business_segmentation (as of 2026-10-27)；吴通控股集团股份有限公司投资者关系活动记录表</t>
        </is>
      </c>
      <c r="M15" s="6" t="inlineStr">
        <is>
          <t>http://static.cninfo.com.cn/finalpage/2026-05-18/1225314733.PDF</t>
        </is>
      </c>
    </row>
    <row r="16" ht="104" customHeight="1">
      <c r="B16" s="7" t="inlineStr">
        <is>
          <t>300308</t>
        </is>
      </c>
      <c r="C16" s="7" t="inlineStr">
        <is>
          <t>中际旭创</t>
        </is>
      </c>
      <c r="D16" s="8" t="inlineStr">
        <is>
          <t>光通信：光模块/CPO、光通信</t>
        </is>
      </c>
      <c r="E16" s="7" t="inlineStr">
        <is>
          <t>纠错</t>
        </is>
      </c>
      <c r="F16" s="7" t="inlineStr">
        <is>
          <t>光通信、光通信、光通信</t>
        </is>
      </c>
      <c r="G16" s="8" t="inlineStr">
        <is>
          <t>光模块-数通与AI算力；光模块-电信与传输；CPO与硅光集成</t>
        </is>
      </c>
      <c r="H16" s="7" t="inlineStr">
        <is>
          <t>核心</t>
        </is>
      </c>
      <c r="I16" s="8" t="inlineStr">
        <is>
          <t>公司主营光通信收发模块，产品直接服务于AI数据中心和电信传输，1.6T已经批量交付，硅光方案占比较高，年报还明确继续研发CPO，数通、电信和CPO硅光标签均有正式产品依据。2025年光通信收发模块收入374.5652亿元，总收入382.40亿元，占比97.95%，光通信收入纯度和规模均支持核心定级。需要区分的是，批量交付的1.6T与硅光产品不能全部称为CPO，CPO研发方向也没有独立收入披露，不能把374.5652亿元再包装成CPO收入；电机绕组装备等剩余业务同样不得混入。此次纠错应将旧的宽泛光模块或高速模块标签拆成数通与AI算力、电信与传输、CPO与硅光集成，并在理由中保留研发与收入不可混同的限制。</t>
        </is>
      </c>
      <c r="J16" s="7" t="inlineStr">
        <is>
          <t>中际旭创：2025年年度报告</t>
        </is>
      </c>
      <c r="K16" s="7" t="inlineStr">
        <is>
          <t>2026-03-31</t>
        </is>
      </c>
      <c r="L16" s="8" t="inlineStr">
        <is>
          <t>iFinD ifind_get_stock_info + ifind_get_stock_business_segmentation (as of 2026-10-27)；中际旭创：2025年年度报告</t>
        </is>
      </c>
      <c r="M16" s="9" t="inlineStr">
        <is>
          <t>https://vip.stock.finance.sina.com.cn/corp/view/vCB_AllBulletinDetail.php?stockid=300308&amp;id=12041853</t>
        </is>
      </c>
    </row>
    <row r="17" ht="104" customHeight="1">
      <c r="B17" s="4" t="inlineStr">
        <is>
          <t>300351</t>
        </is>
      </c>
      <c r="C17" s="4" t="inlineStr">
        <is>
          <t>永贵电器</t>
        </is>
      </c>
      <c r="D17" s="5" t="inlineStr">
        <is>
          <t>光通信：MPO/连接器</t>
        </is>
      </c>
      <c r="E17" s="4" t="inlineStr">
        <is>
          <t>纠错</t>
        </is>
      </c>
      <c r="F17" s="4" t="inlineStr">
        <is>
          <t>光通信</t>
        </is>
      </c>
      <c r="G17" s="5" t="inlineStr">
        <is>
          <t>MPO/MTP与高密度连接</t>
        </is>
      </c>
      <c r="H17" s="4" t="inlineStr">
        <is>
          <t>相关</t>
        </is>
      </c>
      <c r="I17" s="5" t="inlineStr">
        <is>
          <t>公司年报单列特种装备光纤连接器，历史正式互动资料还确认子公司洛阳奥联的MPO/MTP产品用于军用光模块和雷达，证明存在真实的高密度光连接产品，而不是从普通电连接器凭空推导。2025年轨道交通连接器收入8.3967亿元、车载与能源信息收入12.6802亿元、军工及其他收入1.3438亿元，这些混合板块均不能全部认作光通信；MPO/MTP及光纤连接器收入未单独拆分，因此2025年光通信具体收入和占比无法可靠给出，不能把军工及其他1.3438亿元整体当成其规模。基于产品真实但财务暴露不可量化且相对有限，本次定为相关而非核心，纠错点是仅保留MPO/MTP与高密度连接，剔除轨交、车载或泛军工连接器的跨概念映射。</t>
        </is>
      </c>
      <c r="J17" s="4" t="inlineStr">
        <is>
          <t>永贵电器：2025年年度报告摘要</t>
        </is>
      </c>
      <c r="K17" s="4" t="inlineStr">
        <is>
          <t>2026-04-10</t>
        </is>
      </c>
      <c r="L17" s="5" t="inlineStr">
        <is>
          <t>iFinD ifind_get_stock_info + ifind_get_stock_business_segmentation (as of 2026-10-27)；永贵电器：2025年年度报告摘要</t>
        </is>
      </c>
      <c r="M17" s="6" t="inlineStr">
        <is>
          <t>https://money.finance.sina.com.cn/corp/view/vCB_AllBulletinDetail.php?stockid=300351&amp;id=12074974</t>
        </is>
      </c>
    </row>
    <row r="18" ht="104" customHeight="1">
      <c r="B18" s="7" t="inlineStr">
        <is>
          <t>300394</t>
        </is>
      </c>
      <c r="C18" s="7" t="inlineStr">
        <is>
          <t>天孚通信</t>
        </is>
      </c>
      <c r="D18" s="8" t="inlineStr">
        <is>
          <t>光通信：光器件</t>
        </is>
      </c>
      <c r="E18" s="7" t="inlineStr">
        <is>
          <t>纠错</t>
        </is>
      </c>
      <c r="F18" s="7" t="inlineStr">
        <is>
          <t>光通信、光通信、光通信</t>
        </is>
      </c>
      <c r="G18" s="8" t="inlineStr">
        <is>
          <t>光器件-无源器件；光器件-有源器件；CPO与硅光集成</t>
        </is>
      </c>
      <c r="H18" s="7" t="inlineStr">
        <is>
          <t>核心</t>
        </is>
      </c>
      <c r="I18" s="8" t="inlineStr">
        <is>
          <t>公司形成光有源与光无源器件两大产品体系，为光模块和光通信系统提供核心器件，并披露CPO-ELS、FCFAU及硅光模块相关研发，标签能够对应具体产品与技术，而非泛光电子概念。2025年光有源器件收入29.9795亿元、光无源器件收入20.8439亿元，合计50.8233亿元，总收入51.6344亿元，占比约98.43%，核心业务纯度极高。不可拆分的边界是有源、无源收入不能直接转换为光模块整机收入，CPO-ELS、FCFAU和硅光研发也没有独立收入，不能从50.8233亿元中虚构CPO规模。此次纠错应在核心基础上把旧笼统光器件标签细分为无源、有源和CPO与硅光集成，同时明确第三项代表真实布局，不代表单独形成已披露营收。</t>
        </is>
      </c>
      <c r="J18" s="7" t="inlineStr">
        <is>
          <t>天孚通信：2025年年度报告</t>
        </is>
      </c>
      <c r="K18" s="7" t="inlineStr">
        <is>
          <t>2026-04-08</t>
        </is>
      </c>
      <c r="L18" s="8" t="inlineStr">
        <is>
          <t>iFinD ifind_get_stock_info + ifind_get_stock_business_segmentation (as of 2026-10-27)；天孚通信：2025年年度报告</t>
        </is>
      </c>
      <c r="M18" s="9" t="inlineStr">
        <is>
          <t>http://money.finance.sina.com.cn/corp/view/vCB_AllBulletinDetail.php?stockid=300394&amp;id=12066361</t>
        </is>
      </c>
    </row>
    <row r="19" ht="104" customHeight="1">
      <c r="B19" s="4" t="inlineStr">
        <is>
          <t>300398</t>
        </is>
      </c>
      <c r="C19" s="4" t="inlineStr">
        <is>
          <t>飞凯材料</t>
        </is>
      </c>
      <c r="D19" s="5" t="inlineStr">
        <is>
          <t>光通信：光材料</t>
        </is>
      </c>
      <c r="E19" s="4" t="inlineStr">
        <is>
          <t>纠错</t>
        </is>
      </c>
      <c r="F19" s="4" t="inlineStr">
        <is>
          <t>光通信</t>
        </is>
      </c>
      <c r="G19" s="5" t="inlineStr">
        <is>
          <t>光通信材料-封装与胶材</t>
        </is>
      </c>
      <c r="H19" s="4" t="inlineStr">
        <is>
          <t>核心</t>
        </is>
      </c>
      <c r="I19" s="5" t="inlineStr">
        <is>
          <t>公司的紫外固化光纤涂覆材料用于光纤制造过程中的涂覆与保护，是直接影响光纤机械性能和长期可靠性的关键材料，与光通信产业存在明确且直接的产品关系，不能因公司同时经营显示材料而弱化为泛材料概念。2025年紫外固化光纤涂覆材料收入6.9918亿元，总收入32.2565亿元，占比21.67%，独立披露的收入和较高占比支持核心定级。边界是显示材料、半导体材料及有机合成材料均不能混入光通信，光纤涂覆材料也不能被包装成光模块封装胶的全部市场或延伸出光芯片业务。此次纠错将旧“相关、光材料”提升为核心，并改成白名单中的光通信材料封装与胶材，纠正概念过宽和定级偏低，同时保留其他三大材料板块不可归属的限制。</t>
        </is>
      </c>
      <c r="J19" s="4" t="inlineStr">
        <is>
          <t>飞凯材料：2025年年度报告</t>
        </is>
      </c>
      <c r="K19" s="4" t="inlineStr">
        <is>
          <t>2026-04-22</t>
        </is>
      </c>
      <c r="L19" s="5" t="inlineStr">
        <is>
          <t>iFinD ifind_get_stock_info + ifind_get_stock_business_segmentation (as of 2026-10-27)；飞凯材料：2025年年度报告</t>
        </is>
      </c>
      <c r="M19" s="6" t="inlineStr">
        <is>
          <t>https://money.finance.sina.com.cn/corp/view/vCB_AllBulletinDetail.php?stockid=300398&amp;id=12131561</t>
        </is>
      </c>
    </row>
    <row r="20" ht="104" customHeight="1">
      <c r="B20" s="7" t="inlineStr">
        <is>
          <t>300408</t>
        </is>
      </c>
      <c r="C20" s="7" t="inlineStr">
        <is>
          <t>三环集团</t>
        </is>
      </c>
      <c r="D20" s="8" t="inlineStr">
        <is>
          <t>光通信：MPO/连接器、SOFC、MLCC</t>
        </is>
      </c>
      <c r="E20" s="7" t="inlineStr">
        <is>
          <t>纠错</t>
        </is>
      </c>
      <c r="F20" s="7" t="inlineStr">
        <is>
          <t>光通信、光通信</t>
        </is>
      </c>
      <c r="G20" s="8" t="inlineStr">
        <is>
          <t>光连接器与陶瓷插芯；MPO/MTP与高密度连接</t>
        </is>
      </c>
      <c r="H20" s="7" t="inlineStr">
        <is>
          <t>核心</t>
        </is>
      </c>
      <c r="I20" s="8" t="inlineStr">
        <is>
          <t>公司通信器件业务包含陶瓷插芯及配套产品，年报明确其增长，并披露MT插芯与导针散件、光芯片封装陶瓷管壳已推向市场且进入主流客户供应链，光连接与高密度连接具有真实规模化产品基础。2025年通信器件收入25.9431亿元，总收入90.0715亿元，占比28.80%，可支持核心定级；但通信器件仍是宽口径，不能全部等同光通信，也不能进一步把其中金额直接认作MT插芯或陶瓷管壳收入。MLCC、SOFC以及手机陶瓷外观件等业务与本次光通信标签无关，不能因材料或客户重叠而并入。此次纠错保留核心，将旧粗标签细分为光连接器与陶瓷插芯、MPO/MTP与高密度连接，并删除MLCC、SOFC等旧交叉污染。</t>
        </is>
      </c>
      <c r="J20" s="7" t="inlineStr">
        <is>
          <t>三环集团：2025年年度报告</t>
        </is>
      </c>
      <c r="K20" s="7" t="inlineStr">
        <is>
          <t>2026-03-28</t>
        </is>
      </c>
      <c r="L20" s="8" t="inlineStr">
        <is>
          <t>iFinD ifind_get_stock_info + ifind_get_stock_business_segmentation (as of 2026-10-27)；三环集团：2025年年度报告</t>
        </is>
      </c>
      <c r="M20" s="9" t="inlineStr">
        <is>
          <t>https://money.finance.sina.com.cn/corp/view/vCB_AllBulletinDetail.php?stockid=300408&amp;id=12028356</t>
        </is>
      </c>
    </row>
    <row r="21" ht="104" customHeight="1">
      <c r="B21" s="4" t="inlineStr">
        <is>
          <t>300502</t>
        </is>
      </c>
      <c r="C21" s="4" t="inlineStr">
        <is>
          <t>新易盛</t>
        </is>
      </c>
      <c r="D21" s="5" t="inlineStr">
        <is>
          <t>光通信：光模块/CPO</t>
        </is>
      </c>
      <c r="E21" s="4" t="inlineStr">
        <is>
          <t>纠错</t>
        </is>
      </c>
      <c r="F21" s="4" t="inlineStr">
        <is>
          <t>光通信、光通信、光通信</t>
        </is>
      </c>
      <c r="G21" s="5" t="inlineStr">
        <is>
          <t>光模块-数通与AI算力；光模块-电信与传输；CPO与硅光集成</t>
        </is>
      </c>
      <c r="H21" s="4" t="inlineStr">
        <is>
          <t>核心</t>
        </is>
      </c>
      <c r="I21" s="5" t="inlineStr">
        <is>
          <t>公司光互联产品覆盖800G、1.6T等高速光模块，应用于AI数据中心和电信网络，硅光产品已经批量出货，因此数通、电信以及CPO与硅光集成均有明确产品支撑，不属于单纯研发预期。2025年光互联产品收入247.7116亿元，总收入248.4185亿元，占比99.72%，光通信业务几乎构成全部营收，核心定级没有争议。财务边界在于光互联产品仍是一个综合披露口径，不能把全部收入称作AI数通，更不能把硅光批量出货等同于全部产品都是CPO；CPO相关收入也未单独披露。此次纠错应将旧的通用光模块标签细分为数通与AI算力、电信与传输、CPO与硅光集成，同时明确第三个概念反映产品技术布局，不对应247.7116亿元的独立拆分。</t>
        </is>
      </c>
      <c r="J21" s="4" t="inlineStr">
        <is>
          <t>新易盛：2025年年度报告</t>
        </is>
      </c>
      <c r="K21" s="4" t="inlineStr">
        <is>
          <t>2026-04-24</t>
        </is>
      </c>
      <c r="L21" s="5" t="inlineStr">
        <is>
          <t>iFinD ifind_get_stock_info + ifind_get_stock_business_segmentation (as of 2026-10-27)；新易盛：2025年年度报告</t>
        </is>
      </c>
      <c r="M21" s="6" t="inlineStr">
        <is>
          <t>https://money.finance.sina.com.cn/corp/view/vCB_AllBulletinDetail.php?stockid=300502&amp;id=12173345</t>
        </is>
      </c>
    </row>
    <row r="22" ht="104" customHeight="1">
      <c r="B22" s="7" t="inlineStr">
        <is>
          <t>300548</t>
        </is>
      </c>
      <c r="C22" s="7" t="inlineStr">
        <is>
          <t>长芯博创</t>
        </is>
      </c>
      <c r="D22" s="8" t="inlineStr">
        <is>
          <t>光通信：光模块/CPO、光通信</t>
        </is>
      </c>
      <c r="E22" s="7" t="inlineStr">
        <is>
          <t>纠错</t>
        </is>
      </c>
      <c r="F22" s="7" t="inlineStr">
        <is>
          <t>光通信、光通信</t>
        </is>
      </c>
      <c r="G22" s="8" t="inlineStr">
        <is>
          <t>光模块-数通与AI算力；光模块-电信与传输</t>
        </is>
      </c>
      <c r="H22" s="7" t="inlineStr">
        <is>
          <t>核心</t>
        </is>
      </c>
      <c r="I22" s="8" t="inlineStr">
        <is>
          <t>公司持续经营数据通信、消费及工业互联和电信市场产品，光模块及相关光通信产品构成主营，因而分别保留数通与AI算力、电信与传输两个方向，而不是笼统使用光通信概念。2025年数据通信、消费及工业互联收入20.3877亿元，占比80.50%；电信市场收入4.8080亿元，占比18.98%，两项合计占绝对主体，支持核心定级。不可拆分的边界是前一市场还包含消费、工业互联和铜缆产品，20.3877亿元不能全部认作数通光模块，更不能据此推算AI模块或光芯片收入；电信分部同样不能细拆到具体速率。此次纠错应在核心基础上替换旧宽泛标签，且因缺少充分正式证据，不额外添加CPO与硅光集成或光芯片概念，避免产品能力被过度外推。</t>
        </is>
      </c>
      <c r="J22" s="7" t="inlineStr">
        <is>
          <t>长芯博创：2025年年度报告</t>
        </is>
      </c>
      <c r="K22" s="7" t="inlineStr">
        <is>
          <t>2026-03-28</t>
        </is>
      </c>
      <c r="L22" s="8" t="inlineStr">
        <is>
          <t>iFinD ifind_get_stock_info + ifind_get_stock_business_segmentation (as of 2026-10-27)；长芯博创：2025年年度报告</t>
        </is>
      </c>
      <c r="M22" s="9" t="inlineStr">
        <is>
          <t>https://money.finance.sina.com.cn/corp/view/vCB_AllBulletinDetail.php?stockid=300548&amp;id=12033181</t>
        </is>
      </c>
    </row>
    <row r="23" ht="104" customHeight="1">
      <c r="B23" s="4" t="inlineStr">
        <is>
          <t>300570</t>
        </is>
      </c>
      <c r="C23" s="4" t="inlineStr">
        <is>
          <t>太辰光</t>
        </is>
      </c>
      <c r="D23" s="5" t="inlineStr">
        <is>
          <t>光通信：MPO/连接器</t>
        </is>
      </c>
      <c r="E23" s="4" t="inlineStr">
        <is>
          <t>纠错</t>
        </is>
      </c>
      <c r="F23" s="4" t="inlineStr">
        <is>
          <t>光通信、光通信、光通信、光通信</t>
        </is>
      </c>
      <c r="G23" s="5" t="inlineStr">
        <is>
          <t>MPO/MTP与高密度连接；光连接器与陶瓷插芯；光芯片-PLC与AWG；光器件-无源器件</t>
        </is>
      </c>
      <c r="H23" s="4" t="inlineStr">
        <is>
          <t>核心</t>
        </is>
      </c>
      <c r="I23" s="5" t="inlineStr">
        <is>
          <t>公司真实产品包括陶瓷插芯、MT插芯、高密度连接器、PLC与AWG晶圆芯片、光分路器和波分复用器，覆盖高密度连接、光连接以及无源芯片和器件多个环节，旧MPO粗标签无法完整表达其主营结构。2025年光器件收入15.1527亿元，光纤传感收入0.0367亿元，总收入15.4676亿元，光器件占比约97.96%，主营规模和纯度支持核心定级。边界在于光器件综合收入不能再按产品主观分摊，光纤传感也不能默认属于通信；PLC与AWG虽为芯片能力，不代表公司覆盖激光器或全部有源芯片。此次纠错将核心细分为MPO/MTP与高密度连接、光连接器与陶瓷插芯、光芯片PLC与AWG、光器件无源器件，且没有充分证据时不默认追加CPO。</t>
        </is>
      </c>
      <c r="J23" s="4" t="inlineStr">
        <is>
          <t>太辰光：2025年年度报告</t>
        </is>
      </c>
      <c r="K23" s="4" t="inlineStr">
        <is>
          <t>2026-03-31</t>
        </is>
      </c>
      <c r="L23" s="5" t="inlineStr">
        <is>
          <t>iFinD ifind_get_stock_info + ifind_get_stock_business_segmentation (as of 2026-10-27)；太辰光：2025年年度报告</t>
        </is>
      </c>
      <c r="M23" s="6" t="inlineStr">
        <is>
          <t>https://money.finance.sina.com.cn/corp/view/vCB_AllBulletinDetail.php?stockid=300570&amp;id=12045847</t>
        </is>
      </c>
    </row>
    <row r="24" ht="104" customHeight="1">
      <c r="B24" s="7" t="inlineStr">
        <is>
          <t>300620</t>
        </is>
      </c>
      <c r="C24" s="7" t="inlineStr">
        <is>
          <t>光库科技</t>
        </is>
      </c>
      <c r="D24" s="8" t="inlineStr">
        <is>
          <t>光通信：光器件</t>
        </is>
      </c>
      <c r="E24" s="7" t="inlineStr">
        <is>
          <t>纠错</t>
        </is>
      </c>
      <c r="F24" s="7" t="inlineStr">
        <is>
          <t>光通信、光通信、光通信、光通信</t>
        </is>
      </c>
      <c r="G24" s="8" t="inlineStr">
        <is>
          <t>光器件-无源器件；光器件-有源器件；MPO/MTP与高密度连接；CPO与硅光集成</t>
        </is>
      </c>
      <c r="H24" s="7" t="inlineStr">
        <is>
          <t>核心</t>
        </is>
      </c>
      <c r="I24" s="8" t="inlineStr">
        <is>
          <t>公司光通讯产品覆盖FAU、MPO/MTP、铌酸锂调制器以及CPO光纤阵列和CPO新品，分别对应无源器件、有源器件、高密度连接和硅光集成方向，产品链条明确，不能只保留一个泛光器件标签。2025年光通讯器件收入7.8615亿元，总收入14.7397亿元，占比53.34%，是最大且可独立识别的业务板块，支持核心定级；光纤激光器件收入4.9789亿元、激光雷达收入1.0121亿元均不能算入光通信。光通讯器件收入也无法继续拆成MPO、调制器或CPO各自金额，研发与新品表述不等于独立销售规模。此次纠错保留核心并补齐四个白名单概念，纠正旧标签过粗，同时用53.34%及另外两大业务排除项约束光通信收入边界。</t>
        </is>
      </c>
      <c r="J24" s="7" t="inlineStr">
        <is>
          <t>光库科技：2025年年度报告</t>
        </is>
      </c>
      <c r="K24" s="7" t="inlineStr">
        <is>
          <t>2026-03-24</t>
        </is>
      </c>
      <c r="L24" s="8" t="inlineStr">
        <is>
          <t>iFinD ifind_get_stock_info + ifind_get_stock_business_segmentation (as of 2026-10-27)；光库科技：2025年年度报告</t>
        </is>
      </c>
      <c r="M24" s="9" t="inlineStr">
        <is>
          <t>https://money.finance.sina.com.cn/corp/view/vCB_AllBulletinDetail.php?stockid=300620&amp;id=12012908</t>
        </is>
      </c>
    </row>
    <row r="25" ht="104" customHeight="1">
      <c r="B25" s="4" t="inlineStr">
        <is>
          <t>300757</t>
        </is>
      </c>
      <c r="C25" s="4" t="inlineStr">
        <is>
          <t>罗博特科</t>
        </is>
      </c>
      <c r="D25" s="5" t="inlineStr">
        <is>
          <t>光通信：设备、spacex、太空光伏设备</t>
        </is>
      </c>
      <c r="E25" s="4" t="inlineStr">
        <is>
          <t>纠错</t>
        </is>
      </c>
      <c r="F25" s="4" t="inlineStr">
        <is>
          <t>光通信、光通信</t>
        </is>
      </c>
      <c r="G25" s="5" t="inlineStr">
        <is>
          <t>光通信设备-测试与生产；CPO与硅光集成</t>
        </is>
      </c>
      <c r="H25" s="4" t="inlineStr">
        <is>
          <t>核心</t>
        </is>
      </c>
      <c r="I25" s="5" t="inlineStr">
        <is>
          <t>公司收购ficonTEC后具备光电子及半导体封装测试设备业务，正式资料明确硅光组装与测试设备收入，并覆盖CPO模组组装、晶圆与晶粒测试及耦合设备，是光通信上游真实生产与测试装备供应商。2025年光电子及半导体封测设备收入4.3913亿元，总收入约9.49亿元，占比约46.3%，硅光组装与测试设备收入同为4.39亿元，规模和并表后的重要性支持核心；光伏设备收入4.3306亿元则必须排除，不能沿用公司历史主业全部计算。设备口径可能覆盖其他光电子或半导体应用，不应再主观拆成纯光通信各产品金额。此次纠错把旧“边缘、设备”提升为核心，细分为光通信设备测试与生产、CPO与硅光集成，同时明确光伏收入和混合设备边界。</t>
        </is>
      </c>
      <c r="J25" s="4" t="inlineStr">
        <is>
          <t>罗博特科：2025年年度报告</t>
        </is>
      </c>
      <c r="K25" s="4" t="inlineStr">
        <is>
          <t>2026-03-31</t>
        </is>
      </c>
      <c r="L25" s="5" t="inlineStr">
        <is>
          <t>iFinD ifind_get_stock_info + ifind_get_stock_business_segmentation (as of 2026-10-27)；罗博特科：2025年年度报告</t>
        </is>
      </c>
      <c r="M25" s="6" t="inlineStr">
        <is>
          <t>https://money.finance.sina.com.cn/corp/view/vCB_AllBulletinDetail.php?stockid=300757&amp;id=12047235</t>
        </is>
      </c>
    </row>
    <row r="26" ht="104" customHeight="1">
      <c r="B26" s="7" t="inlineStr">
        <is>
          <t>301196</t>
        </is>
      </c>
      <c r="C26" s="7" t="inlineStr">
        <is>
          <t>唯科科技</t>
        </is>
      </c>
      <c r="D26" s="8" t="inlineStr">
        <is>
          <t>光通信：其他</t>
        </is>
      </c>
      <c r="E26" s="7" t="inlineStr">
        <is>
          <t>纠错</t>
        </is>
      </c>
      <c r="F26" s="7" t="inlineStr">
        <is>
          <t>光通信、光通信</t>
        </is>
      </c>
      <c r="G26" s="8" t="inlineStr">
        <is>
          <t>MPO/MTP与高密度连接；光通信配套-精密结构件</t>
        </is>
      </c>
      <c r="H26" s="7" t="inlineStr">
        <is>
          <t>相关</t>
        </is>
      </c>
      <c r="I26" s="8" t="inlineStr">
        <is>
          <t>2025年正式投资者记录确认公司为康普提供MPO光纤连接头零部件和适配器，并于四季度开始小批量供货，另有通讯基站、入户光纤和光缆壳体等精密结构件，业务关系真实但仍处于较小规模阶段。2025年注塑产品收入11.0886亿元、健康产品收入6.5234亿元、精密模具收入3.4242亿元，光通信没有单列，因此不能给出可信的光通信收入及占比，更不能把11.0886亿元注塑产品全部归入MPO或光通信。小批量供货证明业务已经落地，却不足以支持核心定级，故本次定为相关。此次纠错将旧的泛通讯或塑料件概念细分为MPO/MTP与高密度连接、光通信配套精密结构件，同时保留供货阶段、收入不可拆分和其他产品不得混入的边界。</t>
        </is>
      </c>
      <c r="J26" s="7" t="inlineStr">
        <is>
          <t>厦门唯科模塑科技股份有限公司投资者关系活动记录表</t>
        </is>
      </c>
      <c r="K26" s="7" t="inlineStr">
        <is>
          <t>2025-12-06</t>
        </is>
      </c>
      <c r="L26" s="8" t="inlineStr">
        <is>
          <t>iFinD ifind_get_stock_info + ifind_get_stock_business_segmentation (as of 2026-10-27)；厦门唯科模塑科技股份有限公司投资者关系活动记录表</t>
        </is>
      </c>
      <c r="M26" s="9" t="inlineStr">
        <is>
          <t>http://pdf.dfcfw.com/pdf/H2_AN202512071795728734_1.PDF</t>
        </is>
      </c>
    </row>
    <row r="27" ht="104" customHeight="1">
      <c r="B27" s="4" t="inlineStr">
        <is>
          <t>301205</t>
        </is>
      </c>
      <c r="C27" s="4" t="inlineStr">
        <is>
          <t>联特科技</t>
        </is>
      </c>
      <c r="D27" s="5" t="inlineStr">
        <is>
          <t>光通信：光模块/CPO、光通信</t>
        </is>
      </c>
      <c r="E27" s="4" t="inlineStr">
        <is>
          <t>纠错</t>
        </is>
      </c>
      <c r="F27" s="4" t="inlineStr">
        <is>
          <t>光通信、光通信</t>
        </is>
      </c>
      <c r="G27" s="5" t="inlineStr">
        <is>
          <t>光模块-数通与AI算力；光模块-电信与传输</t>
        </is>
      </c>
      <c r="H27" s="4" t="inlineStr">
        <is>
          <t>核心</t>
        </is>
      </c>
      <c r="I27" s="5" t="inlineStr">
        <is>
          <t>公司以光模块为主营产品，覆盖10G及以上和10G以下产品，分别服务数据通信、AI算力及电信传输等场景，产品收入可以直接识别，属于典型光通信核心企业，而不是仅凭高速率概念关联。2025年10G及以上光模块收入6.8925亿元、10G以下光模块收入5.3783亿元，合计12.2708亿元，总收入12.5753亿元，占比约97.58%，核心定级由接近全部营收的产品结构支持。边界是测试服务和受托加工不能算作光模块收入，10G及以上也不能全部等同800G、1.6T或AI模块，各速率和应用场景没有独立收入拆分。此次纠错将旧宽泛光模块标签细分为数通与AI算力、电信与传输，并因缺乏充分正式证据不追加CPO与硅光集成，避免把技术想象写成既成业务。</t>
        </is>
      </c>
      <c r="J27" s="4" t="inlineStr">
        <is>
          <t>联特科技：2025年年度报告</t>
        </is>
      </c>
      <c r="K27" s="4" t="inlineStr">
        <is>
          <t>2026-04-29</t>
        </is>
      </c>
      <c r="L27" s="5" t="inlineStr">
        <is>
          <t>iFinD ifind_get_stock_info + ifind_get_stock_business_segmentation (as of 2026-10-27)；联特科技：2025年年度报告</t>
        </is>
      </c>
      <c r="M27" s="6" t="inlineStr">
        <is>
          <t>https://vip.stock.finance.sina.com.cn/corp/view/vCB_AllBulletinDetail.php?stockid=301205&amp;id=12260944</t>
        </is>
      </c>
    </row>
    <row r="28" ht="104" customHeight="1">
      <c r="B28" s="7" t="inlineStr">
        <is>
          <t>600105</t>
        </is>
      </c>
      <c r="C28" s="7" t="inlineStr">
        <is>
          <t>永鼎股份</t>
        </is>
      </c>
      <c r="D28" s="8" t="inlineStr">
        <is>
          <t>光通信：光纤光缆、超导磁体</t>
        </is>
      </c>
      <c r="E28" s="7" t="inlineStr">
        <is>
          <t>纠错</t>
        </is>
      </c>
      <c r="F28" s="7" t="inlineStr">
        <is>
          <t>光通信</t>
        </is>
      </c>
      <c r="G28" s="8" t="inlineStr">
        <is>
          <t>光纤预制棒与光纤、光缆与线缆、特种光纤与光纤环</t>
        </is>
      </c>
      <c r="H28" s="7" t="inlineStr">
        <is>
          <t>核心</t>
        </is>
      </c>
      <c r="I28" s="8" t="inlineStr">
        <is>
          <t>公司真实光通信产品包括光纤预制棒、通信光纤、特种光纤、通信光缆和光电复合缆，并非只有电缆或超导业务的产业链联想。2025年光通信产品收入9.9900亿元，按所列产品收入合计约52.3865亿元计算占约19.07%，已经构成重要收入来源；汽车线束18.7525亿元、海外工程13.8097亿元及超导和铜导体8.4100亿元均不能混入光通信收入。光通信虽未过半，但收入规模和独立产品分部均达到核心标准，因此将旧“相关”上调为核心；旧笼统“光纤光缆”进一步拆为预制棒光纤、光缆和特种光纤，超导磁体不属于本次光通信标签。</t>
        </is>
      </c>
      <c r="J28" s="7" t="inlineStr">
        <is>
          <t>永鼎股份2025年年度报告</t>
        </is>
      </c>
      <c r="K28" s="7" t="inlineStr">
        <is>
          <t>2026-04-21</t>
        </is>
      </c>
      <c r="L28" s="8" t="inlineStr">
        <is>
          <t>iFinD ifind_get_stock_info + ifind_get_stock_business_segmentation (as of 2026-10-27)；永鼎股份2025年年度报告</t>
        </is>
      </c>
      <c r="M28" s="9" t="inlineStr">
        <is>
          <t>https://static.cninfo.com.cn/finalpage/2026-04-21/1225133679.PDF</t>
        </is>
      </c>
    </row>
    <row r="29" ht="104" customHeight="1">
      <c r="B29" s="4" t="inlineStr">
        <is>
          <t>600330</t>
        </is>
      </c>
      <c r="C29" s="4" t="inlineStr">
        <is>
          <t>天通股份</t>
        </is>
      </c>
      <c r="D29" s="5" t="inlineStr">
        <is>
          <t>光通信：光材料</t>
        </is>
      </c>
      <c r="E29" s="4" t="inlineStr">
        <is>
          <t>纠错</t>
        </is>
      </c>
      <c r="F29" s="4" t="inlineStr">
        <is>
          <t>光通信</t>
        </is>
      </c>
      <c r="G29" s="5" t="inlineStr">
        <is>
          <t>光通信材料-光学与晶体</t>
        </is>
      </c>
      <c r="H29" s="4" t="inlineStr">
        <is>
          <t>相关</t>
        </is>
      </c>
      <c r="I29" s="5" t="inlineStr">
        <is>
          <t>公司实际可对应光通信的是铌酸锂、钽酸锂晶棒和晶片及压电异质晶圆，年报明确这些材料用于高速光调制器、集成光子芯片、光波导和光开关，且4至8英寸产品已经量产，属于真实光学晶体材料而非泛泛的“光材料”。2025年电子材料制造及销售收入28.1739亿元、占88.0260%，但该分部同时包含磁性材料、压电晶体和蓝宝石材料，无法拆出光通信专用晶体收入，更不能把全部电子材料收入归入光通信。公司主营仍是多类电子材料和专用装备，光通信只是压电晶体的重要下游之一，故维持相关；旧标签纠正为具体光学与晶体材料，不以行业市场预测替代公司业务证据。</t>
        </is>
      </c>
      <c r="J29" s="4" t="inlineStr">
        <is>
          <t>天通股份2025年年度报告</t>
        </is>
      </c>
      <c r="K29" s="4" t="inlineStr">
        <is>
          <t>2026-04-28</t>
        </is>
      </c>
      <c r="L29" s="5" t="inlineStr">
        <is>
          <t>iFinD ifind_get_stock_info + ifind_get_stock_business_segmentation (as of 2026-10-27)；天通股份2025年年度报告</t>
        </is>
      </c>
      <c r="M29" s="6" t="inlineStr">
        <is>
          <t>https://static.cninfo.com.cn/finalpage/2026-04-28/1225212740.PDF</t>
        </is>
      </c>
    </row>
    <row r="30" ht="104" customHeight="1">
      <c r="B30" s="7" t="inlineStr">
        <is>
          <t>600345</t>
        </is>
      </c>
      <c r="C30" s="7" t="inlineStr">
        <is>
          <t>长江通信</t>
        </is>
      </c>
      <c r="D30" s="8" t="inlineStr">
        <is>
          <t>光通信：光纤光缆、千帆星座</t>
        </is>
      </c>
      <c r="E30" s="7" t="inlineStr">
        <is>
          <t>摘除</t>
        </is>
      </c>
      <c r="F30" s="7" t="inlineStr">
        <is>
          <t>—</t>
        </is>
      </c>
      <c r="G30" s="8" t="inlineStr">
        <is>
          <t>—</t>
        </is>
      </c>
      <c r="H30" s="7" t="inlineStr">
        <is>
          <t>摘除</t>
        </is>
      </c>
      <c r="I30" s="8" t="inlineStr">
        <is>
          <t>公司当前真实产品为智慧应急通信与指挥、排队调度机、应急通信网关、消防应急指挥终端、卫星定位终端及智慧城市运营系统，主要服务公安、应急和城运指挥场景，并未披露光纤、光缆、光模块、光器件或光传输设备的生产销售。2025年信息技术服务收入9.9526亿元、占97.4302%，其中系统集成9.2178亿元、运维与技术服务0.5542亿元，这些混合收入主要对应行业指挥和数字化项目，不能因名称含“通信”就全部认作光通信，也没有可拆分的光网络工程收入。旧“光纤光缆”与公司产品不符，卫星信关站或地面系统项目同样不能跨概念证明光纤光缆业务，故摘除光通信标签；其他商业航天分类不在本次处理范围。</t>
        </is>
      </c>
      <c r="J30" s="7" t="inlineStr">
        <is>
          <t>长江通信2025年年度报告</t>
        </is>
      </c>
      <c r="K30" s="7" t="inlineStr">
        <is>
          <t>2026-04-28</t>
        </is>
      </c>
      <c r="L30" s="8" t="inlineStr">
        <is>
          <t>iFinD ifind_get_stock_info + ifind_get_stock_business_segmentation (as of 2026-10-27)；长江通信2025年年度报告</t>
        </is>
      </c>
      <c r="M30" s="9" t="inlineStr">
        <is>
          <t>https://static.cninfo.com.cn/finalpage/2026-04-28/1225209052.PDF</t>
        </is>
      </c>
    </row>
    <row r="31" ht="104" customHeight="1">
      <c r="B31" s="4" t="inlineStr">
        <is>
          <t>600487</t>
        </is>
      </c>
      <c r="C31" s="4" t="inlineStr">
        <is>
          <t>亨通光电</t>
        </is>
      </c>
      <c r="D31" s="5" t="inlineStr">
        <is>
          <t>光通信：光纤光缆、电缆</t>
        </is>
      </c>
      <c r="E31" s="4" t="inlineStr">
        <is>
          <t>纠错</t>
        </is>
      </c>
      <c r="F31" s="4" t="inlineStr">
        <is>
          <t>光通信</t>
        </is>
      </c>
      <c r="G31" s="5" t="inlineStr">
        <is>
          <t>光纤预制棒与光纤、光缆与线缆、光传输与接入设备</t>
        </is>
      </c>
      <c r="H31" s="4" t="inlineStr">
        <is>
          <t>核心</t>
        </is>
      </c>
      <c r="I31" s="5" t="inlineStr">
        <is>
          <t>公司光通信业务覆盖光纤预制棒、光纤、光缆以及光网络产品与解决方案，是年报单列的产品板块，不是由智能电网、电缆或海洋业务间接推导。2025年光通信产品收入56.0885亿元，占公司营业收入约668.5485亿元的8.39%；同期智能电网247.9609亿元、铜导体200.8420亿元、海洋电力通信57.3668亿元，均不应并入光通信口径。虽然光通信占比不足一成，但独立收入超过56亿元且属于公司长期主营产业，满足重要收入和规模化核心产品标准，因此由旧“相关”上调为核心；旧“光纤光缆”保留并细化到预制棒光纤、线缆和传输接入设备，未把海洋电力通信全部算作光通信。</t>
        </is>
      </c>
      <c r="J31" s="4" t="inlineStr">
        <is>
          <t>亨通光电2025年年度报告</t>
        </is>
      </c>
      <c r="K31" s="4" t="inlineStr">
        <is>
          <t>2026-04-25</t>
        </is>
      </c>
      <c r="L31" s="5" t="inlineStr">
        <is>
          <t>iFinD ifind_get_stock_info + ifind_get_stock_business_segmentation (as of 2026-10-27)；亨通光电2025年年度报告</t>
        </is>
      </c>
      <c r="M31" s="6" t="inlineStr">
        <is>
          <t>https://static.cninfo.com.cn/finalpage/2026-04-25/1225195764.PDF</t>
        </is>
      </c>
    </row>
    <row r="32" ht="104" customHeight="1">
      <c r="B32" s="7" t="inlineStr">
        <is>
          <t>600498</t>
        </is>
      </c>
      <c r="C32" s="7" t="inlineStr">
        <is>
          <t>烽火通信</t>
        </is>
      </c>
      <c r="D32" s="8" t="inlineStr">
        <is>
          <t>光通信：光纤光缆、昇腾部件伙伴</t>
        </is>
      </c>
      <c r="E32" s="7" t="inlineStr">
        <is>
          <t>纠错</t>
        </is>
      </c>
      <c r="F32" s="7" t="inlineStr">
        <is>
          <t>光通信</t>
        </is>
      </c>
      <c r="G32" s="8" t="inlineStr">
        <is>
          <t>光传输与接入设备、光纤预制棒与光纤、光缆与线缆</t>
        </is>
      </c>
      <c r="H32" s="7" t="inlineStr">
        <is>
          <t>核心</t>
        </is>
      </c>
      <c r="I32" s="8" t="inlineStr">
        <is>
          <t>公司主营直接包括通信系统设备、光纤及线缆和数据网络产品，通信系统设备覆盖光传输、宽带接入等光网络设备，光纤光缆则提供传输介质和线路产品，与光通信存在直接且规模化的产品关系。2025年光通信行业收入247.2848亿元、占99.2372%；其中通信系统设备186.5477亿元，光纤、光缆及电缆46.5410亿元，数据网络14.1962亿元。分产品中的系统设备还包含非纯光传输部分，电缆也需与光纤光缆区分，但行业分部已经清楚表明光通信是绝对主营，符合核心标准。旧“光纤光缆”只覆盖一部分业务，现纠正并补充光传输与接入设备，不因服务器或昇腾伙伴标签改变本次光通信判断。</t>
        </is>
      </c>
      <c r="J32" s="7" t="inlineStr">
        <is>
          <t>600498_2025年_年度报告</t>
        </is>
      </c>
      <c r="K32" s="7" t="inlineStr">
        <is>
          <t>2026-04-25</t>
        </is>
      </c>
      <c r="L32" s="8" t="inlineStr">
        <is>
          <t>iFinD ifind_get_stock_info + ifind_get_stock_business_segmentation (as of 2026-10-27)；600498_2025年_年度报告</t>
        </is>
      </c>
      <c r="M32" s="9" t="inlineStr">
        <is>
          <t>https://static.cninfo.com.cn/finalpage/2026-04-25/1225178004.PDF</t>
        </is>
      </c>
    </row>
    <row r="33" ht="104" customHeight="1">
      <c r="B33" s="4" t="inlineStr">
        <is>
          <t>600522</t>
        </is>
      </c>
      <c r="C33" s="4" t="inlineStr">
        <is>
          <t>中天科技</t>
        </is>
      </c>
      <c r="D33" s="5" t="inlineStr">
        <is>
          <t>光通信：光纤光缆、光通信</t>
        </is>
      </c>
      <c r="E33" s="4" t="inlineStr">
        <is>
          <t>纠错</t>
        </is>
      </c>
      <c r="F33" s="4" t="inlineStr">
        <is>
          <t>光通信</t>
        </is>
      </c>
      <c r="G33" s="5" t="inlineStr">
        <is>
          <t>光纤预制棒与光纤、光缆与线缆</t>
        </is>
      </c>
      <c r="H33" s="4" t="inlineStr">
        <is>
          <t>核心</t>
        </is>
      </c>
      <c r="I33" s="5" t="inlineStr">
        <is>
          <t>公司光通信及网络板块以光纤预制棒、光纤、光缆和相关网络产品为基础，是实际生产销售业务，而非由电力电缆、海底线缆或新能源材料作出的概念延伸。2025年光通信及网络收入73.6985亿元，按公司营业收入约524.9986亿元计算占约14.04%；电力传输222.6381亿元、铜产品95.2108亿元、海底线缆63.4879亿元和新能源材料56.9721亿元均有独立口径，不得混入光通信。光通信虽不是最大板块，但收入体量较大且为公司长期主营之一，维持核心结论。旧“光通信”和“光纤光缆”重复且过粗，现统一细化为预制棒光纤和光缆线缆；没有在本项核验中充分确认的MPO或CPO不额外加标。</t>
        </is>
      </c>
      <c r="J33" s="4" t="inlineStr">
        <is>
          <t>江苏中天科技股份有限公司2025年年度报告</t>
        </is>
      </c>
      <c r="K33" s="4" t="inlineStr">
        <is>
          <t>2026-04-25</t>
        </is>
      </c>
      <c r="L33" s="5" t="inlineStr">
        <is>
          <t>iFinD ifind_get_stock_info + ifind_get_stock_business_segmentation (as of 2026-10-27)；江苏中天科技股份有限公司2025年年度报告</t>
        </is>
      </c>
      <c r="M33" s="6" t="inlineStr">
        <is>
          <t>https://static.cninfo.com.cn/finalpage/2026-04-25/1225177318.PDF</t>
        </is>
      </c>
    </row>
    <row r="34" ht="104" customHeight="1">
      <c r="B34" s="7" t="inlineStr">
        <is>
          <t>601869</t>
        </is>
      </c>
      <c r="C34" s="7" t="inlineStr">
        <is>
          <t>长飞光纤</t>
        </is>
      </c>
      <c r="D34" s="8" t="inlineStr">
        <is>
          <t>光通信：光纤光缆、光通信</t>
        </is>
      </c>
      <c r="E34" s="7" t="inlineStr">
        <is>
          <t>纠错</t>
        </is>
      </c>
      <c r="F34" s="7" t="inlineStr">
        <is>
          <t>光通信</t>
        </is>
      </c>
      <c r="G34" s="8" t="inlineStr">
        <is>
          <t>光纤预制棒与光纤、光缆与线缆、光器件-无源器件、光模块-数通与AI算力、MPO/MTP与高密度连接</t>
        </is>
      </c>
      <c r="H34" s="7" t="inlineStr">
        <is>
          <t>核心</t>
        </is>
      </c>
      <c r="I34" s="8" t="inlineStr">
        <is>
          <t>公司主营覆盖光纤预制棒、光纤、光缆，并延伸到光器件、光模块、有源光缆、无源预端接跳线等光互联产品，产业链位置和产品用途均直接属于光通信。2025年光通信行业收入139.8666亿元、占98.1375%；其中光传输产品83.4636亿元、光互联组件31.4386亿元，其他产品及材料销售不能全部视作同一细分业务。无论行业占比还是产品规模，均为典型核心企业。旧“光通信”与“光纤光缆”标签重复且未体现光互联业务，现按预制棒光纤、光缆、无源器件、数通光模块和高密度连接拆分；未仅因市场板块设有CPO概念就给公司追加CPO标签。</t>
        </is>
      </c>
      <c r="J34" s="7" t="inlineStr">
        <is>
          <t>长飞光纤光缆股份有限公司2025年年度报告</t>
        </is>
      </c>
      <c r="K34" s="7" t="inlineStr">
        <is>
          <t>2026-03-28</t>
        </is>
      </c>
      <c r="L34" s="8" t="inlineStr">
        <is>
          <t>iFinD ifind_get_stock_info + ifind_get_stock_business_segmentation (as of 2026-10-27)；长飞光纤光缆股份有限公司2025年年度报告</t>
        </is>
      </c>
      <c r="M34" s="9" t="inlineStr">
        <is>
          <t>https://static.cninfo.com.cn/finalpage/2026-03-28/1225048080.PDF</t>
        </is>
      </c>
    </row>
    <row r="35" ht="104" customHeight="1">
      <c r="B35" s="4" t="inlineStr">
        <is>
          <t>603042</t>
        </is>
      </c>
      <c r="C35" s="4" t="inlineStr">
        <is>
          <t>华脉科技</t>
        </is>
      </c>
      <c r="D35" s="5" t="inlineStr">
        <is>
          <t>光通信：光纤光缆</t>
        </is>
      </c>
      <c r="E35" s="4" t="inlineStr">
        <is>
          <t>纠错</t>
        </is>
      </c>
      <c r="F35" s="4" t="inlineStr">
        <is>
          <t>光通信</t>
        </is>
      </c>
      <c r="G35" s="5" t="inlineStr">
        <is>
          <t>光缆与线缆、光器件-无源器件、光连接器与陶瓷插芯</t>
        </is>
      </c>
      <c r="H35" s="4" t="inlineStr">
        <is>
          <t>核心</t>
        </is>
      </c>
      <c r="I35" s="5" t="inlineStr">
        <is>
          <t>公司实际提供ODN物理连接及保护设备、光无源器件和光缆，产品直接用于光通信网络的连接、配线、保护与接入，不是泛通信机箱机柜或无线设备的理论应用。2025年光通信网络设备制造收入7.1802亿元、占87.9587%；其中光缆类4.5493亿元、ODN网络物理连接及保护设备2.2726亿元、光无源器件0.3583亿元，光通信已经构成绝对主营。无线通信网络设备和其他业务收入不应计入光通信，但不妨碍核心认定，因此将旧“相关”上调为核心。旧“光纤光缆”只描述部分收入，现纠正为光缆、无源器件及光连接产品，ODN设备收入也未被粗暴全部解释为陶瓷插芯收入。</t>
        </is>
      </c>
      <c r="J35" s="4" t="inlineStr">
        <is>
          <t>2025年年度报告</t>
        </is>
      </c>
      <c r="K35" s="4" t="inlineStr">
        <is>
          <t>2026-04-21</t>
        </is>
      </c>
      <c r="L35" s="5" t="inlineStr">
        <is>
          <t>iFinD ifind_get_stock_info + ifind_get_stock_business_segmentation (as of 2026-10-27)；2025年年度报告</t>
        </is>
      </c>
      <c r="M35" s="6" t="inlineStr">
        <is>
          <t>https://static.cninfo.com.cn/finalpage/2026-04-21/1225128377.PDF</t>
        </is>
      </c>
    </row>
    <row r="36" ht="104" customHeight="1">
      <c r="B36" s="7" t="inlineStr">
        <is>
          <t>603083</t>
        </is>
      </c>
      <c r="C36" s="7" t="inlineStr">
        <is>
          <t>剑桥科技</t>
        </is>
      </c>
      <c r="D36" s="8" t="inlineStr">
        <is>
          <t>光通信：光模块/CPO、光通信</t>
        </is>
      </c>
      <c r="E36" s="7" t="inlineStr">
        <is>
          <t>纠错</t>
        </is>
      </c>
      <c r="F36" s="7" t="inlineStr">
        <is>
          <t>光通信</t>
        </is>
      </c>
      <c r="G36" s="8" t="inlineStr">
        <is>
          <t>光模块-数通与AI算力、光模块-电信与传输</t>
        </is>
      </c>
      <c r="H36" s="7" t="inlineStr">
        <is>
          <t>核心</t>
        </is>
      </c>
      <c r="I36" s="8" t="inlineStr">
        <is>
          <t>公司真实产品包括高速光组件与光模块，同时经营电信宽带终端、无线网络设备，光模块面向数据中心高速互联和电信传输场景，是直接的光通信产品而非一般ICT终端外推。2025年高速光组件与光模块收入16.7538亿元，占营业收入约48.2341亿元的34.74%，已经形成重要且规模化的收入来源；电信宽带终端19.9241亿元和无线网络设备11.5396亿元不能全部并入光模块收入。公司光模块业务占比和绝对规模均支持核心结论。旧“光模块/CPO”把两个概念捆绑，现纠正为数通与AI算力、电信与传输两类光模块；本次未以行业板块标签代替公司CPO产品证据，故不单独追加CPO概念。</t>
        </is>
      </c>
      <c r="J36" s="7" t="inlineStr">
        <is>
          <t>2025年年度报告</t>
        </is>
      </c>
      <c r="K36" s="7" t="inlineStr">
        <is>
          <t>2026-03-31</t>
        </is>
      </c>
      <c r="L36" s="8" t="inlineStr">
        <is>
          <t>iFinD ifind_get_stock_info + ifind_get_stock_business_segmentation (as of 2026-10-27)；2025年年度报告</t>
        </is>
      </c>
      <c r="M36" s="9" t="inlineStr">
        <is>
          <t>https://static.cninfo.com.cn/finalpage/2026-03-31/1225053610.PDF</t>
        </is>
      </c>
    </row>
    <row r="37" ht="104" customHeight="1">
      <c r="B37" s="4" t="inlineStr">
        <is>
          <t>603220</t>
        </is>
      </c>
      <c r="C37" s="4" t="inlineStr">
        <is>
          <t>中贝通信</t>
        </is>
      </c>
      <c r="D37" s="5" t="inlineStr">
        <is>
          <t>光通信：光纤光缆、算力租赁</t>
        </is>
      </c>
      <c r="E37" s="4" t="inlineStr">
        <is>
          <t>纠错</t>
        </is>
      </c>
      <c r="F37" s="4" t="inlineStr">
        <is>
          <t>光通信</t>
        </is>
      </c>
      <c r="G37" s="5" t="inlineStr">
        <is>
          <t>光网络系统与工程服务</t>
        </is>
      </c>
      <c r="H37" s="4" t="inlineStr">
        <is>
          <t>核心</t>
        </is>
      </c>
      <c r="I37" s="5" t="inlineStr">
        <is>
          <t>公司真实主业是通信网络建设、规划设计、优化维护和通信信息化集成，其中5G新基建包含通信网络及配套光网络工程建设，与光通信的关系在工程实施和网络服务层，而不是生产光纤光缆或MPO产品。2025年5G新基建收入17.7589亿元，占营业收入约32.4551亿元的54.72%，智算业务6.1983亿元、智慧城市及其他8.2474亿元；智算租赁不能计作光通信收入，5G新基建也含无线和配套工程，不能全额等同纯光网络收入。尽管存在这一不可拆分边界，通信网络工程仍为主体且光网络建设是其实际组成，故核心认定保留在“光网络系统与工程服务”。旧“光纤光缆”和MPO暗示制造属性，属于需要纠正的错位标签。</t>
        </is>
      </c>
      <c r="J37" s="4" t="inlineStr">
        <is>
          <t>2025年年度报告</t>
        </is>
      </c>
      <c r="K37" s="4" t="inlineStr">
        <is>
          <t>2026-04-23</t>
        </is>
      </c>
      <c r="L37" s="5" t="inlineStr">
        <is>
          <t>iFinD ifind_get_stock_info + ifind_get_stock_business_segmentation (as of 2026-10-27)；2025年年度报告</t>
        </is>
      </c>
      <c r="M37" s="6" t="inlineStr">
        <is>
          <t>https://static.cninfo.com.cn/finalpage/2026-04-23/1225145508.PDF</t>
        </is>
      </c>
    </row>
    <row r="38" ht="104" customHeight="1">
      <c r="B38" s="7" t="inlineStr">
        <is>
          <t>603330</t>
        </is>
      </c>
      <c r="C38" s="7" t="inlineStr">
        <is>
          <t>天洋新材</t>
        </is>
      </c>
      <c r="D38" s="8" t="inlineStr">
        <is>
          <t>光通信：光材料</t>
        </is>
      </c>
      <c r="E38" s="7" t="inlineStr">
        <is>
          <t>摘除</t>
        </is>
      </c>
      <c r="F38" s="7" t="inlineStr">
        <is>
          <t>—</t>
        </is>
      </c>
      <c r="G38" s="8" t="inlineStr">
        <is>
          <t>—</t>
        </is>
      </c>
      <c r="H38" s="7" t="inlineStr">
        <is>
          <t>摘除</t>
        </is>
      </c>
      <c r="I38" s="8" t="inlineStr">
        <is>
          <t>公司主营是纺织和汽车用热熔胶、电子级胶黏剂、光伏封装胶膜及环保墙布。2025年热熔胶收入4.0996亿元、反应型胶黏剂1.7218亿元、光伏封装胶膜1.9316亿元；工业领域收入占90.0853%，但工业领域并不等于光通信。年报所列电子胶主要用于电路板保护、电池组装、电子器件结构粘接、电机组装，并披露新拓展半导体、汽车电子和储能导热应用，全文未核验到光通信、光模块或CPO产品、订单、供货和收入披露。通用环氧、丙烯酸或有机硅胶理论上可用于多种电子封装，不能据此认定光通信封装胶材。旧“光材料”及CPO联想缺乏真实业务支撑，故摘除，而不是把反应型胶黏剂收入全部归入光通信。</t>
        </is>
      </c>
      <c r="J38" s="7" t="inlineStr">
        <is>
          <t>2025年年度报告</t>
        </is>
      </c>
      <c r="K38" s="7" t="inlineStr">
        <is>
          <t>2026-04-23</t>
        </is>
      </c>
      <c r="L38" s="8" t="inlineStr">
        <is>
          <t>iFinD ifind_get_stock_info + ifind_get_stock_business_segmentation (as of 2026-10-27)；2025年年度报告</t>
        </is>
      </c>
      <c r="M38" s="9" t="inlineStr">
        <is>
          <t>https://static.cninfo.com.cn/finalpage/2026-04-23/1225148563.PDF</t>
        </is>
      </c>
    </row>
    <row r="39" ht="104" customHeight="1">
      <c r="B39" s="4" t="inlineStr">
        <is>
          <t>603738</t>
        </is>
      </c>
      <c r="C39" s="4" t="inlineStr">
        <is>
          <t>泰晶科技</t>
        </is>
      </c>
      <c r="D39" s="5" t="inlineStr">
        <is>
          <t>光通信：石英晶振</t>
        </is>
      </c>
      <c r="E39" s="4" t="inlineStr">
        <is>
          <t>纠错</t>
        </is>
      </c>
      <c r="F39" s="4" t="inlineStr">
        <is>
          <t>光通信</t>
        </is>
      </c>
      <c r="G39" s="5" t="inlineStr">
        <is>
          <t>时钟晶振与频率器件</t>
        </is>
      </c>
      <c r="H39" s="4" t="inlineStr">
        <is>
          <t>相关</t>
        </is>
      </c>
      <c r="I39" s="5" t="inlineStr">
        <is>
          <t>公司生产石英晶体谐振器和振荡器，年报明确其超高频产品已面向光模块等场景稳定量产，80MHz、96MHz、100MHz、156.25MHz、212.5MHz及312.5MHz以上产品已批量供货，并围绕光通信和服务器开展国产替代配套，属于经过实际应用核验的频率器件，而非仅凭晶振通用性联想。2025年晶体谐振器收入9.0684亿元、占96.0900%，但该产品同时服务汽车、物联网、工业控制、网络通信等众多终端，无法拆出光模块专用收入，也不能把全部谐振器收入算作光通信。光通信是多个下游之一且占比未披露，故维持相关；旧“石英晶振”细化为时钟晶振与频率器件，CPO行业标签不等于公司具有CPO产品。</t>
        </is>
      </c>
      <c r="J39" s="4" t="inlineStr">
        <is>
          <t>泰晶科技股份有限公司2025年年度报告</t>
        </is>
      </c>
      <c r="K39" s="4" t="inlineStr">
        <is>
          <t>2026-04-23</t>
        </is>
      </c>
      <c r="L39" s="5" t="inlineStr">
        <is>
          <t>iFinD ifind_get_stock_info + ifind_get_stock_business_segmentation (as of 2026-10-27)；泰晶科技股份有限公司2025年年度报告</t>
        </is>
      </c>
      <c r="M39" s="6" t="inlineStr">
        <is>
          <t>https://static.cninfo.com.cn/finalpage/2026-04-23/1225150620.PDF</t>
        </is>
      </c>
    </row>
    <row r="40" ht="104" customHeight="1">
      <c r="B40" s="7" t="inlineStr">
        <is>
          <t>688025</t>
        </is>
      </c>
      <c r="C40" s="7" t="inlineStr">
        <is>
          <t>杰普特</t>
        </is>
      </c>
      <c r="D40" s="8" t="inlineStr">
        <is>
          <t>光通信：设备、光通信</t>
        </is>
      </c>
      <c r="E40" s="7" t="inlineStr">
        <is>
          <t>纠错</t>
        </is>
      </c>
      <c r="F40" s="7" t="inlineStr">
        <is>
          <t>光通信</t>
        </is>
      </c>
      <c r="G40" s="8" t="inlineStr">
        <is>
          <t>MPO/MTP与高密度连接、光器件-无源器件、光通信设备-测试与生产</t>
        </is>
      </c>
      <c r="H40" s="7" t="inlineStr">
        <is>
          <t>相关</t>
        </is>
      </c>
      <c r="I40" s="8" t="inlineStr">
        <is>
          <t>公司除工业激光器和光学智能装备外，已实际推出用于数据中心光连接的MPO/MMC光纤连接器、光纤阵列单元FAU及光纤组件，并具有硅光晶圆测试系统等装备，不能简单按“只有工业激光”摘除。2025年光纤器件收入1.4304亿元，占营业收入20.7402亿元的约6.90%，同比增长560.42%，说明业务已放量但当前占比仍有限；激光器收入10.1307亿元和激光光学智能装备7.2955亿元不能全部归入光通信。鉴于光通信器件已形成真实批量收入、但尚非公司主要收入支柱，将旧“核心”下调为相关。旧“设备”和泛“光通信”纠正为MPO高密度连接、无源器件及测试生产设备，FAU面向未来CPO的应用不等于公司已有完整CPO产品。</t>
        </is>
      </c>
      <c r="J40" s="7" t="inlineStr">
        <is>
          <t>深圳市杰普特光电股份有限公司2025年年度报告</t>
        </is>
      </c>
      <c r="K40" s="7" t="inlineStr">
        <is>
          <t>2026-03-28</t>
        </is>
      </c>
      <c r="L40" s="8" t="inlineStr">
        <is>
          <t>iFinD ifind_get_stock_info + ifind_get_stock_business_segmentation (as of 2026-10-27)；深圳市杰普特光电股份有限公司2025年年度报告</t>
        </is>
      </c>
      <c r="M40" s="9" t="inlineStr">
        <is>
          <t>https://static.cninfo.com.cn/finalpage/2026-03-28/1225048090.PDF</t>
        </is>
      </c>
    </row>
    <row r="41" ht="104" customHeight="1">
      <c r="B41" s="4" t="inlineStr">
        <is>
          <t>688048</t>
        </is>
      </c>
      <c r="C41" s="4" t="inlineStr">
        <is>
          <t>长光华芯</t>
        </is>
      </c>
      <c r="D41" s="5" t="inlineStr">
        <is>
          <t>光通信：光芯片、股权相关</t>
        </is>
      </c>
      <c r="E41" s="4" t="inlineStr">
        <is>
          <t>纠错</t>
        </is>
      </c>
      <c r="F41" s="4" t="inlineStr">
        <is>
          <t>光通信</t>
        </is>
      </c>
      <c r="G41" s="5" t="inlineStr">
        <is>
          <t>光芯片-激光器与探测器、CPO与硅光集成</t>
        </is>
      </c>
      <c r="H41" s="4" t="inlineStr">
        <is>
          <t>相关</t>
        </is>
      </c>
      <c r="I41" s="5" t="inlineStr">
        <is>
          <t>公司并非只有高功率工业激光芯片，年报明确已形成VCSEL、DFB、EML、PIN四类光通信芯片矩阵，光通信业务获得终端客户认可并批量出货；同时通过星钥光子布局硅光集成，但项目仍处建设期，预计2026年底通线试运行。2025年VCSEL及光通讯芯片系列收入0.4119亿元，占营业收入4.7738亿元的约8.63%，该分部还混合了激光雷达、3D传感等VCSEL用途，不能把全部收入算作光通信；高功率单管和巴条合计4.1543亿元则主要属于工业激光。基于真实通信芯片批量供货但收入较低且不可拆分，维持相关而非核心。旧“光芯片”细化为激光器与探测器，CPO仅对应明确硅光布局，不代表已形成CPO规模收入。</t>
        </is>
      </c>
      <c r="J41" s="4" t="inlineStr">
        <is>
          <t>2025年年度报告</t>
        </is>
      </c>
      <c r="K41" s="4" t="inlineStr">
        <is>
          <t>2026-04-18</t>
        </is>
      </c>
      <c r="L41" s="5" t="inlineStr">
        <is>
          <t>iFinD ifind_get_stock_info + ifind_get_stock_business_segmentation (as of 2026-10-27)；2025年年度报告</t>
        </is>
      </c>
      <c r="M41" s="6" t="inlineStr">
        <is>
          <t>https://static.cninfo.com.cn/finalpage/2026-04-18/1225123248.PDF</t>
        </is>
      </c>
    </row>
    <row r="42" ht="104" customHeight="1">
      <c r="B42" s="7" t="inlineStr">
        <is>
          <t>688090</t>
        </is>
      </c>
      <c r="C42" s="7" t="inlineStr">
        <is>
          <t>瑞松科技</t>
        </is>
      </c>
      <c r="D42" s="8" t="inlineStr">
        <is>
          <t>光通信：设备</t>
        </is>
      </c>
      <c r="E42" s="7" t="inlineStr">
        <is>
          <t>纠错</t>
        </is>
      </c>
      <c r="F42" s="7" t="inlineStr">
        <is>
          <t>光通信</t>
        </is>
      </c>
      <c r="G42" s="8" t="inlineStr">
        <is>
          <t>光通信设备-测试与生产</t>
        </is>
      </c>
      <c r="H42" s="7" t="inlineStr">
        <is>
          <t>相关</t>
        </is>
      </c>
      <c r="I42" s="8" t="inlineStr">
        <is>
          <t>公司主体确实是机器人与智能制造，但并非毫无光通信落地：2025年报明确已取得全球连接器龙头企业供应资质，为客户开发的MPO光纤跳线自动化生产设备已通过技术验证，可满足12芯及16芯跳线共线生产，光纤准直器Pigtail、FA-MT设备仍在开发。2025年机器人自动化生产线收入7.7730亿元、机器人工作站0.8433亿元、配件及其他0.8195亿元，通用设备制造占99.8611%，年报未单列光通信设备收入，不能把上述混合收入归入光通信。由于已有真实专用设备和客户验证、但仍处早期且非主营收入支柱，定为相关而不是摘除或核心。旧笼统“设备”纠正为光通信测试与生产设备，同时明确其机器人民品主业边界。</t>
        </is>
      </c>
      <c r="J42" s="7" t="inlineStr">
        <is>
          <t>2025年年度报告</t>
        </is>
      </c>
      <c r="K42" s="7" t="inlineStr">
        <is>
          <t>2026-04-28</t>
        </is>
      </c>
      <c r="L42" s="8" t="inlineStr">
        <is>
          <t>iFinD ifind_get_stock_info + ifind_get_stock_business_segmentation (as of 2026-10-27)；2025年年度报告</t>
        </is>
      </c>
      <c r="M42" s="9" t="inlineStr">
        <is>
          <t>https://static.cninfo.com.cn/finalpage/2026-04-28/1225221109.PDF</t>
        </is>
      </c>
    </row>
    <row r="43" ht="104" customHeight="1">
      <c r="B43" s="4" t="inlineStr">
        <is>
          <t>688143</t>
        </is>
      </c>
      <c r="C43" s="4" t="inlineStr">
        <is>
          <t>长盈通</t>
        </is>
      </c>
      <c r="D43" s="5" t="inlineStr">
        <is>
          <t>光通信：光纤光缆</t>
        </is>
      </c>
      <c r="E43" s="4" t="inlineStr">
        <is>
          <t>纠错</t>
        </is>
      </c>
      <c r="F43" s="4" t="inlineStr">
        <is>
          <t>光通信</t>
        </is>
      </c>
      <c r="G43" s="5" t="inlineStr">
        <is>
          <t>特种光纤与光纤环</t>
        </is>
      </c>
      <c r="H43" s="4" t="inlineStr">
        <is>
          <t>相关</t>
        </is>
      </c>
      <c r="I43" s="5" t="inlineStr">
        <is>
          <t>公司主营首先是光纤陀螺核心器件光纤环，面向惯性导航和国防应用，不能因产品含“光纤”就把全部收入视为光通信。其真实通信相关产品包括通信延时环、OM2至OM4系列弯曲不敏感多模光纤及抗弯型器件保偏光纤，年报明确用于光信号延时、局域网、数据中心、板卡或芯片连接，因此具备保留依据。2025年光纤环器件收入2.0096亿元、特种光纤0.7874亿元，分别占营业收入约50.49%和19.78%，但两类收入均混合陀螺、水听、激光、传感与通信用途，通信延时环和通信用多模光纤没有单独收入。故将旧“核心”下调为相关，旧“光纤光缆”纠正为特种光纤与光纤环，避免把军工惯导主业错算为光通信。</t>
        </is>
      </c>
      <c r="J43" s="4" t="inlineStr">
        <is>
          <t>2025年年度报告</t>
        </is>
      </c>
      <c r="K43" s="4" t="inlineStr">
        <is>
          <t>2026-04-29</t>
        </is>
      </c>
      <c r="L43" s="5" t="inlineStr">
        <is>
          <t>iFinD ifind_get_stock_info + ifind_get_stock_business_segmentation (as of 2026-10-27)；2025年年度报告</t>
        </is>
      </c>
      <c r="M43" s="6" t="inlineStr">
        <is>
          <t>https://static.cninfo.com.cn/finalpage/2026-04-29/1225230072.PDF</t>
        </is>
      </c>
    </row>
    <row r="44" ht="104" customHeight="1">
      <c r="B44" s="7" t="inlineStr">
        <is>
          <t>688205</t>
        </is>
      </c>
      <c r="C44" s="7" t="inlineStr">
        <is>
          <t>德科立</t>
        </is>
      </c>
      <c r="D44" s="8" t="inlineStr">
        <is>
          <t>光通信：光模块/CPO</t>
        </is>
      </c>
      <c r="E44" s="7" t="inlineStr">
        <is>
          <t>纠错</t>
        </is>
      </c>
      <c r="F44" s="7" t="inlineStr">
        <is>
          <t>光通信</t>
        </is>
      </c>
      <c r="G44" s="8" t="inlineStr">
        <is>
          <t>光模块-电信与传输、光模块-数通与AI算力、光器件-有源器件、光传输与接入设备</t>
        </is>
      </c>
      <c r="H44" s="7" t="inlineStr">
        <is>
          <t>核心</t>
        </is>
      </c>
      <c r="I44" s="8" t="inlineStr">
        <is>
          <t>公司主营光收发模块、光放大器和光传输子系统，产品按应用分为传输类、接入和数据类，直接服务电信光传输、宽带接入及数据中心互联，属于有源光器件和光模块厂商。2025年主营业务收入9.1977亿元，占营业收入9.3379亿元的98.4981%；其中传输类6.3804亿元、接入和数据类2.8172亿元，两项均直接对应光通信，其他业务0.1402亿元不计入核心产品。收入结构和主营产品均充分支持核心结论。旧“光模块/CPO”捆绑过粗，现拆为电信传输、数通光模块、有源器件和传输接入设备；本次没有以DCI、光放大器或高速模块业务自动推导完整CPO产品，因此不额外添加CPO标签。</t>
        </is>
      </c>
      <c r="J44" s="7" t="inlineStr">
        <is>
          <t>德科立：2025年年度报告</t>
        </is>
      </c>
      <c r="K44" s="7" t="inlineStr">
        <is>
          <t>2026-03-31</t>
        </is>
      </c>
      <c r="L44" s="8" t="inlineStr">
        <is>
          <t>iFinD ifind_get_stock_info + ifind_get_stock_business_segmentation (as of 2026-10-27)；德科立：2025年年度报告</t>
        </is>
      </c>
      <c r="M44" s="9" t="inlineStr">
        <is>
          <t>https://money.finance.sina.com.cn/corp/view/vCB_AllBulletinDetail.php?stockid=688205&amp;id=12048381</t>
        </is>
      </c>
    </row>
    <row r="45" ht="104" customHeight="1">
      <c r="B45" s="4" t="inlineStr">
        <is>
          <t>688313</t>
        </is>
      </c>
      <c r="C45" s="4" t="inlineStr">
        <is>
          <t>仕佳光子</t>
        </is>
      </c>
      <c r="D45" s="5" t="inlineStr">
        <is>
          <t>光通信：光芯片</t>
        </is>
      </c>
      <c r="E45" s="4" t="inlineStr">
        <is>
          <t>纠错</t>
        </is>
      </c>
      <c r="F45" s="4" t="inlineStr">
        <is>
          <t>光通信</t>
        </is>
      </c>
      <c r="G45" s="5" t="inlineStr">
        <is>
          <t>光芯片-PLC与AWG、光芯片-激光器与探测器、光连接器与陶瓷插芯、光缆与线缆</t>
        </is>
      </c>
      <c r="H45" s="4" t="inlineStr">
        <is>
          <t>核心</t>
        </is>
      </c>
      <c r="I45" s="5" t="inlineStr">
        <is>
          <t>公司主营由光芯片及器件、光纤连接器跳线、室内光缆和线缆材料构成，真实产品包括PLC分路器、AWG芯片系列、DFB激光器芯片及光纤连接产品，覆盖无源和有源光通信环节。2025年光通信行业收入20.9815亿元、占98.5451%；其中光纤连接器跳线8.5514亿元、AWG芯片系列5.4526亿元、室内光缆2.5574亿元、DFB激光器芯片0.8418亿元，已经形成多产品规模化收入。线缆材料2.5139亿元不能直接全部视作光器件收入，但行业分部已足以说明光通信为绝对主营，核心结论不变。旧“光芯片”和“插芯”拆分不全，现分别落实到PLC/AWG、激光器芯片、光连接和室内光缆，不因CPO板块概念再作无证据加标。</t>
        </is>
      </c>
      <c r="J45" s="4" t="inlineStr">
        <is>
          <t>2025年年度报告</t>
        </is>
      </c>
      <c r="K45" s="4" t="inlineStr">
        <is>
          <t>2026-04-18</t>
        </is>
      </c>
      <c r="L45" s="5" t="inlineStr">
        <is>
          <t>iFinD ifind_get_stock_info + ifind_get_stock_business_segmentation (as of 2026-10-27)；2025年年度报告</t>
        </is>
      </c>
      <c r="M45" s="6" t="inlineStr">
        <is>
          <t>https://static.cninfo.com.cn/finalpage/2026-04-18/1225122538.PDF</t>
        </is>
      </c>
    </row>
    <row r="46" ht="104" customHeight="1">
      <c r="B46" s="7" t="inlineStr">
        <is>
          <t>688498</t>
        </is>
      </c>
      <c r="C46" s="7" t="inlineStr">
        <is>
          <t>源杰科技</t>
        </is>
      </c>
      <c r="D46" s="8" t="inlineStr">
        <is>
          <t>光通信：光芯片</t>
        </is>
      </c>
      <c r="E46" s="7" t="inlineStr">
        <is>
          <t>纠错</t>
        </is>
      </c>
      <c r="F46" s="7" t="inlineStr">
        <is>
          <t>光通信</t>
        </is>
      </c>
      <c r="G46" s="8" t="inlineStr">
        <is>
          <t>光芯片-激光器与探测器</t>
        </is>
      </c>
      <c r="H46" s="7" t="inlineStr">
        <is>
          <t>核心</t>
        </is>
      </c>
      <c r="I46" s="8" t="inlineStr">
        <is>
          <t>公司专门从事光芯片研发、设计、生产与销售，产品为光通信所需的激光器和探测器芯片，数据中心类和电信市场类收入均来自实际光通信芯片销售，不是泛半导体或汽车芯片概念外推。2025年光芯片行业收入6.0081亿元、占99.8957%；其中数据中心类产品3.9326亿元、电信市场类2.0647亿元，其他类产品和其他业务合计占比很小。数据中心类已成为主要收入来源，电信类亦形成规模，故核心结论明确。旧“光芯片”虽然方向正确但过于粗略，现纠正为激光器与探测器这一具体二级概念；未因公司处于CPO概念板块就把全部光芯片业务标为CPO或硅光集成，收入也没有被重复归到多个细分产品。</t>
        </is>
      </c>
      <c r="J46" s="7" t="inlineStr">
        <is>
          <t>陕西源杰半导体科技股份有限公司2025年年度报告</t>
        </is>
      </c>
      <c r="K46" s="7" t="inlineStr">
        <is>
          <t>2026-03-25</t>
        </is>
      </c>
      <c r="L46" s="8" t="inlineStr">
        <is>
          <t>iFinD ifind_get_stock_info + ifind_get_stock_business_segmentation (as of 2026-10-27)；陕西源杰半导体科技股份有限公司2025年年度报告</t>
        </is>
      </c>
      <c r="M46" s="9" t="inlineStr">
        <is>
          <t>https://static.cninfo.com.cn/finalpage/2026-03-25/1225028582.PDF</t>
        </is>
      </c>
    </row>
    <row r="47" ht="104" customHeight="1">
      <c r="B47" s="4" t="inlineStr">
        <is>
          <t>688629</t>
        </is>
      </c>
      <c r="C47" s="4" t="inlineStr">
        <is>
          <t>华丰科技</t>
        </is>
      </c>
      <c r="D47" s="5" t="inlineStr">
        <is>
          <t>光通信：MPO/连接器、连接器</t>
        </is>
      </c>
      <c r="E47" s="4" t="inlineStr">
        <is>
          <t>纠错</t>
        </is>
      </c>
      <c r="F47" s="4" t="inlineStr">
        <is>
          <t>光通信</t>
        </is>
      </c>
      <c r="G47" s="5" t="inlineStr">
        <is>
          <t>光连接器与陶瓷插芯、MPO/MTP与高密度连接</t>
        </is>
      </c>
      <c r="H47" s="4" t="inlineStr">
        <is>
          <t>相关</t>
        </is>
      </c>
      <c r="I47" s="5" t="inlineStr">
        <is>
          <t>公司实际拥有特种光连接器系列研发项目，可与MT、MPO、LC等搭配组装，明确用于高速光模块核心器件和光互联系统传输，同时开展高密度多通道光电传输模块研究，具备真实光通信产品布局。其主体仍是防务、工业和高速电连接器，不能把经营范围中的光通信设备制造或全部“高速连接器”都当成光通信。2025年连接器行业收入24.9852亿元、占98.8444%，组件、连接器和系统互连产品收入未按光电用途及下游行业拆分，因此无法给出光通信收入或占比，也不能把24.9852亿元全算进去。鉴于光连接产品仍有研发属性、收入未形成可核验重要占比，将旧“核心”下调为相关；旧泛化“MPO/连接器”纠正为光连接和MPO高密度连接。</t>
        </is>
      </c>
      <c r="J47" s="4" t="inlineStr">
        <is>
          <t>2025年年度报告</t>
        </is>
      </c>
      <c r="K47" s="4" t="inlineStr">
        <is>
          <t>2026-04-15</t>
        </is>
      </c>
      <c r="L47" s="5" t="inlineStr">
        <is>
          <t>iFinD ifind_get_stock_info + ifind_get_stock_business_segmentation (as of 2026-10-27)；2025年年度报告</t>
        </is>
      </c>
      <c r="M47" s="6" t="inlineStr">
        <is>
          <t>https://static.cninfo.com.cn/finalpage/2026-04-15/1225103081.PDF</t>
        </is>
      </c>
    </row>
    <row r="48" ht="104" customHeight="1">
      <c r="B48" s="7" t="inlineStr">
        <is>
          <t>688635</t>
        </is>
      </c>
      <c r="C48" s="7" t="inlineStr">
        <is>
          <t>长进光子</t>
        </is>
      </c>
      <c r="D48" s="8" t="inlineStr">
        <is>
          <t>光通信：光纤光缆</t>
        </is>
      </c>
      <c r="E48" s="7" t="inlineStr">
        <is>
          <t>纠错</t>
        </is>
      </c>
      <c r="F48" s="7" t="inlineStr">
        <is>
          <t>光通信</t>
        </is>
      </c>
      <c r="G48" s="8" t="inlineStr">
        <is>
          <t>特种光纤与光纤环</t>
        </is>
      </c>
      <c r="H48" s="7" t="inlineStr">
        <is>
          <t>相关</t>
        </is>
      </c>
      <c r="I48" s="8" t="inlineStr">
        <is>
          <t>公司真实主营为掺稀土和传能等特种光纤，光通信落点是超宽带L波段掺铒光纤，招股书明确已批量销售并用于400G光传输网，抗辐照掺稀土光纤在空间激光通信仅小批量供货，不能把这些阶段混为一谈。2025年掺稀土光纤收入2.1816亿元、占主营收入88.80%，其中掺镱光纤1.1051亿元、占44.98%且主要面向先进制造光纤激光器；先进制造与光通信合计收入超过80%的披露无法拆出纯光通信金额。传能光纤和其他特种光纤也不能全部归入通信。由于通信产品真实且已批量，但公司最大产品和主要下游仍含大量工业激光，收入边界不足，将旧“核心”下调为相关，旧“光纤光缆”纠正为特种光纤与光纤环。</t>
        </is>
      </c>
      <c r="J48" s="7" t="inlineStr">
        <is>
          <t>长进光子：首次公开发行股票并在科创板上市招股说明书</t>
        </is>
      </c>
      <c r="K48" s="7" t="inlineStr">
        <is>
          <t>2026-05-22</t>
        </is>
      </c>
      <c r="L48" s="8" t="inlineStr">
        <is>
          <t>iFinD ifind_get_stock_info + ifind_get_stock_business_segmentation (as of 2026-10-27)；长进光子：首次公开发行股票并在科创板上市招股说明书</t>
        </is>
      </c>
      <c r="M48" s="9" t="inlineStr">
        <is>
          <t>http://vip.stock.finance.sina.com.cn/corp/view/vCB_AllBulletinDetail.php?stockid=688635&amp;id=12344642</t>
        </is>
      </c>
    </row>
    <row r="49" ht="104" customHeight="1">
      <c r="B49" s="4" t="inlineStr">
        <is>
          <t>920045</t>
        </is>
      </c>
      <c r="C49" s="4" t="inlineStr">
        <is>
          <t>蘅东光</t>
        </is>
      </c>
      <c r="D49" s="5" t="inlineStr">
        <is>
          <t>光通信：光器件</t>
        </is>
      </c>
      <c r="E49" s="4" t="inlineStr">
        <is>
          <t>纠错</t>
        </is>
      </c>
      <c r="F49" s="4" t="inlineStr">
        <is>
          <t>光通信</t>
        </is>
      </c>
      <c r="G49" s="5" t="inlineStr">
        <is>
          <t>光器件-无源器件、MPO/MTP与高密度连接、光连接器与陶瓷插芯、CPO与硅光集成</t>
        </is>
      </c>
      <c r="H49" s="4" t="inlineStr">
        <is>
          <t>核心</t>
        </is>
      </c>
      <c r="I49" s="5" t="inlineStr">
        <is>
          <t>公司主营就是光通信无源光器件，真实产品包括光纤连接器、Shuffle光纤柔性线路、配线管理、多光纤并行及波分复用无源内连器件；MT-FA产品可与硅光芯片耦合，PM MT-FA可与交换机芯片共封装，具有明确CPO无源内连产品，不是仅凭硅光趋势加标。iFinD所列2025年无源光器件收入19.6325亿元，配套产品2.5252亿元，按合计22.1577亿元计算无源器件占约88.60%，主营高度集中。配套及其他产品含光缆和连接器注塑零部件，不能全部并入核心无源器件收入，但不影响核心认定。旧“光器件”过于笼统，现细化为无源器件、MPO高密度连接、光连接和真实硅光/CPO内连布局。</t>
        </is>
      </c>
      <c r="J49" s="4" t="inlineStr">
        <is>
          <t>蘅东光：招股说明书</t>
        </is>
      </c>
      <c r="K49" s="4" t="inlineStr">
        <is>
          <t>2025-12-19</t>
        </is>
      </c>
      <c r="L49" s="5" t="inlineStr">
        <is>
          <t>iFinD ifind_get_stock_info + ifind_get_stock_business_segmentation (as of 2026-10-27)；蘅东光：招股说明书</t>
        </is>
      </c>
      <c r="M49" s="6" t="inlineStr">
        <is>
          <t>https://money.finance.sina.com.cn/corp/view/vCB_AllBulletinDetail.php?stockid=920045&amp;id=11861167</t>
        </is>
      </c>
    </row>
  </sheetData>
  <autoFilter ref="B4:M49"/>
  <mergeCells count="2">
    <mergeCell ref="B3:M3"/>
    <mergeCell ref="B2:M2"/>
  </mergeCell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B2:M4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光通信 · 清洗后42只股池</t>
        </is>
      </c>
    </row>
    <row r="3">
      <c r="B3" s="2" t="inlineStr">
        <is>
          <t>核心30只、相关12只；按卫星、火箭、地面系统、运营服务和产业配套细化为19个二级概念。</t>
        </is>
      </c>
    </row>
    <row r="4">
      <c r="B4" s="3" t="inlineStr">
        <is>
          <t>代码</t>
        </is>
      </c>
      <c r="C4" s="3" t="inlineStr">
        <is>
          <t>名称</t>
        </is>
      </c>
      <c r="D4" s="3" t="inlineStr">
        <is>
          <t>旧光通信概念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000070</t>
        </is>
      </c>
      <c r="C5" s="4" t="inlineStr">
        <is>
          <t>特发信息</t>
        </is>
      </c>
      <c r="D5" s="5" t="inlineStr">
        <is>
          <t>光通信：光纤光缆</t>
        </is>
      </c>
      <c r="E5" s="4" t="inlineStr">
        <is>
          <t>纠错</t>
        </is>
      </c>
      <c r="F5" s="4" t="inlineStr">
        <is>
          <t>光通信、光通信</t>
        </is>
      </c>
      <c r="G5" s="5" t="inlineStr">
        <is>
          <t>光缆与线缆；光纤预制棒与光纤</t>
        </is>
      </c>
      <c r="H5" s="4" t="inlineStr">
        <is>
          <t>核心</t>
        </is>
      </c>
      <c r="I5" s="5" t="inlineStr">
        <is>
          <t>公司真实产品包括光纤、光缆、光连接器及配线产品，线缆板块同时覆盖通信与电力传输，属于光通信物理链路的重要制造环节，而不是仅凭名称关联的概念标的。2025年线缆板块收入35.2179亿元，公司总收入约44.1655亿元，占比约79.74%，业务规模和对收入的重要性均足以支持核心定级；但该板块还含电力传输等产品，不能把35.2179亿元全部认定为光通信收入，也不能进一步虚构光纤、光缆各自收入。此次纠错应将旧“相关、光纤光缆”粗标签提升为核心，并拆分为光缆与线缆、光纤预制棒与光纤两个白名单概念，同时保留板块收入不可全归属光通信的边界。</t>
        </is>
      </c>
      <c r="J5" s="4" t="inlineStr">
        <is>
          <t>特发信息：2025年年度报告</t>
        </is>
      </c>
      <c r="K5" s="4" t="inlineStr">
        <is>
          <t>2026-04-22</t>
        </is>
      </c>
      <c r="L5" s="5" t="inlineStr">
        <is>
          <t>iFinD ifind_get_stock_info + ifind_get_stock_business_segmentation (as of 2026-10-27)；特发信息：2025年年度报告</t>
        </is>
      </c>
      <c r="M5" s="6" t="inlineStr">
        <is>
          <t>http://money.finance.sina.com.cn/corp/view/vCB_AllBulletinDetail.php?stockid=000070&amp;id=12133674</t>
        </is>
      </c>
    </row>
    <row r="6" ht="104" customHeight="1">
      <c r="B6" s="7" t="inlineStr">
        <is>
          <t>000586</t>
        </is>
      </c>
      <c r="C6" s="7" t="inlineStr">
        <is>
          <t>汇源通信</t>
        </is>
      </c>
      <c r="D6" s="8" t="inlineStr">
        <is>
          <t>光通信：光纤光缆</t>
        </is>
      </c>
      <c r="E6" s="7" t="inlineStr">
        <is>
          <t>纠错</t>
        </is>
      </c>
      <c r="F6" s="7" t="inlineStr">
        <is>
          <t>光通信、光通信</t>
        </is>
      </c>
      <c r="G6" s="8" t="inlineStr">
        <is>
          <t>光缆与线缆；光纤预制棒与光纤</t>
        </is>
      </c>
      <c r="H6" s="7" t="inlineStr">
        <is>
          <t>核心</t>
        </is>
      </c>
      <c r="I6" s="8" t="inlineStr">
        <is>
          <t>公司实际经营电力光缆、塑料光纤以及光纤光缆相关产品，这些产品直接构成通信和电力专网的光传输介质，传统光通信业务具有真实且重要的收入基础。2025年光纤光缆及相关产品收入2.2488亿元，总收入约5.1255亿元，占比43.88%；在线监测收入2.2980亿元则属于另一业务，不能混入光通信。2026年异动公告又明确公司没有石英光纤制造产能，也不涉及算力数据中心光纤光缆，因此不得借核心定级追加石英光纤、CPO或数通光模块标签。此次纠错是把旧“相关”提升为核心，保留光缆与线缆、光纤预制棒与光纤的既有产业事实，同时以公告限定产品能力边界。</t>
        </is>
      </c>
      <c r="J6" s="7" t="inlineStr">
        <is>
          <t>汇源通信：2025年年度报告</t>
        </is>
      </c>
      <c r="K6" s="7" t="inlineStr">
        <is>
          <t>2026-04-22</t>
        </is>
      </c>
      <c r="L6" s="8" t="inlineStr">
        <is>
          <t>iFinD ifind_get_stock_info + ifind_get_stock_business_segmentation (as of 2026-10-27)；汇源通信：2025年年度报告</t>
        </is>
      </c>
      <c r="M6" s="9" t="inlineStr">
        <is>
          <t>https://money.finance.sina.com.cn/corp/view/vCB_AllBulletinDetail.php?stockid=000586&amp;id=12132149</t>
        </is>
      </c>
    </row>
    <row r="7" ht="104" customHeight="1">
      <c r="B7" s="4" t="inlineStr">
        <is>
          <t>000988</t>
        </is>
      </c>
      <c r="C7" s="4" t="inlineStr">
        <is>
          <t>华工科技</t>
        </is>
      </c>
      <c r="D7" s="5" t="inlineStr">
        <is>
          <t>光通信：光模块/CPO、光通信</t>
        </is>
      </c>
      <c r="E7" s="4" t="inlineStr">
        <is>
          <t>纠错</t>
        </is>
      </c>
      <c r="F7" s="4" t="inlineStr">
        <is>
          <t>光通信、光通信、光通信</t>
        </is>
      </c>
      <c r="G7" s="5" t="inlineStr">
        <is>
          <t>光模块-数通与AI算力；光模块-电信与传输；CPO与硅光集成</t>
        </is>
      </c>
      <c r="H7" s="4" t="inlineStr">
        <is>
          <t>核心</t>
        </is>
      </c>
      <c r="I7" s="5" t="inlineStr">
        <is>
          <t>公司光电器件系列覆盖电信传输和数据中心用光模块，年报披露800G硅光LPO、1.6T模块规模交付以及3.2T CPO光引擎，说明数通、电信和硅光集成均有明确产品依据，并非泛化的激光或传感器概念。2025年光电器件系列收入60.9682亿元，公司总收入143.55亿元，占比42.47%，已构成重要收入支柱，定为核心有充分规模依据。不过光电器件是合并披露口径，不能把激光装备、敏感元器件等其他收入算入，也不能从该收入中虚构CPO或1.6T的单独金额。此次纠错应以核心替代过宽的旧粗标签，并分别落到数通与AI算力、电信与传输、CPO与硅光集成三个真实方向。</t>
        </is>
      </c>
      <c r="J7" s="4" t="inlineStr">
        <is>
          <t>华工科技：2025年年度报告</t>
        </is>
      </c>
      <c r="K7" s="4" t="inlineStr">
        <is>
          <t>2026-03-26</t>
        </is>
      </c>
      <c r="L7" s="5" t="inlineStr">
        <is>
          <t>iFinD ifind_get_stock_info + ifind_get_stock_business_segmentation (as of 2026-10-27)；华工科技：2025年年度报告</t>
        </is>
      </c>
      <c r="M7" s="6" t="inlineStr">
        <is>
          <t>https://vip.stock.finance.sina.com.cn/corp/view/vCB_AllBulletinDetail.php?stockid=000988&amp;id=12018524</t>
        </is>
      </c>
    </row>
    <row r="8" ht="104" customHeight="1">
      <c r="B8" s="7" t="inlineStr">
        <is>
          <t>002179</t>
        </is>
      </c>
      <c r="C8" s="7" t="inlineStr">
        <is>
          <t>中航光电</t>
        </is>
      </c>
      <c r="D8" s="8" t="inlineStr">
        <is>
          <t>光通信：MPO/连接器、连接器、军工电子</t>
        </is>
      </c>
      <c r="E8" s="7" t="inlineStr">
        <is>
          <t>纠错</t>
        </is>
      </c>
      <c r="F8" s="7" t="inlineStr">
        <is>
          <t>光通信</t>
        </is>
      </c>
      <c r="G8" s="8" t="inlineStr">
        <is>
          <t>光连接器与陶瓷插芯</t>
        </is>
      </c>
      <c r="H8" s="7" t="inlineStr">
        <is>
          <t>核心</t>
        </is>
      </c>
      <c r="I8" s="8" t="inlineStr">
        <is>
          <t>公司具有光连接器、光传输器件与组件等真实产品，应用于防务、无线基站和数据中心，2025年数据中心光纤产品取得突破，光连接属于其规模化互连产品体系，而非偶发研发概念。2025年光连接器及其他光器件以及光电设备混合分部收入36.5877亿元，总收入213.86亿元，占比17.11%；该口径还包含其他光器件和光电设备，只能视为相关业务规模上限，不能全部计作光通信，也不能据此推算MPO收入。此次定为核心依据的是光连接产品的持续经营和实际应用，不是把整个公司等同光通信企业。纠错时仅保留光连接器与陶瓷插芯这一白名单概念，不沿用旧MPO粗标签，也不把防务或全部连接器收入迁移到光通信。</t>
        </is>
      </c>
      <c r="J8" s="7" t="inlineStr">
        <is>
          <t>中航光电科技股份有限公司2025年年度报告全文</t>
        </is>
      </c>
      <c r="K8" s="7" t="inlineStr">
        <is>
          <t>2026-03-28</t>
        </is>
      </c>
      <c r="L8" s="8" t="inlineStr">
        <is>
          <t>iFinD ifind_get_stock_info + ifind_get_stock_business_segmentation (as of 2026-10-27)；中航光电科技股份有限公司2025年年度报告全文</t>
        </is>
      </c>
      <c r="M8" s="9" t="inlineStr">
        <is>
          <t>https://static.cninfo.com.cn/finalpage/2026-03-28/1225044952.PDF</t>
        </is>
      </c>
    </row>
    <row r="9" ht="104" customHeight="1">
      <c r="B9" s="4" t="inlineStr">
        <is>
          <t>002281</t>
        </is>
      </c>
      <c r="C9" s="4" t="inlineStr">
        <is>
          <t>光迅科技</t>
        </is>
      </c>
      <c r="D9" s="5" t="inlineStr">
        <is>
          <t>光通信：光模块/CPO、光通信</t>
        </is>
      </c>
      <c r="E9" s="4" t="inlineStr">
        <is>
          <t>纠错</t>
        </is>
      </c>
      <c r="F9" s="4" t="inlineStr">
        <is>
          <t>光通信、光通信、光通信、光通信</t>
        </is>
      </c>
      <c r="G9" s="5" t="inlineStr">
        <is>
          <t>光模块-数通与AI算力；光模块-电信与传输；光器件-无源器件；CPO与硅光集成</t>
        </is>
      </c>
      <c r="H9" s="4" t="inlineStr">
        <is>
          <t>核心</t>
        </is>
      </c>
      <c r="I9" s="5" t="inlineStr">
        <is>
          <t>公司产品覆盖全系列光模块、无源光器件和光波导集成产品，接入与数据业务对应数通及接入场景，传输业务对应电信传输，年报另有CPO和硅光布局，因此四个标签均建立在明确产品体系上。2025年接入和数据收入84.6289亿元、传输收入34.1165亿元，合计118.7454亿元，总收入约119.29亿元，占比约99.54%，光通信是绝对主业，核心定级明确。不可拆分的边界在于接入和数据分部并非全部等于AI数通模块，传输分部也不能再细拆到单一器件，CPO与硅光更没有被单列收入。此次纠错应淘汰笼统的旧光通信标签，按数通、电信、无源和CPO硅光细分，但不把研发或布局描述伪装成独立营收。</t>
        </is>
      </c>
      <c r="J9" s="4" t="inlineStr">
        <is>
          <t>光迅科技：2025年年度报告</t>
        </is>
      </c>
      <c r="K9" s="4" t="inlineStr">
        <is>
          <t>2026-04-23</t>
        </is>
      </c>
      <c r="L9" s="5" t="inlineStr">
        <is>
          <t>iFinD ifind_get_stock_info + ifind_get_stock_business_segmentation (as of 2026-10-27)；光迅科技：2025年年度报告</t>
        </is>
      </c>
      <c r="M9" s="6" t="inlineStr">
        <is>
          <t>https://vip.stock.finance.sina.com.cn/corp/view/vCB_AllBulletinDetail.php?stockid=002281&amp;id=12145451</t>
        </is>
      </c>
    </row>
    <row r="10" ht="104" customHeight="1">
      <c r="B10" s="7" t="inlineStr">
        <is>
          <t>002384</t>
        </is>
      </c>
      <c r="C10" s="7" t="inlineStr">
        <is>
          <t>东山精密</t>
        </is>
      </c>
      <c r="D10" s="8" t="inlineStr">
        <is>
          <t>光通信：光芯片</t>
        </is>
      </c>
      <c r="E10" s="7" t="inlineStr">
        <is>
          <t>纠错</t>
        </is>
      </c>
      <c r="F10" s="7" t="inlineStr">
        <is>
          <t>光通信、光通信、光通信</t>
        </is>
      </c>
      <c r="G10" s="8" t="inlineStr">
        <is>
          <t>光模块-数通与AI算力；光模块-电信与传输；光芯片-激光器与探测器</t>
        </is>
      </c>
      <c r="H10" s="7" t="inlineStr">
        <is>
          <t>核心</t>
        </is>
      </c>
      <c r="I10" s="8" t="inlineStr">
        <is>
          <t>公司2025年收购索尔思后形成真实光模块及光芯片业务，产品覆盖数通和电信光模块，并包含激光器、探测器等光芯片能力，不能再仅按PCB企业理解而摘除光通信暴露。2025年光模块含光芯片收入14.3553亿元，总收入401.25亿元，占比3.58%，而且仅第四季度并表；收入占比虽低，但已是规模化经营产品，核心表示业务真实性而非其在集团中的收入支配程度。需要严守的边界是通信设备组件及其他收入59.3024亿元不能整体算成光通信，PCB、触控显示和新能源等业务更不能并入。此次纠错应保留核心并按数通、电信、激光器与探测器细分，同时在解释中披露低占比和部分年度并表，避免夸大集团光通信纯度。</t>
        </is>
      </c>
      <c r="J10" s="7" t="inlineStr">
        <is>
          <t>东山精密：2025年年度报告</t>
        </is>
      </c>
      <c r="K10" s="7" t="inlineStr">
        <is>
          <t>2026-04-22</t>
        </is>
      </c>
      <c r="L10" s="8" t="inlineStr">
        <is>
          <t>iFinD ifind_get_stock_info + ifind_get_stock_business_segmentation (as of 2026-10-27)；东山精密：2025年年度报告</t>
        </is>
      </c>
      <c r="M10" s="9" t="inlineStr">
        <is>
          <t>http://money.finance.sina.com.cn/corp/view/vCB_AllBulletinDetail.php?stockid=002384&amp;id=12133235</t>
        </is>
      </c>
    </row>
    <row r="11" ht="104" customHeight="1">
      <c r="B11" s="4" t="inlineStr">
        <is>
          <t>002428</t>
        </is>
      </c>
      <c r="C11" s="4" t="inlineStr">
        <is>
          <t>云南锗业</t>
        </is>
      </c>
      <c r="D11" s="5" t="inlineStr">
        <is>
          <t>光通信：光材料、锗、锗电池</t>
        </is>
      </c>
      <c r="E11" s="4" t="inlineStr">
        <is>
          <t>纠错</t>
        </is>
      </c>
      <c r="F11" s="4" t="inlineStr">
        <is>
          <t>光通信</t>
        </is>
      </c>
      <c r="G11" s="5" t="inlineStr">
        <is>
          <t>光通信材料-光学与晶体</t>
        </is>
      </c>
      <c r="H11" s="4" t="inlineStr">
        <is>
          <t>核心</t>
        </is>
      </c>
      <c r="I11" s="5" t="inlineStr">
        <is>
          <t>公司光纤用四氯化锗是光纤预制棒制造的关键掺杂原料，具有直接、可验证的光通信材料用途，与仅有间接半导体想象的锗概念不同。2025年光纤用四氯化锗收入1.9986亿元，总收入10.6588亿元，占比18.75%，并披露60吨每年产能，真实收入和产能足以支持核心定级。边界必须限定在该具体材料：锗锭、太阳能锗片、红外级锗产品以及砷化镓、磷化铟业务不能因为同属锗或化合物半导体就并入光通信，相关收入也不可推算为光纤材料收入。此次纠错保留旧“相关程度核心”所反映的重要业务地位，但把概念统一为光通信材料中的光学与晶体，并删除旧“锗、锗电池”等跨概念污染，避免把其他终端用途混入。</t>
        </is>
      </c>
      <c r="J11" s="4" t="inlineStr">
        <is>
          <t>云南锗业：2025年年度报告</t>
        </is>
      </c>
      <c r="K11" s="4" t="inlineStr">
        <is>
          <t>2026-04-23</t>
        </is>
      </c>
      <c r="L11" s="5" t="inlineStr">
        <is>
          <t>iFinD ifind_get_stock_info + ifind_get_stock_business_segmentation (as of 2026-10-27)；云南锗业：2025年年度报告</t>
        </is>
      </c>
      <c r="M11" s="6" t="inlineStr">
        <is>
          <t>https://money.finance.sina.com.cn/corp/view/vCB_AllBulletinDetail.php?stockid=002428&amp;id=12150108</t>
        </is>
      </c>
    </row>
    <row r="12" ht="104" customHeight="1">
      <c r="B12" s="7" t="inlineStr">
        <is>
          <t>002491</t>
        </is>
      </c>
      <c r="C12" s="7" t="inlineStr">
        <is>
          <t>通鼎互联</t>
        </is>
      </c>
      <c r="D12" s="8" t="inlineStr">
        <is>
          <t>光通信：光纤光缆</t>
        </is>
      </c>
      <c r="E12" s="7" t="inlineStr">
        <is>
          <t>纠错</t>
        </is>
      </c>
      <c r="F12" s="7" t="inlineStr">
        <is>
          <t>光通信、光通信</t>
        </is>
      </c>
      <c r="G12" s="8" t="inlineStr">
        <is>
          <t>光纤预制棒与光纤；光缆与线缆</t>
        </is>
      </c>
      <c r="H12" s="7" t="inlineStr">
        <is>
          <t>相关</t>
        </is>
      </c>
      <c r="I12" s="8" t="inlineStr">
        <is>
          <t>公司具备光纤、光缆及通信线缆产业链业务，产品与光通信传输介质直接相关，因此不能因业务多元而完全摘除；但核心定级还要看当年可量化暴露。2025年光纤收入1.8253亿元，总收入34.13亿元，占比5.35%；通信电缆收入9.0726亿元、通信设备收入2.5868亿元均为较宽口径，不能全部认作光通信，电力电缆13.0614亿元和安全业务6.6919亿元更明确属于其他板块。全产业链叙述并不等于全部收入具有光通信属性，现有可拆分数据支持相关而非核心。此次纠错保留光纤预制棒与光纤、光缆与线缆两个真实概念，纠正把通信、电缆或安全板块笼统并入光通信的旧粗标签，并以5.35%的可核实光纤占比约束定级。</t>
        </is>
      </c>
      <c r="J12" s="7" t="inlineStr">
        <is>
          <t>通鼎互联：2025年年度报告</t>
        </is>
      </c>
      <c r="K12" s="7" t="inlineStr">
        <is>
          <t>2026-04-28</t>
        </is>
      </c>
      <c r="L12" s="8" t="inlineStr">
        <is>
          <t>iFinD ifind_get_stock_info + ifind_get_stock_business_segmentation (as of 2026-10-27)；通鼎互联：2025年年度报告</t>
        </is>
      </c>
      <c r="M12" s="9" t="inlineStr">
        <is>
          <t>https://vip.stock.finance.sina.com.cn/corp/view/vCB_AllBulletinDetail.php?stockid=002491&amp;id=12232603</t>
        </is>
      </c>
    </row>
    <row r="13" ht="104" customHeight="1">
      <c r="B13" s="4" t="inlineStr">
        <is>
          <t>300265</t>
        </is>
      </c>
      <c r="C13" s="4" t="inlineStr">
        <is>
          <t>通光线缆</t>
        </is>
      </c>
      <c r="D13" s="5" t="inlineStr">
        <is>
          <t>光通信：光纤光缆</t>
        </is>
      </c>
      <c r="E13" s="4" t="inlineStr">
        <is>
          <t>纠错</t>
        </is>
      </c>
      <c r="F13" s="4" t="inlineStr">
        <is>
          <t>光通信、光通信</t>
        </is>
      </c>
      <c r="G13" s="5" t="inlineStr">
        <is>
          <t>光缆与线缆；光纤预制棒与光纤</t>
        </is>
      </c>
      <c r="H13" s="4" t="inlineStr">
        <is>
          <t>核心</t>
        </is>
      </c>
      <c r="I13" s="5" t="inlineStr">
        <is>
          <t>公司光纤光缆业务直接提供通信传输介质，是持续经营且有独立收入披露的光通信产品，不应因输电线缆规模更大而被忽略，也不应仅凭公司名称判断。2025年光纤光缆收入6.7828亿元，总收入25.4363亿元，占比26.67%，这一收入体量及占比足以支持核心定级；同期输电线缆收入13.2083亿元、装备线缆收入3.3358亿元必须排除在光通信之外，不能把公司全部线缆收入统一贴成光纤光缆。此次纠错将旧“相关”提升为核心，概念细分为光缆与线缆、光纤预制棒与光纤，同时明确26.67%是可归属分部的口径，不能进一步虚构光纤与光缆各自金额，也不能用核心标签掩盖公司多业务结构。</t>
        </is>
      </c>
      <c r="J13" s="4" t="inlineStr">
        <is>
          <t>通光线缆：2025年年度报告</t>
        </is>
      </c>
      <c r="K13" s="4" t="inlineStr">
        <is>
          <t>2026-04-18</t>
        </is>
      </c>
      <c r="L13" s="5" t="inlineStr">
        <is>
          <t>iFinD ifind_get_stock_info + ifind_get_stock_business_segmentation (as of 2026-10-27)；通光线缆：2025年年度报告</t>
        </is>
      </c>
      <c r="M13" s="6" t="inlineStr">
        <is>
          <t>http://money.finance.sina.com.cn/corp/view/vCB_AllBulletinDetail.php?stockid=300265&amp;id=12111702</t>
        </is>
      </c>
    </row>
    <row r="14" ht="104" customHeight="1">
      <c r="B14" s="7" t="inlineStr">
        <is>
          <t>300292</t>
        </is>
      </c>
      <c r="C14" s="7" t="inlineStr">
        <is>
          <t>吴通控股</t>
        </is>
      </c>
      <c r="D14" s="8" t="inlineStr">
        <is>
          <t>光通信：其他</t>
        </is>
      </c>
      <c r="E14" s="7" t="inlineStr">
        <is>
          <t>纠错</t>
        </is>
      </c>
      <c r="F14" s="7" t="inlineStr">
        <is>
          <t>光通信、光通信</t>
        </is>
      </c>
      <c r="G14" s="8" t="inlineStr">
        <is>
          <t>MPO/MTP与高密度连接；光缆与线缆</t>
        </is>
      </c>
      <c r="H14" s="7" t="inlineStr">
        <is>
          <t>相关</t>
        </is>
      </c>
      <c r="I14" s="8" t="inlineStr">
        <is>
          <t>正式投资者关系记录确认公司销售光跳线、尾纤、预端接光缆和光缆，并具有MPO/MTP跳线、光分路器等产品，这些是真实的光通信连接与线缆业务；但公司明确不生产光模块，不能借光通信标签延伸到模块或CPO。2025年上述光通信相关收入仅占公司约2%至3%，因此只能定为相关；通讯基础连接产品分部收入3.0140亿元、占比6.92%，口径更宽，不能全部替代光通信收入，移动信息服务收入35.3199亿元、占比81.14%则反映集团主业仍在信息服务。此次纠错把旧“边缘、其他”调整为有证据支持的相关，并精确落到MPO/MTP与高密度连接、光缆与线缆，同时保留低收入占比和不生产光模块的边界。</t>
        </is>
      </c>
      <c r="J14" s="7" t="inlineStr">
        <is>
          <t>吴通控股集团股份有限公司投资者关系活动记录表</t>
        </is>
      </c>
      <c r="K14" s="7" t="inlineStr">
        <is>
          <t>2026-05-18</t>
        </is>
      </c>
      <c r="L14" s="8" t="inlineStr">
        <is>
          <t>iFinD ifind_get_stock_info + ifind_get_stock_business_segmentation (as of 2026-10-27)；吴通控股集团股份有限公司投资者关系活动记录表</t>
        </is>
      </c>
      <c r="M14" s="9" t="inlineStr">
        <is>
          <t>http://static.cninfo.com.cn/finalpage/2026-05-18/1225314733.PDF</t>
        </is>
      </c>
    </row>
    <row r="15" ht="104" customHeight="1">
      <c r="B15" s="4" t="inlineStr">
        <is>
          <t>300308</t>
        </is>
      </c>
      <c r="C15" s="4" t="inlineStr">
        <is>
          <t>中际旭创</t>
        </is>
      </c>
      <c r="D15" s="5" t="inlineStr">
        <is>
          <t>光通信：光模块/CPO、光通信</t>
        </is>
      </c>
      <c r="E15" s="4" t="inlineStr">
        <is>
          <t>纠错</t>
        </is>
      </c>
      <c r="F15" s="4" t="inlineStr">
        <is>
          <t>光通信、光通信、光通信</t>
        </is>
      </c>
      <c r="G15" s="5" t="inlineStr">
        <is>
          <t>光模块-数通与AI算力；光模块-电信与传输；CPO与硅光集成</t>
        </is>
      </c>
      <c r="H15" s="4" t="inlineStr">
        <is>
          <t>核心</t>
        </is>
      </c>
      <c r="I15" s="5" t="inlineStr">
        <is>
          <t>公司主营光通信收发模块，产品直接服务于AI数据中心和电信传输，1.6T已经批量交付，硅光方案占比较高，年报还明确继续研发CPO，数通、电信和CPO硅光标签均有正式产品依据。2025年光通信收发模块收入374.5652亿元，总收入382.40亿元，占比97.95%，光通信收入纯度和规模均支持核心定级。需要区分的是，批量交付的1.6T与硅光产品不能全部称为CPO，CPO研发方向也没有独立收入披露，不能把374.5652亿元再包装成CPO收入；电机绕组装备等剩余业务同样不得混入。此次纠错应将旧的宽泛光模块或高速模块标签拆成数通与AI算力、电信与传输、CPO与硅光集成，并在理由中保留研发与收入不可混同的限制。</t>
        </is>
      </c>
      <c r="J15" s="4" t="inlineStr">
        <is>
          <t>中际旭创：2025年年度报告</t>
        </is>
      </c>
      <c r="K15" s="4" t="inlineStr">
        <is>
          <t>2026-03-31</t>
        </is>
      </c>
      <c r="L15" s="5" t="inlineStr">
        <is>
          <t>iFinD ifind_get_stock_info + ifind_get_stock_business_segmentation (as of 2026-10-27)；中际旭创：2025年年度报告</t>
        </is>
      </c>
      <c r="M15" s="6" t="inlineStr">
        <is>
          <t>https://vip.stock.finance.sina.com.cn/corp/view/vCB_AllBulletinDetail.php?stockid=300308&amp;id=12041853</t>
        </is>
      </c>
    </row>
    <row r="16" ht="104" customHeight="1">
      <c r="B16" s="7" t="inlineStr">
        <is>
          <t>300351</t>
        </is>
      </c>
      <c r="C16" s="7" t="inlineStr">
        <is>
          <t>永贵电器</t>
        </is>
      </c>
      <c r="D16" s="8" t="inlineStr">
        <is>
          <t>光通信：MPO/连接器</t>
        </is>
      </c>
      <c r="E16" s="7" t="inlineStr">
        <is>
          <t>纠错</t>
        </is>
      </c>
      <c r="F16" s="7" t="inlineStr">
        <is>
          <t>光通信</t>
        </is>
      </c>
      <c r="G16" s="8" t="inlineStr">
        <is>
          <t>MPO/MTP与高密度连接</t>
        </is>
      </c>
      <c r="H16" s="7" t="inlineStr">
        <is>
          <t>相关</t>
        </is>
      </c>
      <c r="I16" s="8" t="inlineStr">
        <is>
          <t>公司年报单列特种装备光纤连接器，历史正式互动资料还确认子公司洛阳奥联的MPO/MTP产品用于军用光模块和雷达，证明存在真实的高密度光连接产品，而不是从普通电连接器凭空推导。2025年轨道交通连接器收入8.3967亿元、车载与能源信息收入12.6802亿元、军工及其他收入1.3438亿元，这些混合板块均不能全部认作光通信；MPO/MTP及光纤连接器收入未单独拆分，因此2025年光通信具体收入和占比无法可靠给出，不能把军工及其他1.3438亿元整体当成其规模。基于产品真实但财务暴露不可量化且相对有限，本次定为相关而非核心，纠错点是仅保留MPO/MTP与高密度连接，剔除轨交、车载或泛军工连接器的跨概念映射。</t>
        </is>
      </c>
      <c r="J16" s="7" t="inlineStr">
        <is>
          <t>永贵电器：2025年年度报告摘要</t>
        </is>
      </c>
      <c r="K16" s="7" t="inlineStr">
        <is>
          <t>2026-04-10</t>
        </is>
      </c>
      <c r="L16" s="8" t="inlineStr">
        <is>
          <t>iFinD ifind_get_stock_info + ifind_get_stock_business_segmentation (as of 2026-10-27)；永贵电器：2025年年度报告摘要</t>
        </is>
      </c>
      <c r="M16" s="9" t="inlineStr">
        <is>
          <t>https://money.finance.sina.com.cn/corp/view/vCB_AllBulletinDetail.php?stockid=300351&amp;id=12074974</t>
        </is>
      </c>
    </row>
    <row r="17" ht="104" customHeight="1">
      <c r="B17" s="4" t="inlineStr">
        <is>
          <t>300394</t>
        </is>
      </c>
      <c r="C17" s="4" t="inlineStr">
        <is>
          <t>天孚通信</t>
        </is>
      </c>
      <c r="D17" s="5" t="inlineStr">
        <is>
          <t>光通信：光器件</t>
        </is>
      </c>
      <c r="E17" s="4" t="inlineStr">
        <is>
          <t>纠错</t>
        </is>
      </c>
      <c r="F17" s="4" t="inlineStr">
        <is>
          <t>光通信、光通信、光通信</t>
        </is>
      </c>
      <c r="G17" s="5" t="inlineStr">
        <is>
          <t>光器件-无源器件；光器件-有源器件；CPO与硅光集成</t>
        </is>
      </c>
      <c r="H17" s="4" t="inlineStr">
        <is>
          <t>核心</t>
        </is>
      </c>
      <c r="I17" s="5" t="inlineStr">
        <is>
          <t>公司形成光有源与光无源器件两大产品体系，为光模块和光通信系统提供核心器件，并披露CPO-ELS、FCFAU及硅光模块相关研发，标签能够对应具体产品与技术，而非泛光电子概念。2025年光有源器件收入29.9795亿元、光无源器件收入20.8439亿元，合计50.8233亿元，总收入51.6344亿元，占比约98.43%，核心业务纯度极高。不可拆分的边界是有源、无源收入不能直接转换为光模块整机收入，CPO-ELS、FCFAU和硅光研发也没有独立收入，不能从50.8233亿元中虚构CPO规模。此次纠错应在核心基础上把旧笼统光器件标签细分为无源、有源和CPO与硅光集成，同时明确第三项代表真实布局，不代表单独形成已披露营收。</t>
        </is>
      </c>
      <c r="J17" s="4" t="inlineStr">
        <is>
          <t>天孚通信：2025年年度报告</t>
        </is>
      </c>
      <c r="K17" s="4" t="inlineStr">
        <is>
          <t>2026-04-08</t>
        </is>
      </c>
      <c r="L17" s="5" t="inlineStr">
        <is>
          <t>iFinD ifind_get_stock_info + ifind_get_stock_business_segmentation (as of 2026-10-27)；天孚通信：2025年年度报告</t>
        </is>
      </c>
      <c r="M17" s="6" t="inlineStr">
        <is>
          <t>http://money.finance.sina.com.cn/corp/view/vCB_AllBulletinDetail.php?stockid=300394&amp;id=12066361</t>
        </is>
      </c>
    </row>
    <row r="18" ht="104" customHeight="1">
      <c r="B18" s="7" t="inlineStr">
        <is>
          <t>300398</t>
        </is>
      </c>
      <c r="C18" s="7" t="inlineStr">
        <is>
          <t>飞凯材料</t>
        </is>
      </c>
      <c r="D18" s="8" t="inlineStr">
        <is>
          <t>光通信：光材料</t>
        </is>
      </c>
      <c r="E18" s="7" t="inlineStr">
        <is>
          <t>纠错</t>
        </is>
      </c>
      <c r="F18" s="7" t="inlineStr">
        <is>
          <t>光通信</t>
        </is>
      </c>
      <c r="G18" s="8" t="inlineStr">
        <is>
          <t>光通信材料-封装与胶材</t>
        </is>
      </c>
      <c r="H18" s="7" t="inlineStr">
        <is>
          <t>核心</t>
        </is>
      </c>
      <c r="I18" s="8" t="inlineStr">
        <is>
          <t>公司的紫外固化光纤涂覆材料用于光纤制造过程中的涂覆与保护，是直接影响光纤机械性能和长期可靠性的关键材料，与光通信产业存在明确且直接的产品关系，不能因公司同时经营显示材料而弱化为泛材料概念。2025年紫外固化光纤涂覆材料收入6.9918亿元，总收入32.2565亿元，占比21.67%，独立披露的收入和较高占比支持核心定级。边界是显示材料、半导体材料及有机合成材料均不能混入光通信，光纤涂覆材料也不能被包装成光模块封装胶的全部市场或延伸出光芯片业务。此次纠错将旧“相关、光材料”提升为核心，并改成白名单中的光通信材料封装与胶材，纠正概念过宽和定级偏低，同时保留其他三大材料板块不可归属的限制。</t>
        </is>
      </c>
      <c r="J18" s="7" t="inlineStr">
        <is>
          <t>飞凯材料：2025年年度报告</t>
        </is>
      </c>
      <c r="K18" s="7" t="inlineStr">
        <is>
          <t>2026-04-22</t>
        </is>
      </c>
      <c r="L18" s="8" t="inlineStr">
        <is>
          <t>iFinD ifind_get_stock_info + ifind_get_stock_business_segmentation (as of 2026-10-27)；飞凯材料：2025年年度报告</t>
        </is>
      </c>
      <c r="M18" s="9" t="inlineStr">
        <is>
          <t>https://money.finance.sina.com.cn/corp/view/vCB_AllBulletinDetail.php?stockid=300398&amp;id=12131561</t>
        </is>
      </c>
    </row>
    <row r="19" ht="104" customHeight="1">
      <c r="B19" s="4" t="inlineStr">
        <is>
          <t>300408</t>
        </is>
      </c>
      <c r="C19" s="4" t="inlineStr">
        <is>
          <t>三环集团</t>
        </is>
      </c>
      <c r="D19" s="5" t="inlineStr">
        <is>
          <t>光通信：MPO/连接器、SOFC、MLCC</t>
        </is>
      </c>
      <c r="E19" s="4" t="inlineStr">
        <is>
          <t>纠错</t>
        </is>
      </c>
      <c r="F19" s="4" t="inlineStr">
        <is>
          <t>光通信、光通信</t>
        </is>
      </c>
      <c r="G19" s="5" t="inlineStr">
        <is>
          <t>光连接器与陶瓷插芯；MPO/MTP与高密度连接</t>
        </is>
      </c>
      <c r="H19" s="4" t="inlineStr">
        <is>
          <t>核心</t>
        </is>
      </c>
      <c r="I19" s="5" t="inlineStr">
        <is>
          <t>公司通信器件业务包含陶瓷插芯及配套产品，年报明确其增长，并披露MT插芯与导针散件、光芯片封装陶瓷管壳已推向市场且进入主流客户供应链，光连接与高密度连接具有真实规模化产品基础。2025年通信器件收入25.9431亿元，总收入90.0715亿元，占比28.80%，可支持核心定级；但通信器件仍是宽口径，不能全部等同光通信，也不能进一步把其中金额直接认作MT插芯或陶瓷管壳收入。MLCC、SOFC以及手机陶瓷外观件等业务与本次光通信标签无关，不能因材料或客户重叠而并入。此次纠错保留核心，将旧粗标签细分为光连接器与陶瓷插芯、MPO/MTP与高密度连接，并删除MLCC、SOFC等旧交叉污染。</t>
        </is>
      </c>
      <c r="J19" s="4" t="inlineStr">
        <is>
          <t>三环集团：2025年年度报告</t>
        </is>
      </c>
      <c r="K19" s="4" t="inlineStr">
        <is>
          <t>2026-03-28</t>
        </is>
      </c>
      <c r="L19" s="5" t="inlineStr">
        <is>
          <t>iFinD ifind_get_stock_info + ifind_get_stock_business_segmentation (as of 2026-10-27)；三环集团：2025年年度报告</t>
        </is>
      </c>
      <c r="M19" s="6" t="inlineStr">
        <is>
          <t>https://money.finance.sina.com.cn/corp/view/vCB_AllBulletinDetail.php?stockid=300408&amp;id=12028356</t>
        </is>
      </c>
    </row>
    <row r="20" ht="104" customHeight="1">
      <c r="B20" s="7" t="inlineStr">
        <is>
          <t>300502</t>
        </is>
      </c>
      <c r="C20" s="7" t="inlineStr">
        <is>
          <t>新易盛</t>
        </is>
      </c>
      <c r="D20" s="8" t="inlineStr">
        <is>
          <t>光通信：光模块/CPO</t>
        </is>
      </c>
      <c r="E20" s="7" t="inlineStr">
        <is>
          <t>纠错</t>
        </is>
      </c>
      <c r="F20" s="7" t="inlineStr">
        <is>
          <t>光通信、光通信、光通信</t>
        </is>
      </c>
      <c r="G20" s="8" t="inlineStr">
        <is>
          <t>光模块-数通与AI算力；光模块-电信与传输；CPO与硅光集成</t>
        </is>
      </c>
      <c r="H20" s="7" t="inlineStr">
        <is>
          <t>核心</t>
        </is>
      </c>
      <c r="I20" s="8" t="inlineStr">
        <is>
          <t>公司光互联产品覆盖800G、1.6T等高速光模块，应用于AI数据中心和电信网络，硅光产品已经批量出货，因此数通、电信以及CPO与硅光集成均有明确产品支撑，不属于单纯研发预期。2025年光互联产品收入247.7116亿元，总收入248.4185亿元，占比99.72%，光通信业务几乎构成全部营收，核心定级没有争议。财务边界在于光互联产品仍是一个综合披露口径，不能把全部收入称作AI数通，更不能把硅光批量出货等同于全部产品都是CPO；CPO相关收入也未单独披露。此次纠错应将旧的通用光模块标签细分为数通与AI算力、电信与传输、CPO与硅光集成，同时明确第三个概念反映产品技术布局，不对应247.7116亿元的独立拆分。</t>
        </is>
      </c>
      <c r="J20" s="7" t="inlineStr">
        <is>
          <t>新易盛：2025年年度报告</t>
        </is>
      </c>
      <c r="K20" s="7" t="inlineStr">
        <is>
          <t>2026-04-24</t>
        </is>
      </c>
      <c r="L20" s="8" t="inlineStr">
        <is>
          <t>iFinD ifind_get_stock_info + ifind_get_stock_business_segmentation (as of 2026-10-27)；新易盛：2025年年度报告</t>
        </is>
      </c>
      <c r="M20" s="9" t="inlineStr">
        <is>
          <t>https://money.finance.sina.com.cn/corp/view/vCB_AllBulletinDetail.php?stockid=300502&amp;id=12173345</t>
        </is>
      </c>
    </row>
    <row r="21" ht="104" customHeight="1">
      <c r="B21" s="4" t="inlineStr">
        <is>
          <t>300548</t>
        </is>
      </c>
      <c r="C21" s="4" t="inlineStr">
        <is>
          <t>长芯博创</t>
        </is>
      </c>
      <c r="D21" s="5" t="inlineStr">
        <is>
          <t>光通信：光模块/CPO、光通信</t>
        </is>
      </c>
      <c r="E21" s="4" t="inlineStr">
        <is>
          <t>纠错</t>
        </is>
      </c>
      <c r="F21" s="4" t="inlineStr">
        <is>
          <t>光通信、光通信</t>
        </is>
      </c>
      <c r="G21" s="5" t="inlineStr">
        <is>
          <t>光模块-数通与AI算力；光模块-电信与传输</t>
        </is>
      </c>
      <c r="H21" s="4" t="inlineStr">
        <is>
          <t>核心</t>
        </is>
      </c>
      <c r="I21" s="5" t="inlineStr">
        <is>
          <t>公司持续经营数据通信、消费及工业互联和电信市场产品，光模块及相关光通信产品构成主营，因而分别保留数通与AI算力、电信与传输两个方向，而不是笼统使用光通信概念。2025年数据通信、消费及工业互联收入20.3877亿元，占比80.50%；电信市场收入4.8080亿元，占比18.98%，两项合计占绝对主体，支持核心定级。不可拆分的边界是前一市场还包含消费、工业互联和铜缆产品，20.3877亿元不能全部认作数通光模块，更不能据此推算AI模块或光芯片收入；电信分部同样不能细拆到具体速率。此次纠错应在核心基础上替换旧宽泛标签，且因缺少充分正式证据，不额外添加CPO与硅光集成或光芯片概念，避免产品能力被过度外推。</t>
        </is>
      </c>
      <c r="J21" s="4" t="inlineStr">
        <is>
          <t>长芯博创：2025年年度报告</t>
        </is>
      </c>
      <c r="K21" s="4" t="inlineStr">
        <is>
          <t>2026-03-28</t>
        </is>
      </c>
      <c r="L21" s="5" t="inlineStr">
        <is>
          <t>iFinD ifind_get_stock_info + ifind_get_stock_business_segmentation (as of 2026-10-27)；长芯博创：2025年年度报告</t>
        </is>
      </c>
      <c r="M21" s="6" t="inlineStr">
        <is>
          <t>https://money.finance.sina.com.cn/corp/view/vCB_AllBulletinDetail.php?stockid=300548&amp;id=12033181</t>
        </is>
      </c>
    </row>
    <row r="22" ht="104" customHeight="1">
      <c r="B22" s="7" t="inlineStr">
        <is>
          <t>300570</t>
        </is>
      </c>
      <c r="C22" s="7" t="inlineStr">
        <is>
          <t>太辰光</t>
        </is>
      </c>
      <c r="D22" s="8" t="inlineStr">
        <is>
          <t>光通信：MPO/连接器</t>
        </is>
      </c>
      <c r="E22" s="7" t="inlineStr">
        <is>
          <t>纠错</t>
        </is>
      </c>
      <c r="F22" s="7" t="inlineStr">
        <is>
          <t>光通信、光通信、光通信、光通信</t>
        </is>
      </c>
      <c r="G22" s="8" t="inlineStr">
        <is>
          <t>MPO/MTP与高密度连接；光连接器与陶瓷插芯；光芯片-PLC与AWG；光器件-无源器件</t>
        </is>
      </c>
      <c r="H22" s="7" t="inlineStr">
        <is>
          <t>核心</t>
        </is>
      </c>
      <c r="I22" s="8" t="inlineStr">
        <is>
          <t>公司真实产品包括陶瓷插芯、MT插芯、高密度连接器、PLC与AWG晶圆芯片、光分路器和波分复用器，覆盖高密度连接、光连接以及无源芯片和器件多个环节，旧MPO粗标签无法完整表达其主营结构。2025年光器件收入15.1527亿元，光纤传感收入0.0367亿元，总收入15.4676亿元，光器件占比约97.96%，主营规模和纯度支持核心定级。边界在于光器件综合收入不能再按产品主观分摊，光纤传感也不能默认属于通信；PLC与AWG虽为芯片能力，不代表公司覆盖激光器或全部有源芯片。此次纠错将核心细分为MPO/MTP与高密度连接、光连接器与陶瓷插芯、光芯片PLC与AWG、光器件无源器件，且没有充分证据时不默认追加CPO。</t>
        </is>
      </c>
      <c r="J22" s="7" t="inlineStr">
        <is>
          <t>太辰光：2025年年度报告</t>
        </is>
      </c>
      <c r="K22" s="7" t="inlineStr">
        <is>
          <t>2026-03-31</t>
        </is>
      </c>
      <c r="L22" s="8" t="inlineStr">
        <is>
          <t>iFinD ifind_get_stock_info + ifind_get_stock_business_segmentation (as of 2026-10-27)；太辰光：2025年年度报告</t>
        </is>
      </c>
      <c r="M22" s="9" t="inlineStr">
        <is>
          <t>https://money.finance.sina.com.cn/corp/view/vCB_AllBulletinDetail.php?stockid=300570&amp;id=12045847</t>
        </is>
      </c>
    </row>
    <row r="23" ht="104" customHeight="1">
      <c r="B23" s="4" t="inlineStr">
        <is>
          <t>300620</t>
        </is>
      </c>
      <c r="C23" s="4" t="inlineStr">
        <is>
          <t>光库科技</t>
        </is>
      </c>
      <c r="D23" s="5" t="inlineStr">
        <is>
          <t>光通信：光器件</t>
        </is>
      </c>
      <c r="E23" s="4" t="inlineStr">
        <is>
          <t>纠错</t>
        </is>
      </c>
      <c r="F23" s="4" t="inlineStr">
        <is>
          <t>光通信、光通信、光通信、光通信</t>
        </is>
      </c>
      <c r="G23" s="5" t="inlineStr">
        <is>
          <t>光器件-无源器件；光器件-有源器件；MPO/MTP与高密度连接；CPO与硅光集成</t>
        </is>
      </c>
      <c r="H23" s="4" t="inlineStr">
        <is>
          <t>核心</t>
        </is>
      </c>
      <c r="I23" s="5" t="inlineStr">
        <is>
          <t>公司光通讯产品覆盖FAU、MPO/MTP、铌酸锂调制器以及CPO光纤阵列和CPO新品，分别对应无源器件、有源器件、高密度连接和硅光集成方向，产品链条明确，不能只保留一个泛光器件标签。2025年光通讯器件收入7.8615亿元，总收入14.7397亿元，占比53.34%，是最大且可独立识别的业务板块，支持核心定级；光纤激光器件收入4.9789亿元、激光雷达收入1.0121亿元均不能算入光通信。光通讯器件收入也无法继续拆成MPO、调制器或CPO各自金额，研发与新品表述不等于独立销售规模。此次纠错保留核心并补齐四个白名单概念，纠正旧标签过粗，同时用53.34%及另外两大业务排除项约束光通信收入边界。</t>
        </is>
      </c>
      <c r="J23" s="4" t="inlineStr">
        <is>
          <t>光库科技：2025年年度报告</t>
        </is>
      </c>
      <c r="K23" s="4" t="inlineStr">
        <is>
          <t>2026-03-24</t>
        </is>
      </c>
      <c r="L23" s="5" t="inlineStr">
        <is>
          <t>iFinD ifind_get_stock_info + ifind_get_stock_business_segmentation (as of 2026-10-27)；光库科技：2025年年度报告</t>
        </is>
      </c>
      <c r="M23" s="6" t="inlineStr">
        <is>
          <t>https://money.finance.sina.com.cn/corp/view/vCB_AllBulletinDetail.php?stockid=300620&amp;id=12012908</t>
        </is>
      </c>
    </row>
    <row r="24" ht="104" customHeight="1">
      <c r="B24" s="7" t="inlineStr">
        <is>
          <t>300757</t>
        </is>
      </c>
      <c r="C24" s="7" t="inlineStr">
        <is>
          <t>罗博特科</t>
        </is>
      </c>
      <c r="D24" s="8" t="inlineStr">
        <is>
          <t>光通信：设备、spacex、太空光伏设备</t>
        </is>
      </c>
      <c r="E24" s="7" t="inlineStr">
        <is>
          <t>纠错</t>
        </is>
      </c>
      <c r="F24" s="7" t="inlineStr">
        <is>
          <t>光通信、光通信</t>
        </is>
      </c>
      <c r="G24" s="8" t="inlineStr">
        <is>
          <t>光通信设备-测试与生产；CPO与硅光集成</t>
        </is>
      </c>
      <c r="H24" s="7" t="inlineStr">
        <is>
          <t>核心</t>
        </is>
      </c>
      <c r="I24" s="8" t="inlineStr">
        <is>
          <t>公司收购ficonTEC后具备光电子及半导体封装测试设备业务，正式资料明确硅光组装与测试设备收入，并覆盖CPO模组组装、晶圆与晶粒测试及耦合设备，是光通信上游真实生产与测试装备供应商。2025年光电子及半导体封测设备收入4.3913亿元，总收入约9.49亿元，占比约46.3%，硅光组装与测试设备收入同为4.39亿元，规模和并表后的重要性支持核心；光伏设备收入4.3306亿元则必须排除，不能沿用公司历史主业全部计算。设备口径可能覆盖其他光电子或半导体应用，不应再主观拆成纯光通信各产品金额。此次纠错把旧“边缘、设备”提升为核心，细分为光通信设备测试与生产、CPO与硅光集成，同时明确光伏收入和混合设备边界。</t>
        </is>
      </c>
      <c r="J24" s="7" t="inlineStr">
        <is>
          <t>罗博特科：2025年年度报告</t>
        </is>
      </c>
      <c r="K24" s="7" t="inlineStr">
        <is>
          <t>2026-03-31</t>
        </is>
      </c>
      <c r="L24" s="8" t="inlineStr">
        <is>
          <t>iFinD ifind_get_stock_info + ifind_get_stock_business_segmentation (as of 2026-10-27)；罗博特科：2025年年度报告</t>
        </is>
      </c>
      <c r="M24" s="9" t="inlineStr">
        <is>
          <t>https://money.finance.sina.com.cn/corp/view/vCB_AllBulletinDetail.php?stockid=300757&amp;id=12047235</t>
        </is>
      </c>
    </row>
    <row r="25" ht="104" customHeight="1">
      <c r="B25" s="4" t="inlineStr">
        <is>
          <t>301196</t>
        </is>
      </c>
      <c r="C25" s="4" t="inlineStr">
        <is>
          <t>唯科科技</t>
        </is>
      </c>
      <c r="D25" s="5" t="inlineStr">
        <is>
          <t>光通信：其他</t>
        </is>
      </c>
      <c r="E25" s="4" t="inlineStr">
        <is>
          <t>纠错</t>
        </is>
      </c>
      <c r="F25" s="4" t="inlineStr">
        <is>
          <t>光通信、光通信</t>
        </is>
      </c>
      <c r="G25" s="5" t="inlineStr">
        <is>
          <t>MPO/MTP与高密度连接；光通信配套-精密结构件</t>
        </is>
      </c>
      <c r="H25" s="4" t="inlineStr">
        <is>
          <t>相关</t>
        </is>
      </c>
      <c r="I25" s="5" t="inlineStr">
        <is>
          <t>2025年正式投资者记录确认公司为康普提供MPO光纤连接头零部件和适配器，并于四季度开始小批量供货，另有通讯基站、入户光纤和光缆壳体等精密结构件，业务关系真实但仍处于较小规模阶段。2025年注塑产品收入11.0886亿元、健康产品收入6.5234亿元、精密模具收入3.4242亿元，光通信没有单列，因此不能给出可信的光通信收入及占比，更不能把11.0886亿元注塑产品全部归入MPO或光通信。小批量供货证明业务已经落地，却不足以支持核心定级，故本次定为相关。此次纠错将旧的泛通讯或塑料件概念细分为MPO/MTP与高密度连接、光通信配套精密结构件，同时保留供货阶段、收入不可拆分和其他产品不得混入的边界。</t>
        </is>
      </c>
      <c r="J25" s="4" t="inlineStr">
        <is>
          <t>厦门唯科模塑科技股份有限公司投资者关系活动记录表</t>
        </is>
      </c>
      <c r="K25" s="4" t="inlineStr">
        <is>
          <t>2025-12-06</t>
        </is>
      </c>
      <c r="L25" s="5" t="inlineStr">
        <is>
          <t>iFinD ifind_get_stock_info + ifind_get_stock_business_segmentation (as of 2026-10-27)；厦门唯科模塑科技股份有限公司投资者关系活动记录表</t>
        </is>
      </c>
      <c r="M25" s="6" t="inlineStr">
        <is>
          <t>http://pdf.dfcfw.com/pdf/H2_AN202512071795728734_1.PDF</t>
        </is>
      </c>
    </row>
    <row r="26" ht="104" customHeight="1">
      <c r="B26" s="7" t="inlineStr">
        <is>
          <t>301205</t>
        </is>
      </c>
      <c r="C26" s="7" t="inlineStr">
        <is>
          <t>联特科技</t>
        </is>
      </c>
      <c r="D26" s="8" t="inlineStr">
        <is>
          <t>光通信：光模块/CPO、光通信</t>
        </is>
      </c>
      <c r="E26" s="7" t="inlineStr">
        <is>
          <t>纠错</t>
        </is>
      </c>
      <c r="F26" s="7" t="inlineStr">
        <is>
          <t>光通信、光通信</t>
        </is>
      </c>
      <c r="G26" s="8" t="inlineStr">
        <is>
          <t>光模块-数通与AI算力；光模块-电信与传输</t>
        </is>
      </c>
      <c r="H26" s="7" t="inlineStr">
        <is>
          <t>核心</t>
        </is>
      </c>
      <c r="I26" s="8" t="inlineStr">
        <is>
          <t>公司以光模块为主营产品，覆盖10G及以上和10G以下产品，分别服务数据通信、AI算力及电信传输等场景，产品收入可以直接识别，属于典型光通信核心企业，而不是仅凭高速率概念关联。2025年10G及以上光模块收入6.8925亿元、10G以下光模块收入5.3783亿元，合计12.2708亿元，总收入12.5753亿元，占比约97.58%，核心定级由接近全部营收的产品结构支持。边界是测试服务和受托加工不能算作光模块收入，10G及以上也不能全部等同800G、1.6T或AI模块，各速率和应用场景没有独立收入拆分。此次纠错将旧宽泛光模块标签细分为数通与AI算力、电信与传输，并因缺乏充分正式证据不追加CPO与硅光集成，避免把技术想象写成既成业务。</t>
        </is>
      </c>
      <c r="J26" s="7" t="inlineStr">
        <is>
          <t>联特科技：2025年年度报告</t>
        </is>
      </c>
      <c r="K26" s="7" t="inlineStr">
        <is>
          <t>2026-04-29</t>
        </is>
      </c>
      <c r="L26" s="8" t="inlineStr">
        <is>
          <t>iFinD ifind_get_stock_info + ifind_get_stock_business_segmentation (as of 2026-10-27)；联特科技：2025年年度报告</t>
        </is>
      </c>
      <c r="M26" s="9" t="inlineStr">
        <is>
          <t>https://vip.stock.finance.sina.com.cn/corp/view/vCB_AllBulletinDetail.php?stockid=301205&amp;id=12260944</t>
        </is>
      </c>
    </row>
    <row r="27" ht="104" customHeight="1">
      <c r="B27" s="4" t="inlineStr">
        <is>
          <t>600105</t>
        </is>
      </c>
      <c r="C27" s="4" t="inlineStr">
        <is>
          <t>永鼎股份</t>
        </is>
      </c>
      <c r="D27" s="5" t="inlineStr">
        <is>
          <t>光通信：光纤光缆、超导磁体</t>
        </is>
      </c>
      <c r="E27" s="4" t="inlineStr">
        <is>
          <t>纠错</t>
        </is>
      </c>
      <c r="F27" s="4" t="inlineStr">
        <is>
          <t>光通信</t>
        </is>
      </c>
      <c r="G27" s="5" t="inlineStr">
        <is>
          <t>光纤预制棒与光纤、光缆与线缆、特种光纤与光纤环</t>
        </is>
      </c>
      <c r="H27" s="4" t="inlineStr">
        <is>
          <t>核心</t>
        </is>
      </c>
      <c r="I27" s="5" t="inlineStr">
        <is>
          <t>公司真实光通信产品包括光纤预制棒、通信光纤、特种光纤、通信光缆和光电复合缆，并非只有电缆或超导业务的产业链联想。2025年光通信产品收入9.9900亿元，按所列产品收入合计约52.3865亿元计算占约19.07%，已经构成重要收入来源；汽车线束18.7525亿元、海外工程13.8097亿元及超导和铜导体8.4100亿元均不能混入光通信收入。光通信虽未过半，但收入规模和独立产品分部均达到核心标准，因此将旧“相关”上调为核心；旧笼统“光纤光缆”进一步拆为预制棒光纤、光缆和特种光纤，超导磁体不属于本次光通信标签。</t>
        </is>
      </c>
      <c r="J27" s="4" t="inlineStr">
        <is>
          <t>永鼎股份2025年年度报告</t>
        </is>
      </c>
      <c r="K27" s="4" t="inlineStr">
        <is>
          <t>2026-04-21</t>
        </is>
      </c>
      <c r="L27" s="5" t="inlineStr">
        <is>
          <t>iFinD ifind_get_stock_info + ifind_get_stock_business_segmentation (as of 2026-10-27)；永鼎股份2025年年度报告</t>
        </is>
      </c>
      <c r="M27" s="6" t="inlineStr">
        <is>
          <t>https://static.cninfo.com.cn/finalpage/2026-04-21/1225133679.PDF</t>
        </is>
      </c>
    </row>
    <row r="28" ht="104" customHeight="1">
      <c r="B28" s="7" t="inlineStr">
        <is>
          <t>600330</t>
        </is>
      </c>
      <c r="C28" s="7" t="inlineStr">
        <is>
          <t>天通股份</t>
        </is>
      </c>
      <c r="D28" s="8" t="inlineStr">
        <is>
          <t>光通信：光材料</t>
        </is>
      </c>
      <c r="E28" s="7" t="inlineStr">
        <is>
          <t>纠错</t>
        </is>
      </c>
      <c r="F28" s="7" t="inlineStr">
        <is>
          <t>光通信</t>
        </is>
      </c>
      <c r="G28" s="8" t="inlineStr">
        <is>
          <t>光通信材料-光学与晶体</t>
        </is>
      </c>
      <c r="H28" s="7" t="inlineStr">
        <is>
          <t>相关</t>
        </is>
      </c>
      <c r="I28" s="8" t="inlineStr">
        <is>
          <t>公司实际可对应光通信的是铌酸锂、钽酸锂晶棒和晶片及压电异质晶圆，年报明确这些材料用于高速光调制器、集成光子芯片、光波导和光开关，且4至8英寸产品已经量产，属于真实光学晶体材料而非泛泛的“光材料”。2025年电子材料制造及销售收入28.1739亿元、占88.0260%，但该分部同时包含磁性材料、压电晶体和蓝宝石材料，无法拆出光通信专用晶体收入，更不能把全部电子材料收入归入光通信。公司主营仍是多类电子材料和专用装备，光通信只是压电晶体的重要下游之一，故维持相关；旧标签纠正为具体光学与晶体材料，不以行业市场预测替代公司业务证据。</t>
        </is>
      </c>
      <c r="J28" s="7" t="inlineStr">
        <is>
          <t>天通股份2025年年度报告</t>
        </is>
      </c>
      <c r="K28" s="7" t="inlineStr">
        <is>
          <t>2026-04-28</t>
        </is>
      </c>
      <c r="L28" s="8" t="inlineStr">
        <is>
          <t>iFinD ifind_get_stock_info + ifind_get_stock_business_segmentation (as of 2026-10-27)；天通股份2025年年度报告</t>
        </is>
      </c>
      <c r="M28" s="9" t="inlineStr">
        <is>
          <t>https://static.cninfo.com.cn/finalpage/2026-04-28/1225212740.PDF</t>
        </is>
      </c>
    </row>
    <row r="29" ht="104" customHeight="1">
      <c r="B29" s="4" t="inlineStr">
        <is>
          <t>600487</t>
        </is>
      </c>
      <c r="C29" s="4" t="inlineStr">
        <is>
          <t>亨通光电</t>
        </is>
      </c>
      <c r="D29" s="5" t="inlineStr">
        <is>
          <t>光通信：光纤光缆、电缆</t>
        </is>
      </c>
      <c r="E29" s="4" t="inlineStr">
        <is>
          <t>纠错</t>
        </is>
      </c>
      <c r="F29" s="4" t="inlineStr">
        <is>
          <t>光通信</t>
        </is>
      </c>
      <c r="G29" s="5" t="inlineStr">
        <is>
          <t>光纤预制棒与光纤、光缆与线缆、光传输与接入设备</t>
        </is>
      </c>
      <c r="H29" s="4" t="inlineStr">
        <is>
          <t>核心</t>
        </is>
      </c>
      <c r="I29" s="5" t="inlineStr">
        <is>
          <t>公司光通信业务覆盖光纤预制棒、光纤、光缆以及光网络产品与解决方案，是年报单列的产品板块，不是由智能电网、电缆或海洋业务间接推导。2025年光通信产品收入56.0885亿元，占公司营业收入约668.5485亿元的8.39%；同期智能电网247.9609亿元、铜导体200.8420亿元、海洋电力通信57.3668亿元，均不应并入光通信口径。虽然光通信占比不足一成，但独立收入超过56亿元且属于公司长期主营产业，满足重要收入和规模化核心产品标准，因此由旧“相关”上调为核心；旧“光纤光缆”保留并细化到预制棒光纤、线缆和传输接入设备，未把海洋电力通信全部算作光通信。</t>
        </is>
      </c>
      <c r="J29" s="4" t="inlineStr">
        <is>
          <t>亨通光电2025年年度报告</t>
        </is>
      </c>
      <c r="K29" s="4" t="inlineStr">
        <is>
          <t>2026-04-25</t>
        </is>
      </c>
      <c r="L29" s="5" t="inlineStr">
        <is>
          <t>iFinD ifind_get_stock_info + ifind_get_stock_business_segmentation (as of 2026-10-27)；亨通光电2025年年度报告</t>
        </is>
      </c>
      <c r="M29" s="6" t="inlineStr">
        <is>
          <t>https://static.cninfo.com.cn/finalpage/2026-04-25/1225195764.PDF</t>
        </is>
      </c>
    </row>
    <row r="30" ht="104" customHeight="1">
      <c r="B30" s="7" t="inlineStr">
        <is>
          <t>600498</t>
        </is>
      </c>
      <c r="C30" s="7" t="inlineStr">
        <is>
          <t>烽火通信</t>
        </is>
      </c>
      <c r="D30" s="8" t="inlineStr">
        <is>
          <t>光通信：光纤光缆、昇腾部件伙伴</t>
        </is>
      </c>
      <c r="E30" s="7" t="inlineStr">
        <is>
          <t>纠错</t>
        </is>
      </c>
      <c r="F30" s="7" t="inlineStr">
        <is>
          <t>光通信</t>
        </is>
      </c>
      <c r="G30" s="8" t="inlineStr">
        <is>
          <t>光传输与接入设备、光纤预制棒与光纤、光缆与线缆</t>
        </is>
      </c>
      <c r="H30" s="7" t="inlineStr">
        <is>
          <t>核心</t>
        </is>
      </c>
      <c r="I30" s="8" t="inlineStr">
        <is>
          <t>公司主营直接包括通信系统设备、光纤及线缆和数据网络产品，通信系统设备覆盖光传输、宽带接入等光网络设备，光纤光缆则提供传输介质和线路产品，与光通信存在直接且规模化的产品关系。2025年光通信行业收入247.2848亿元、占99.2372%；其中通信系统设备186.5477亿元，光纤、光缆及电缆46.5410亿元，数据网络14.1962亿元。分产品中的系统设备还包含非纯光传输部分，电缆也需与光纤光缆区分，但行业分部已经清楚表明光通信是绝对主营，符合核心标准。旧“光纤光缆”只覆盖一部分业务，现纠正并补充光传输与接入设备，不因服务器或昇腾伙伴标签改变本次光通信判断。</t>
        </is>
      </c>
      <c r="J30" s="7" t="inlineStr">
        <is>
          <t>600498_2025年_年度报告</t>
        </is>
      </c>
      <c r="K30" s="7" t="inlineStr">
        <is>
          <t>2026-04-25</t>
        </is>
      </c>
      <c r="L30" s="8" t="inlineStr">
        <is>
          <t>iFinD ifind_get_stock_info + ifind_get_stock_business_segmentation (as of 2026-10-27)；600498_2025年_年度报告</t>
        </is>
      </c>
      <c r="M30" s="9" t="inlineStr">
        <is>
          <t>https://static.cninfo.com.cn/finalpage/2026-04-25/1225178004.PDF</t>
        </is>
      </c>
    </row>
    <row r="31" ht="104" customHeight="1">
      <c r="B31" s="4" t="inlineStr">
        <is>
          <t>600522</t>
        </is>
      </c>
      <c r="C31" s="4" t="inlineStr">
        <is>
          <t>中天科技</t>
        </is>
      </c>
      <c r="D31" s="5" t="inlineStr">
        <is>
          <t>光通信：光纤光缆、光通信</t>
        </is>
      </c>
      <c r="E31" s="4" t="inlineStr">
        <is>
          <t>纠错</t>
        </is>
      </c>
      <c r="F31" s="4" t="inlineStr">
        <is>
          <t>光通信</t>
        </is>
      </c>
      <c r="G31" s="5" t="inlineStr">
        <is>
          <t>光纤预制棒与光纤、光缆与线缆</t>
        </is>
      </c>
      <c r="H31" s="4" t="inlineStr">
        <is>
          <t>核心</t>
        </is>
      </c>
      <c r="I31" s="5" t="inlineStr">
        <is>
          <t>公司光通信及网络板块以光纤预制棒、光纤、光缆和相关网络产品为基础，是实际生产销售业务，而非由电力电缆、海底线缆或新能源材料作出的概念延伸。2025年光通信及网络收入73.6985亿元，按公司营业收入约524.9986亿元计算占约14.04%；电力传输222.6381亿元、铜产品95.2108亿元、海底线缆63.4879亿元和新能源材料56.9721亿元均有独立口径，不得混入光通信。光通信虽不是最大板块，但收入体量较大且为公司长期主营之一，维持核心结论。旧“光通信”和“光纤光缆”重复且过粗，现统一细化为预制棒光纤和光缆线缆；没有在本项核验中充分确认的MPO或CPO不额外加标。</t>
        </is>
      </c>
      <c r="J31" s="4" t="inlineStr">
        <is>
          <t>江苏中天科技股份有限公司2025年年度报告</t>
        </is>
      </c>
      <c r="K31" s="4" t="inlineStr">
        <is>
          <t>2026-04-25</t>
        </is>
      </c>
      <c r="L31" s="5" t="inlineStr">
        <is>
          <t>iFinD ifind_get_stock_info + ifind_get_stock_business_segmentation (as of 2026-10-27)；江苏中天科技股份有限公司2025年年度报告</t>
        </is>
      </c>
      <c r="M31" s="6" t="inlineStr">
        <is>
          <t>https://static.cninfo.com.cn/finalpage/2026-04-25/1225177318.PDF</t>
        </is>
      </c>
    </row>
    <row r="32" ht="104" customHeight="1">
      <c r="B32" s="7" t="inlineStr">
        <is>
          <t>601869</t>
        </is>
      </c>
      <c r="C32" s="7" t="inlineStr">
        <is>
          <t>长飞光纤</t>
        </is>
      </c>
      <c r="D32" s="8" t="inlineStr">
        <is>
          <t>光通信：光纤光缆、光通信</t>
        </is>
      </c>
      <c r="E32" s="7" t="inlineStr">
        <is>
          <t>纠错</t>
        </is>
      </c>
      <c r="F32" s="7" t="inlineStr">
        <is>
          <t>光通信</t>
        </is>
      </c>
      <c r="G32" s="8" t="inlineStr">
        <is>
          <t>光纤预制棒与光纤、光缆与线缆、光器件-无源器件、光模块-数通与AI算力、MPO/MTP与高密度连接</t>
        </is>
      </c>
      <c r="H32" s="7" t="inlineStr">
        <is>
          <t>核心</t>
        </is>
      </c>
      <c r="I32" s="8" t="inlineStr">
        <is>
          <t>公司主营覆盖光纤预制棒、光纤、光缆，并延伸到光器件、光模块、有源光缆、无源预端接跳线等光互联产品，产业链位置和产品用途均直接属于光通信。2025年光通信行业收入139.8666亿元、占98.1375%；其中光传输产品83.4636亿元、光互联组件31.4386亿元，其他产品及材料销售不能全部视作同一细分业务。无论行业占比还是产品规模，均为典型核心企业。旧“光通信”与“光纤光缆”标签重复且未体现光互联业务，现按预制棒光纤、光缆、无源器件、数通光模块和高密度连接拆分；未仅因市场板块设有CPO概念就给公司追加CPO标签。</t>
        </is>
      </c>
      <c r="J32" s="7" t="inlineStr">
        <is>
          <t>长飞光纤光缆股份有限公司2025年年度报告</t>
        </is>
      </c>
      <c r="K32" s="7" t="inlineStr">
        <is>
          <t>2026-03-28</t>
        </is>
      </c>
      <c r="L32" s="8" t="inlineStr">
        <is>
          <t>iFinD ifind_get_stock_info + ifind_get_stock_business_segmentation (as of 2026-10-27)；长飞光纤光缆股份有限公司2025年年度报告</t>
        </is>
      </c>
      <c r="M32" s="9" t="inlineStr">
        <is>
          <t>https://static.cninfo.com.cn/finalpage/2026-03-28/1225048080.PDF</t>
        </is>
      </c>
    </row>
    <row r="33" ht="104" customHeight="1">
      <c r="B33" s="4" t="inlineStr">
        <is>
          <t>603042</t>
        </is>
      </c>
      <c r="C33" s="4" t="inlineStr">
        <is>
          <t>华脉科技</t>
        </is>
      </c>
      <c r="D33" s="5" t="inlineStr">
        <is>
          <t>光通信：光纤光缆</t>
        </is>
      </c>
      <c r="E33" s="4" t="inlineStr">
        <is>
          <t>纠错</t>
        </is>
      </c>
      <c r="F33" s="4" t="inlineStr">
        <is>
          <t>光通信</t>
        </is>
      </c>
      <c r="G33" s="5" t="inlineStr">
        <is>
          <t>光缆与线缆、光器件-无源器件、光连接器与陶瓷插芯</t>
        </is>
      </c>
      <c r="H33" s="4" t="inlineStr">
        <is>
          <t>核心</t>
        </is>
      </c>
      <c r="I33" s="5" t="inlineStr">
        <is>
          <t>公司实际提供ODN物理连接及保护设备、光无源器件和光缆，产品直接用于光通信网络的连接、配线、保护与接入，不是泛通信机箱机柜或无线设备的理论应用。2025年光通信网络设备制造收入7.1802亿元、占87.9587%；其中光缆类4.5493亿元、ODN网络物理连接及保护设备2.2726亿元、光无源器件0.3583亿元，光通信已经构成绝对主营。无线通信网络设备和其他业务收入不应计入光通信，但不妨碍核心认定，因此将旧“相关”上调为核心。旧“光纤光缆”只描述部分收入，现纠正为光缆、无源器件及光连接产品，ODN设备收入也未被粗暴全部解释为陶瓷插芯收入。</t>
        </is>
      </c>
      <c r="J33" s="4" t="inlineStr">
        <is>
          <t>2025年年度报告</t>
        </is>
      </c>
      <c r="K33" s="4" t="inlineStr">
        <is>
          <t>2026-04-21</t>
        </is>
      </c>
      <c r="L33" s="5" t="inlineStr">
        <is>
          <t>iFinD ifind_get_stock_info + ifind_get_stock_business_segmentation (as of 2026-10-27)；2025年年度报告</t>
        </is>
      </c>
      <c r="M33" s="6" t="inlineStr">
        <is>
          <t>https://static.cninfo.com.cn/finalpage/2026-04-21/1225128377.PDF</t>
        </is>
      </c>
    </row>
    <row r="34" ht="104" customHeight="1">
      <c r="B34" s="7" t="inlineStr">
        <is>
          <t>603083</t>
        </is>
      </c>
      <c r="C34" s="7" t="inlineStr">
        <is>
          <t>剑桥科技</t>
        </is>
      </c>
      <c r="D34" s="8" t="inlineStr">
        <is>
          <t>光通信：光模块/CPO、光通信</t>
        </is>
      </c>
      <c r="E34" s="7" t="inlineStr">
        <is>
          <t>纠错</t>
        </is>
      </c>
      <c r="F34" s="7" t="inlineStr">
        <is>
          <t>光通信</t>
        </is>
      </c>
      <c r="G34" s="8" t="inlineStr">
        <is>
          <t>光模块-数通与AI算力、光模块-电信与传输</t>
        </is>
      </c>
      <c r="H34" s="7" t="inlineStr">
        <is>
          <t>核心</t>
        </is>
      </c>
      <c r="I34" s="8" t="inlineStr">
        <is>
          <t>公司真实产品包括高速光组件与光模块，同时经营电信宽带终端、无线网络设备，光模块面向数据中心高速互联和电信传输场景，是直接的光通信产品而非一般ICT终端外推。2025年高速光组件与光模块收入16.7538亿元，占营业收入约48.2341亿元的34.74%，已经形成重要且规模化的收入来源；电信宽带终端19.9241亿元和无线网络设备11.5396亿元不能全部并入光模块收入。公司光模块业务占比和绝对规模均支持核心结论。旧“光模块/CPO”把两个概念捆绑，现纠正为数通与AI算力、电信与传输两类光模块；本次未以行业板块标签代替公司CPO产品证据，故不单独追加CPO概念。</t>
        </is>
      </c>
      <c r="J34" s="7" t="inlineStr">
        <is>
          <t>2025年年度报告</t>
        </is>
      </c>
      <c r="K34" s="7" t="inlineStr">
        <is>
          <t>2026-03-31</t>
        </is>
      </c>
      <c r="L34" s="8" t="inlineStr">
        <is>
          <t>iFinD ifind_get_stock_info + ifind_get_stock_business_segmentation (as of 2026-10-27)；2025年年度报告</t>
        </is>
      </c>
      <c r="M34" s="9" t="inlineStr">
        <is>
          <t>https://static.cninfo.com.cn/finalpage/2026-03-31/1225053610.PDF</t>
        </is>
      </c>
    </row>
    <row r="35" ht="104" customHeight="1">
      <c r="B35" s="4" t="inlineStr">
        <is>
          <t>603220</t>
        </is>
      </c>
      <c r="C35" s="4" t="inlineStr">
        <is>
          <t>中贝通信</t>
        </is>
      </c>
      <c r="D35" s="5" t="inlineStr">
        <is>
          <t>光通信：光纤光缆、算力租赁</t>
        </is>
      </c>
      <c r="E35" s="4" t="inlineStr">
        <is>
          <t>纠错</t>
        </is>
      </c>
      <c r="F35" s="4" t="inlineStr">
        <is>
          <t>光通信</t>
        </is>
      </c>
      <c r="G35" s="5" t="inlineStr">
        <is>
          <t>光网络系统与工程服务</t>
        </is>
      </c>
      <c r="H35" s="4" t="inlineStr">
        <is>
          <t>核心</t>
        </is>
      </c>
      <c r="I35" s="5" t="inlineStr">
        <is>
          <t>公司真实主业是通信网络建设、规划设计、优化维护和通信信息化集成，其中5G新基建包含通信网络及配套光网络工程建设，与光通信的关系在工程实施和网络服务层，而不是生产光纤光缆或MPO产品。2025年5G新基建收入17.7589亿元，占营业收入约32.4551亿元的54.72%，智算业务6.1983亿元、智慧城市及其他8.2474亿元；智算租赁不能计作光通信收入，5G新基建也含无线和配套工程，不能全额等同纯光网络收入。尽管存在这一不可拆分边界，通信网络工程仍为主体且光网络建设是其实际组成，故核心认定保留在“光网络系统与工程服务”。旧“光纤光缆”和MPO暗示制造属性，属于需要纠正的错位标签。</t>
        </is>
      </c>
      <c r="J35" s="4" t="inlineStr">
        <is>
          <t>2025年年度报告</t>
        </is>
      </c>
      <c r="K35" s="4" t="inlineStr">
        <is>
          <t>2026-04-23</t>
        </is>
      </c>
      <c r="L35" s="5" t="inlineStr">
        <is>
          <t>iFinD ifind_get_stock_info + ifind_get_stock_business_segmentation (as of 2026-10-27)；2025年年度报告</t>
        </is>
      </c>
      <c r="M35" s="6" t="inlineStr">
        <is>
          <t>https://static.cninfo.com.cn/finalpage/2026-04-23/1225145508.PDF</t>
        </is>
      </c>
    </row>
    <row r="36" ht="104" customHeight="1">
      <c r="B36" s="7" t="inlineStr">
        <is>
          <t>603738</t>
        </is>
      </c>
      <c r="C36" s="7" t="inlineStr">
        <is>
          <t>泰晶科技</t>
        </is>
      </c>
      <c r="D36" s="8" t="inlineStr">
        <is>
          <t>光通信：石英晶振</t>
        </is>
      </c>
      <c r="E36" s="7" t="inlineStr">
        <is>
          <t>纠错</t>
        </is>
      </c>
      <c r="F36" s="7" t="inlineStr">
        <is>
          <t>光通信</t>
        </is>
      </c>
      <c r="G36" s="8" t="inlineStr">
        <is>
          <t>时钟晶振与频率器件</t>
        </is>
      </c>
      <c r="H36" s="7" t="inlineStr">
        <is>
          <t>相关</t>
        </is>
      </c>
      <c r="I36" s="8" t="inlineStr">
        <is>
          <t>公司生产石英晶体谐振器和振荡器，年报明确其超高频产品已面向光模块等场景稳定量产，80MHz、96MHz、100MHz、156.25MHz、212.5MHz及312.5MHz以上产品已批量供货，并围绕光通信和服务器开展国产替代配套，属于经过实际应用核验的频率器件，而非仅凭晶振通用性联想。2025年晶体谐振器收入9.0684亿元、占96.0900%，但该产品同时服务汽车、物联网、工业控制、网络通信等众多终端，无法拆出光模块专用收入，也不能把全部谐振器收入算作光通信。光通信是多个下游之一且占比未披露，故维持相关；旧“石英晶振”细化为时钟晶振与频率器件，CPO行业标签不等于公司具有CPO产品。</t>
        </is>
      </c>
      <c r="J36" s="7" t="inlineStr">
        <is>
          <t>泰晶科技股份有限公司2025年年度报告</t>
        </is>
      </c>
      <c r="K36" s="7" t="inlineStr">
        <is>
          <t>2026-04-23</t>
        </is>
      </c>
      <c r="L36" s="8" t="inlineStr">
        <is>
          <t>iFinD ifind_get_stock_info + ifind_get_stock_business_segmentation (as of 2026-10-27)；泰晶科技股份有限公司2025年年度报告</t>
        </is>
      </c>
      <c r="M36" s="9" t="inlineStr">
        <is>
          <t>https://static.cninfo.com.cn/finalpage/2026-04-23/1225150620.PDF</t>
        </is>
      </c>
    </row>
    <row r="37" ht="104" customHeight="1">
      <c r="B37" s="4" t="inlineStr">
        <is>
          <t>688025</t>
        </is>
      </c>
      <c r="C37" s="4" t="inlineStr">
        <is>
          <t>杰普特</t>
        </is>
      </c>
      <c r="D37" s="5" t="inlineStr">
        <is>
          <t>光通信：设备、光通信</t>
        </is>
      </c>
      <c r="E37" s="4" t="inlineStr">
        <is>
          <t>纠错</t>
        </is>
      </c>
      <c r="F37" s="4" t="inlineStr">
        <is>
          <t>光通信</t>
        </is>
      </c>
      <c r="G37" s="5" t="inlineStr">
        <is>
          <t>MPO/MTP与高密度连接、光器件-无源器件、光通信设备-测试与生产</t>
        </is>
      </c>
      <c r="H37" s="4" t="inlineStr">
        <is>
          <t>相关</t>
        </is>
      </c>
      <c r="I37" s="5" t="inlineStr">
        <is>
          <t>公司除工业激光器和光学智能装备外，已实际推出用于数据中心光连接的MPO/MMC光纤连接器、光纤阵列单元FAU及光纤组件，并具有硅光晶圆测试系统等装备，不能简单按“只有工业激光”摘除。2025年光纤器件收入1.4304亿元，占营业收入20.7402亿元的约6.90%，同比增长560.42%，说明业务已放量但当前占比仍有限；激光器收入10.1307亿元和激光光学智能装备7.2955亿元不能全部归入光通信。鉴于光通信器件已形成真实批量收入、但尚非公司主要收入支柱，将旧“核心”下调为相关。旧“设备”和泛“光通信”纠正为MPO高密度连接、无源器件及测试生产设备，FAU面向未来CPO的应用不等于公司已有完整CPO产品。</t>
        </is>
      </c>
      <c r="J37" s="4" t="inlineStr">
        <is>
          <t>深圳市杰普特光电股份有限公司2025年年度报告</t>
        </is>
      </c>
      <c r="K37" s="4" t="inlineStr">
        <is>
          <t>2026-03-28</t>
        </is>
      </c>
      <c r="L37" s="5" t="inlineStr">
        <is>
          <t>iFinD ifind_get_stock_info + ifind_get_stock_business_segmentation (as of 2026-10-27)；深圳市杰普特光电股份有限公司2025年年度报告</t>
        </is>
      </c>
      <c r="M37" s="6" t="inlineStr">
        <is>
          <t>https://static.cninfo.com.cn/finalpage/2026-03-28/1225048090.PDF</t>
        </is>
      </c>
    </row>
    <row r="38" ht="104" customHeight="1">
      <c r="B38" s="7" t="inlineStr">
        <is>
          <t>688048</t>
        </is>
      </c>
      <c r="C38" s="7" t="inlineStr">
        <is>
          <t>长光华芯</t>
        </is>
      </c>
      <c r="D38" s="8" t="inlineStr">
        <is>
          <t>光通信：光芯片、股权相关</t>
        </is>
      </c>
      <c r="E38" s="7" t="inlineStr">
        <is>
          <t>纠错</t>
        </is>
      </c>
      <c r="F38" s="7" t="inlineStr">
        <is>
          <t>光通信</t>
        </is>
      </c>
      <c r="G38" s="8" t="inlineStr">
        <is>
          <t>光芯片-激光器与探测器、CPO与硅光集成</t>
        </is>
      </c>
      <c r="H38" s="7" t="inlineStr">
        <is>
          <t>相关</t>
        </is>
      </c>
      <c r="I38" s="8" t="inlineStr">
        <is>
          <t>公司并非只有高功率工业激光芯片，年报明确已形成VCSEL、DFB、EML、PIN四类光通信芯片矩阵，光通信业务获得终端客户认可并批量出货；同时通过星钥光子布局硅光集成，但项目仍处建设期，预计2026年底通线试运行。2025年VCSEL及光通讯芯片系列收入0.4119亿元，占营业收入4.7738亿元的约8.63%，该分部还混合了激光雷达、3D传感等VCSEL用途，不能把全部收入算作光通信；高功率单管和巴条合计4.1543亿元则主要属于工业激光。基于真实通信芯片批量供货但收入较低且不可拆分，维持相关而非核心。旧“光芯片”细化为激光器与探测器，CPO仅对应明确硅光布局，不代表已形成CPO规模收入。</t>
        </is>
      </c>
      <c r="J38" s="7" t="inlineStr">
        <is>
          <t>2025年年度报告</t>
        </is>
      </c>
      <c r="K38" s="7" t="inlineStr">
        <is>
          <t>2026-04-18</t>
        </is>
      </c>
      <c r="L38" s="8" t="inlineStr">
        <is>
          <t>iFinD ifind_get_stock_info + ifind_get_stock_business_segmentation (as of 2026-10-27)；2025年年度报告</t>
        </is>
      </c>
      <c r="M38" s="9" t="inlineStr">
        <is>
          <t>https://static.cninfo.com.cn/finalpage/2026-04-18/1225123248.PDF</t>
        </is>
      </c>
    </row>
    <row r="39" ht="104" customHeight="1">
      <c r="B39" s="4" t="inlineStr">
        <is>
          <t>688090</t>
        </is>
      </c>
      <c r="C39" s="4" t="inlineStr">
        <is>
          <t>瑞松科技</t>
        </is>
      </c>
      <c r="D39" s="5" t="inlineStr">
        <is>
          <t>光通信：设备</t>
        </is>
      </c>
      <c r="E39" s="4" t="inlineStr">
        <is>
          <t>纠错</t>
        </is>
      </c>
      <c r="F39" s="4" t="inlineStr">
        <is>
          <t>光通信</t>
        </is>
      </c>
      <c r="G39" s="5" t="inlineStr">
        <is>
          <t>光通信设备-测试与生产</t>
        </is>
      </c>
      <c r="H39" s="4" t="inlineStr">
        <is>
          <t>相关</t>
        </is>
      </c>
      <c r="I39" s="5" t="inlineStr">
        <is>
          <t>公司主体确实是机器人与智能制造，但并非毫无光通信落地：2025年报明确已取得全球连接器龙头企业供应资质，为客户开发的MPO光纤跳线自动化生产设备已通过技术验证，可满足12芯及16芯跳线共线生产，光纤准直器Pigtail、FA-MT设备仍在开发。2025年机器人自动化生产线收入7.7730亿元、机器人工作站0.8433亿元、配件及其他0.8195亿元，通用设备制造占99.8611%，年报未单列光通信设备收入，不能把上述混合收入归入光通信。由于已有真实专用设备和客户验证、但仍处早期且非主营收入支柱，定为相关而不是摘除或核心。旧笼统“设备”纠正为光通信测试与生产设备，同时明确其机器人民品主业边界。</t>
        </is>
      </c>
      <c r="J39" s="4" t="inlineStr">
        <is>
          <t>2025年年度报告</t>
        </is>
      </c>
      <c r="K39" s="4" t="inlineStr">
        <is>
          <t>2026-04-28</t>
        </is>
      </c>
      <c r="L39" s="5" t="inlineStr">
        <is>
          <t>iFinD ifind_get_stock_info + ifind_get_stock_business_segmentation (as of 2026-10-27)；2025年年度报告</t>
        </is>
      </c>
      <c r="M39" s="6" t="inlineStr">
        <is>
          <t>https://static.cninfo.com.cn/finalpage/2026-04-28/1225221109.PDF</t>
        </is>
      </c>
    </row>
    <row r="40" ht="104" customHeight="1">
      <c r="B40" s="7" t="inlineStr">
        <is>
          <t>688143</t>
        </is>
      </c>
      <c r="C40" s="7" t="inlineStr">
        <is>
          <t>长盈通</t>
        </is>
      </c>
      <c r="D40" s="8" t="inlineStr">
        <is>
          <t>光通信：光纤光缆</t>
        </is>
      </c>
      <c r="E40" s="7" t="inlineStr">
        <is>
          <t>纠错</t>
        </is>
      </c>
      <c r="F40" s="7" t="inlineStr">
        <is>
          <t>光通信</t>
        </is>
      </c>
      <c r="G40" s="8" t="inlineStr">
        <is>
          <t>特种光纤与光纤环</t>
        </is>
      </c>
      <c r="H40" s="7" t="inlineStr">
        <is>
          <t>相关</t>
        </is>
      </c>
      <c r="I40" s="8" t="inlineStr">
        <is>
          <t>公司主营首先是光纤陀螺核心器件光纤环，面向惯性导航和国防应用，不能因产品含“光纤”就把全部收入视为光通信。其真实通信相关产品包括通信延时环、OM2至OM4系列弯曲不敏感多模光纤及抗弯型器件保偏光纤，年报明确用于光信号延时、局域网、数据中心、板卡或芯片连接，因此具备保留依据。2025年光纤环器件收入2.0096亿元、特种光纤0.7874亿元，分别占营业收入约50.49%和19.78%，但两类收入均混合陀螺、水听、激光、传感与通信用途，通信延时环和通信用多模光纤没有单独收入。故将旧“核心”下调为相关，旧“光纤光缆”纠正为特种光纤与光纤环，避免把军工惯导主业错算为光通信。</t>
        </is>
      </c>
      <c r="J40" s="7" t="inlineStr">
        <is>
          <t>2025年年度报告</t>
        </is>
      </c>
      <c r="K40" s="7" t="inlineStr">
        <is>
          <t>2026-04-29</t>
        </is>
      </c>
      <c r="L40" s="8" t="inlineStr">
        <is>
          <t>iFinD ifind_get_stock_info + ifind_get_stock_business_segmentation (as of 2026-10-27)；2025年年度报告</t>
        </is>
      </c>
      <c r="M40" s="9" t="inlineStr">
        <is>
          <t>https://static.cninfo.com.cn/finalpage/2026-04-29/1225230072.PDF</t>
        </is>
      </c>
    </row>
    <row r="41" ht="104" customHeight="1">
      <c r="B41" s="4" t="inlineStr">
        <is>
          <t>688205</t>
        </is>
      </c>
      <c r="C41" s="4" t="inlineStr">
        <is>
          <t>德科立</t>
        </is>
      </c>
      <c r="D41" s="5" t="inlineStr">
        <is>
          <t>光通信：光模块/CPO</t>
        </is>
      </c>
      <c r="E41" s="4" t="inlineStr">
        <is>
          <t>纠错</t>
        </is>
      </c>
      <c r="F41" s="4" t="inlineStr">
        <is>
          <t>光通信</t>
        </is>
      </c>
      <c r="G41" s="5" t="inlineStr">
        <is>
          <t>光模块-电信与传输、光模块-数通与AI算力、光器件-有源器件、光传输与接入设备</t>
        </is>
      </c>
      <c r="H41" s="4" t="inlineStr">
        <is>
          <t>核心</t>
        </is>
      </c>
      <c r="I41" s="5" t="inlineStr">
        <is>
          <t>公司主营光收发模块、光放大器和光传输子系统，产品按应用分为传输类、接入和数据类，直接服务电信光传输、宽带接入及数据中心互联，属于有源光器件和光模块厂商。2025年主营业务收入9.1977亿元，占营业收入9.3379亿元的98.4981%；其中传输类6.3804亿元、接入和数据类2.8172亿元，两项均直接对应光通信，其他业务0.1402亿元不计入核心产品。收入结构和主营产品均充分支持核心结论。旧“光模块/CPO”捆绑过粗，现拆为电信传输、数通光模块、有源器件和传输接入设备；本次没有以DCI、光放大器或高速模块业务自动推导完整CPO产品，因此不额外添加CPO标签。</t>
        </is>
      </c>
      <c r="J41" s="4" t="inlineStr">
        <is>
          <t>德科立：2025年年度报告</t>
        </is>
      </c>
      <c r="K41" s="4" t="inlineStr">
        <is>
          <t>2026-03-31</t>
        </is>
      </c>
      <c r="L41" s="5" t="inlineStr">
        <is>
          <t>iFinD ifind_get_stock_info + ifind_get_stock_business_segmentation (as of 2026-10-27)；德科立：2025年年度报告</t>
        </is>
      </c>
      <c r="M41" s="6" t="inlineStr">
        <is>
          <t>https://money.finance.sina.com.cn/corp/view/vCB_AllBulletinDetail.php?stockid=688205&amp;id=12048381</t>
        </is>
      </c>
    </row>
    <row r="42" ht="104" customHeight="1">
      <c r="B42" s="7" t="inlineStr">
        <is>
          <t>688313</t>
        </is>
      </c>
      <c r="C42" s="7" t="inlineStr">
        <is>
          <t>仕佳光子</t>
        </is>
      </c>
      <c r="D42" s="8" t="inlineStr">
        <is>
          <t>光通信：光芯片</t>
        </is>
      </c>
      <c r="E42" s="7" t="inlineStr">
        <is>
          <t>纠错</t>
        </is>
      </c>
      <c r="F42" s="7" t="inlineStr">
        <is>
          <t>光通信</t>
        </is>
      </c>
      <c r="G42" s="8" t="inlineStr">
        <is>
          <t>光芯片-PLC与AWG、光芯片-激光器与探测器、光连接器与陶瓷插芯、光缆与线缆</t>
        </is>
      </c>
      <c r="H42" s="7" t="inlineStr">
        <is>
          <t>核心</t>
        </is>
      </c>
      <c r="I42" s="8" t="inlineStr">
        <is>
          <t>公司主营由光芯片及器件、光纤连接器跳线、室内光缆和线缆材料构成，真实产品包括PLC分路器、AWG芯片系列、DFB激光器芯片及光纤连接产品，覆盖无源和有源光通信环节。2025年光通信行业收入20.9815亿元、占98.5451%；其中光纤连接器跳线8.5514亿元、AWG芯片系列5.4526亿元、室内光缆2.5574亿元、DFB激光器芯片0.8418亿元，已经形成多产品规模化收入。线缆材料2.5139亿元不能直接全部视作光器件收入，但行业分部已足以说明光通信为绝对主营，核心结论不变。旧“光芯片”和“插芯”拆分不全，现分别落实到PLC/AWG、激光器芯片、光连接和室内光缆，不因CPO板块概念再作无证据加标。</t>
        </is>
      </c>
      <c r="J42" s="7" t="inlineStr">
        <is>
          <t>2025年年度报告</t>
        </is>
      </c>
      <c r="K42" s="7" t="inlineStr">
        <is>
          <t>2026-04-18</t>
        </is>
      </c>
      <c r="L42" s="8" t="inlineStr">
        <is>
          <t>iFinD ifind_get_stock_info + ifind_get_stock_business_segmentation (as of 2026-10-27)；2025年年度报告</t>
        </is>
      </c>
      <c r="M42" s="9" t="inlineStr">
        <is>
          <t>https://static.cninfo.com.cn/finalpage/2026-04-18/1225122538.PDF</t>
        </is>
      </c>
    </row>
    <row r="43" ht="104" customHeight="1">
      <c r="B43" s="4" t="inlineStr">
        <is>
          <t>688498</t>
        </is>
      </c>
      <c r="C43" s="4" t="inlineStr">
        <is>
          <t>源杰科技</t>
        </is>
      </c>
      <c r="D43" s="5" t="inlineStr">
        <is>
          <t>光通信：光芯片</t>
        </is>
      </c>
      <c r="E43" s="4" t="inlineStr">
        <is>
          <t>纠错</t>
        </is>
      </c>
      <c r="F43" s="4" t="inlineStr">
        <is>
          <t>光通信</t>
        </is>
      </c>
      <c r="G43" s="5" t="inlineStr">
        <is>
          <t>光芯片-激光器与探测器</t>
        </is>
      </c>
      <c r="H43" s="4" t="inlineStr">
        <is>
          <t>核心</t>
        </is>
      </c>
      <c r="I43" s="5" t="inlineStr">
        <is>
          <t>公司专门从事光芯片研发、设计、生产与销售，产品为光通信所需的激光器和探测器芯片，数据中心类和电信市场类收入均来自实际光通信芯片销售，不是泛半导体或汽车芯片概念外推。2025年光芯片行业收入6.0081亿元、占99.8957%；其中数据中心类产品3.9326亿元、电信市场类2.0647亿元，其他类产品和其他业务合计占比很小。数据中心类已成为主要收入来源，电信类亦形成规模，故核心结论明确。旧“光芯片”虽然方向正确但过于粗略，现纠正为激光器与探测器这一具体二级概念；未因公司处于CPO概念板块就把全部光芯片业务标为CPO或硅光集成，收入也没有被重复归到多个细分产品。</t>
        </is>
      </c>
      <c r="J43" s="4" t="inlineStr">
        <is>
          <t>陕西源杰半导体科技股份有限公司2025年年度报告</t>
        </is>
      </c>
      <c r="K43" s="4" t="inlineStr">
        <is>
          <t>2026-03-25</t>
        </is>
      </c>
      <c r="L43" s="5" t="inlineStr">
        <is>
          <t>iFinD ifind_get_stock_info + ifind_get_stock_business_segmentation (as of 2026-10-27)；陕西源杰半导体科技股份有限公司2025年年度报告</t>
        </is>
      </c>
      <c r="M43" s="6" t="inlineStr">
        <is>
          <t>https://static.cninfo.com.cn/finalpage/2026-03-25/1225028582.PDF</t>
        </is>
      </c>
    </row>
    <row r="44" ht="104" customHeight="1">
      <c r="B44" s="7" t="inlineStr">
        <is>
          <t>688629</t>
        </is>
      </c>
      <c r="C44" s="7" t="inlineStr">
        <is>
          <t>华丰科技</t>
        </is>
      </c>
      <c r="D44" s="8" t="inlineStr">
        <is>
          <t>光通信：MPO/连接器、连接器</t>
        </is>
      </c>
      <c r="E44" s="7" t="inlineStr">
        <is>
          <t>纠错</t>
        </is>
      </c>
      <c r="F44" s="7" t="inlineStr">
        <is>
          <t>光通信</t>
        </is>
      </c>
      <c r="G44" s="8" t="inlineStr">
        <is>
          <t>光连接器与陶瓷插芯、MPO/MTP与高密度连接</t>
        </is>
      </c>
      <c r="H44" s="7" t="inlineStr">
        <is>
          <t>相关</t>
        </is>
      </c>
      <c r="I44" s="8" t="inlineStr">
        <is>
          <t>公司实际拥有特种光连接器系列研发项目，可与MT、MPO、LC等搭配组装，明确用于高速光模块核心器件和光互联系统传输，同时开展高密度多通道光电传输模块研究，具备真实光通信产品布局。其主体仍是防务、工业和高速电连接器，不能把经营范围中的光通信设备制造或全部“高速连接器”都当成光通信。2025年连接器行业收入24.9852亿元、占98.8444%，组件、连接器和系统互连产品收入未按光电用途及下游行业拆分，因此无法给出光通信收入或占比，也不能把24.9852亿元全算进去。鉴于光连接产品仍有研发属性、收入未形成可核验重要占比，将旧“核心”下调为相关；旧泛化“MPO/连接器”纠正为光连接和MPO高密度连接。</t>
        </is>
      </c>
      <c r="J44" s="7" t="inlineStr">
        <is>
          <t>2025年年度报告</t>
        </is>
      </c>
      <c r="K44" s="7" t="inlineStr">
        <is>
          <t>2026-04-15</t>
        </is>
      </c>
      <c r="L44" s="8" t="inlineStr">
        <is>
          <t>iFinD ifind_get_stock_info + ifind_get_stock_business_segmentation (as of 2026-10-27)；2025年年度报告</t>
        </is>
      </c>
      <c r="M44" s="9" t="inlineStr">
        <is>
          <t>https://static.cninfo.com.cn/finalpage/2026-04-15/1225103081.PDF</t>
        </is>
      </c>
    </row>
    <row r="45" ht="104" customHeight="1">
      <c r="B45" s="4" t="inlineStr">
        <is>
          <t>688635</t>
        </is>
      </c>
      <c r="C45" s="4" t="inlineStr">
        <is>
          <t>长进光子</t>
        </is>
      </c>
      <c r="D45" s="5" t="inlineStr">
        <is>
          <t>光通信：光纤光缆</t>
        </is>
      </c>
      <c r="E45" s="4" t="inlineStr">
        <is>
          <t>纠错</t>
        </is>
      </c>
      <c r="F45" s="4" t="inlineStr">
        <is>
          <t>光通信</t>
        </is>
      </c>
      <c r="G45" s="5" t="inlineStr">
        <is>
          <t>特种光纤与光纤环</t>
        </is>
      </c>
      <c r="H45" s="4" t="inlineStr">
        <is>
          <t>相关</t>
        </is>
      </c>
      <c r="I45" s="5" t="inlineStr">
        <is>
          <t>公司真实主营为掺稀土和传能等特种光纤，光通信落点是超宽带L波段掺铒光纤，招股书明确已批量销售并用于400G光传输网，抗辐照掺稀土光纤在空间激光通信仅小批量供货，不能把这些阶段混为一谈。2025年掺稀土光纤收入2.1816亿元、占主营收入88.80%，其中掺镱光纤1.1051亿元、占44.98%且主要面向先进制造光纤激光器；先进制造与光通信合计收入超过80%的披露无法拆出纯光通信金额。传能光纤和其他特种光纤也不能全部归入通信。由于通信产品真实且已批量，但公司最大产品和主要下游仍含大量工业激光，收入边界不足，将旧“核心”下调为相关，旧“光纤光缆”纠正为特种光纤与光纤环。</t>
        </is>
      </c>
      <c r="J45" s="4" t="inlineStr">
        <is>
          <t>长进光子：首次公开发行股票并在科创板上市招股说明书</t>
        </is>
      </c>
      <c r="K45" s="4" t="inlineStr">
        <is>
          <t>2026-05-22</t>
        </is>
      </c>
      <c r="L45" s="5" t="inlineStr">
        <is>
          <t>iFinD ifind_get_stock_info + ifind_get_stock_business_segmentation (as of 2026-10-27)；长进光子：首次公开发行股票并在科创板上市招股说明书</t>
        </is>
      </c>
      <c r="M45" s="6" t="inlineStr">
        <is>
          <t>http://vip.stock.finance.sina.com.cn/corp/view/vCB_AllBulletinDetail.php?stockid=688635&amp;id=12344642</t>
        </is>
      </c>
    </row>
    <row r="46" ht="104" customHeight="1">
      <c r="B46" s="7" t="inlineStr">
        <is>
          <t>920045</t>
        </is>
      </c>
      <c r="C46" s="7" t="inlineStr">
        <is>
          <t>蘅东光</t>
        </is>
      </c>
      <c r="D46" s="8" t="inlineStr">
        <is>
          <t>光通信：光器件</t>
        </is>
      </c>
      <c r="E46" s="7" t="inlineStr">
        <is>
          <t>纠错</t>
        </is>
      </c>
      <c r="F46" s="7" t="inlineStr">
        <is>
          <t>光通信</t>
        </is>
      </c>
      <c r="G46" s="8" t="inlineStr">
        <is>
          <t>光器件-无源器件、MPO/MTP与高密度连接、光连接器与陶瓷插芯、CPO与硅光集成</t>
        </is>
      </c>
      <c r="H46" s="7" t="inlineStr">
        <is>
          <t>核心</t>
        </is>
      </c>
      <c r="I46" s="8" t="inlineStr">
        <is>
          <t>公司主营就是光通信无源光器件，真实产品包括光纤连接器、Shuffle光纤柔性线路、配线管理、多光纤并行及波分复用无源内连器件；MT-FA产品可与硅光芯片耦合，PM MT-FA可与交换机芯片共封装，具有明确CPO无源内连产品，不是仅凭硅光趋势加标。iFinD所列2025年无源光器件收入19.6325亿元，配套产品2.5252亿元，按合计22.1577亿元计算无源器件占约88.60%，主营高度集中。配套及其他产品含光缆和连接器注塑零部件，不能全部并入核心无源器件收入，但不影响核心认定。旧“光器件”过于笼统，现细化为无源器件、MPO高密度连接、光连接和真实硅光/CPO内连布局。</t>
        </is>
      </c>
      <c r="J46" s="7" t="inlineStr">
        <is>
          <t>蘅东光：招股说明书</t>
        </is>
      </c>
      <c r="K46" s="7" t="inlineStr">
        <is>
          <t>2025-12-19</t>
        </is>
      </c>
      <c r="L46" s="8" t="inlineStr">
        <is>
          <t>iFinD ifind_get_stock_info + ifind_get_stock_business_segmentation (as of 2026-10-27)；蘅东光：招股说明书</t>
        </is>
      </c>
      <c r="M46" s="9" t="inlineStr">
        <is>
          <t>https://money.finance.sina.com.cn/corp/view/vCB_AllBulletinDetail.php?stockid=920045&amp;id=11861167</t>
        </is>
      </c>
    </row>
  </sheetData>
  <autoFilter ref="B4:M46"/>
  <mergeCells count="2">
    <mergeCell ref="B3:M3"/>
    <mergeCell ref="B2:M2"/>
  </mergeCell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B2:M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2" customWidth="1" min="2" max="2"/>
    <col width="14" customWidth="1" min="3" max="3"/>
    <col width="40" customWidth="1" min="4" max="4"/>
    <col width="10" customWidth="1" min="5" max="5"/>
    <col width="16" customWidth="1" min="6" max="6"/>
    <col width="60" customWidth="1" min="7" max="7"/>
    <col width="10" customWidth="1" min="8" max="8"/>
    <col width="125" customWidth="1" min="9" max="9"/>
    <col width="52" customWidth="1" min="10" max="10"/>
    <col width="14" customWidth="1" min="11" max="11"/>
    <col width="62" customWidth="1" min="12" max="12"/>
    <col width="82" customWidth="1" min="13" max="13"/>
  </cols>
  <sheetData>
    <row r="2" ht="32" customHeight="1">
      <c r="B2" s="1" t="inlineStr">
        <is>
          <t>摘除清单 · 3只证据不足或业务错标</t>
        </is>
      </c>
    </row>
    <row r="3">
      <c r="B3" s="2" t="inlineStr">
        <is>
          <t>通用产品潜在用途、央企背景、SpaceX预期、太空光伏设备及未决投资不直接计入光通信。</t>
        </is>
      </c>
    </row>
    <row r="4">
      <c r="B4" s="3" t="inlineStr">
        <is>
          <t>代码</t>
        </is>
      </c>
      <c r="C4" s="3" t="inlineStr">
        <is>
          <t>名称</t>
        </is>
      </c>
      <c r="D4" s="3" t="inlineStr">
        <is>
          <t>旧光通信概念</t>
        </is>
      </c>
      <c r="E4" s="3" t="inlineStr">
        <is>
          <t>动作</t>
        </is>
      </c>
      <c r="F4" s="3" t="inlineStr">
        <is>
          <t>新一级分类</t>
        </is>
      </c>
      <c r="G4" s="3" t="inlineStr">
        <is>
          <t>新概念</t>
        </is>
      </c>
      <c r="H4" s="3" t="inlineStr">
        <is>
          <t>判词</t>
        </is>
      </c>
      <c r="I4" s="3" t="inlineStr">
        <is>
          <t>详细理由</t>
        </is>
      </c>
      <c r="J4" s="3" t="inlineStr">
        <is>
          <t>证据名称</t>
        </is>
      </c>
      <c r="K4" s="3" t="inlineStr">
        <is>
          <t>证据日期</t>
        </is>
      </c>
      <c r="L4" s="3" t="inlineStr">
        <is>
          <t>Source Name</t>
        </is>
      </c>
      <c r="M4" s="3" t="inlineStr">
        <is>
          <t>Source URL</t>
        </is>
      </c>
    </row>
    <row r="5" ht="104" customHeight="1">
      <c r="B5" s="4" t="inlineStr">
        <is>
          <t>002199</t>
        </is>
      </c>
      <c r="C5" s="4" t="inlineStr">
        <is>
          <t>东晶电子</t>
        </is>
      </c>
      <c r="D5" s="5" t="inlineStr">
        <is>
          <t>光通信：石英晶振</t>
        </is>
      </c>
      <c r="E5" s="4" t="inlineStr">
        <is>
          <t>摘除</t>
        </is>
      </c>
      <c r="F5" s="4" t="inlineStr">
        <is>
          <t>—</t>
        </is>
      </c>
      <c r="G5" s="5" t="inlineStr">
        <is>
          <t>—</t>
        </is>
      </c>
      <c r="H5" s="4" t="inlineStr">
        <is>
          <t>摘除</t>
        </is>
      </c>
      <c r="I5" s="5" t="inlineStr">
        <is>
          <t>公司主营石英晶体谐振器和振荡器，产品确实可广泛用于通讯、消费电子、汽车电子等领域，但2025年年报没有将光模块或光通信列作专门用途，也没有披露光通信客户、订单或对应产品收入。2025年石英晶体元器件收入2.4086亿元，总收入3.5527亿元，占比约67.79%，其中谐振器2.3593亿元、振荡器493.35万元；这些数字证明的是通用晶振主业，不能转换成光通信收入，光通信占比亦无法可靠拆分。通用电子元器件在理论上能够进入某种设备，不足以证明已经形成可识别产业暴露，因此本次应摘除旧“时钟晶振与频率器件”标签，不保留任何光通信二级概念，纠错点是消除由潜在用途推导现实业务的误判。</t>
        </is>
      </c>
      <c r="J5" s="4" t="inlineStr">
        <is>
          <t>*ST东晶：2025年年度报告摘要</t>
        </is>
      </c>
      <c r="K5" s="4" t="inlineStr">
        <is>
          <t>2026-04-28</t>
        </is>
      </c>
      <c r="L5" s="5" t="inlineStr">
        <is>
          <t>iFinD ifind_get_stock_info + ifind_get_stock_business_segmentation (as of 2026-10-27)；*ST东晶：2025年年度报告摘要</t>
        </is>
      </c>
      <c r="M5" s="6" t="inlineStr">
        <is>
          <t>http://money.finance.sina.com.cn/corp/view/vCB_AllBulletinDetail.php?stockid=002199&amp;id=12233410</t>
        </is>
      </c>
    </row>
    <row r="6" ht="104" customHeight="1">
      <c r="B6" s="7" t="inlineStr">
        <is>
          <t>600345</t>
        </is>
      </c>
      <c r="C6" s="7" t="inlineStr">
        <is>
          <t>长江通信</t>
        </is>
      </c>
      <c r="D6" s="8" t="inlineStr">
        <is>
          <t>光通信：光纤光缆、千帆星座</t>
        </is>
      </c>
      <c r="E6" s="7" t="inlineStr">
        <is>
          <t>摘除</t>
        </is>
      </c>
      <c r="F6" s="7" t="inlineStr">
        <is>
          <t>—</t>
        </is>
      </c>
      <c r="G6" s="8" t="inlineStr">
        <is>
          <t>—</t>
        </is>
      </c>
      <c r="H6" s="7" t="inlineStr">
        <is>
          <t>摘除</t>
        </is>
      </c>
      <c r="I6" s="8" t="inlineStr">
        <is>
          <t>公司当前真实产品为智慧应急通信与指挥、排队调度机、应急通信网关、消防应急指挥终端、卫星定位终端及智慧城市运营系统，主要服务公安、应急和城运指挥场景，并未披露光纤、光缆、光模块、光器件或光传输设备的生产销售。2025年信息技术服务收入9.9526亿元、占97.4302%，其中系统集成9.2178亿元、运维与技术服务0.5542亿元，这些混合收入主要对应行业指挥和数字化项目，不能因名称含“通信”就全部认作光通信，也没有可拆分的光网络工程收入。旧“光纤光缆”与公司产品不符，卫星信关站或地面系统项目同样不能跨概念证明光纤光缆业务，故摘除光通信标签；其他商业航天分类不在本次处理范围。</t>
        </is>
      </c>
      <c r="J6" s="7" t="inlineStr">
        <is>
          <t>长江通信2025年年度报告</t>
        </is>
      </c>
      <c r="K6" s="7" t="inlineStr">
        <is>
          <t>2026-04-28</t>
        </is>
      </c>
      <c r="L6" s="8" t="inlineStr">
        <is>
          <t>iFinD ifind_get_stock_info + ifind_get_stock_business_segmentation (as of 2026-10-27)；长江通信2025年年度报告</t>
        </is>
      </c>
      <c r="M6" s="9" t="inlineStr">
        <is>
          <t>https://static.cninfo.com.cn/finalpage/2026-04-28/1225209052.PDF</t>
        </is>
      </c>
    </row>
    <row r="7" ht="104" customHeight="1">
      <c r="B7" s="4" t="inlineStr">
        <is>
          <t>603330</t>
        </is>
      </c>
      <c r="C7" s="4" t="inlineStr">
        <is>
          <t>天洋新材</t>
        </is>
      </c>
      <c r="D7" s="5" t="inlineStr">
        <is>
          <t>光通信：光材料</t>
        </is>
      </c>
      <c r="E7" s="4" t="inlineStr">
        <is>
          <t>摘除</t>
        </is>
      </c>
      <c r="F7" s="4" t="inlineStr">
        <is>
          <t>—</t>
        </is>
      </c>
      <c r="G7" s="5" t="inlineStr">
        <is>
          <t>—</t>
        </is>
      </c>
      <c r="H7" s="4" t="inlineStr">
        <is>
          <t>摘除</t>
        </is>
      </c>
      <c r="I7" s="5" t="inlineStr">
        <is>
          <t>公司主营是纺织和汽车用热熔胶、电子级胶黏剂、光伏封装胶膜及环保墙布。2025年热熔胶收入4.0996亿元、反应型胶黏剂1.7218亿元、光伏封装胶膜1.9316亿元；工业领域收入占90.0853%，但工业领域并不等于光通信。年报所列电子胶主要用于电路板保护、电池组装、电子器件结构粘接、电机组装，并披露新拓展半导体、汽车电子和储能导热应用，全文未核验到光通信、光模块或CPO产品、订单、供货和收入披露。通用环氧、丙烯酸或有机硅胶理论上可用于多种电子封装，不能据此认定光通信封装胶材。旧“光材料”及CPO联想缺乏真实业务支撑，故摘除，而不是把反应型胶黏剂收入全部归入光通信。</t>
        </is>
      </c>
      <c r="J7" s="4" t="inlineStr">
        <is>
          <t>2025年年度报告</t>
        </is>
      </c>
      <c r="K7" s="4" t="inlineStr">
        <is>
          <t>2026-04-23</t>
        </is>
      </c>
      <c r="L7" s="5" t="inlineStr">
        <is>
          <t>iFinD ifind_get_stock_info + ifind_get_stock_business_segmentation (as of 2026-10-27)；2025年年度报告</t>
        </is>
      </c>
      <c r="M7" s="6" t="inlineStr">
        <is>
          <t>https://static.cninfo.com.cn/finalpage/2026-04-23/1225148563.PDF</t>
        </is>
      </c>
    </row>
  </sheetData>
  <autoFilter ref="B4:M7"/>
  <mergeCells count="2">
    <mergeCell ref="B3:M3"/>
    <mergeCell ref="B2:M2"/>
  </mergeCell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sheetData>
    <row r="1">
      <c r="A1" t="inlineStr">
        <is>
          <t>一级分类</t>
        </is>
      </c>
      <c r="B1" t="inlineStr">
        <is>
          <t>二级概念</t>
        </is>
      </c>
      <c r="C1" t="inlineStr">
        <is>
          <t>判词</t>
        </is>
      </c>
      <c r="D1" t="inlineStr">
        <is>
          <t>代码</t>
        </is>
      </c>
      <c r="E1" t="inlineStr">
        <is>
          <t>名称</t>
        </is>
      </c>
    </row>
    <row r="2">
      <c r="A2" t="inlineStr">
        <is>
          <t>光通信</t>
        </is>
      </c>
      <c r="B2" t="inlineStr">
        <is>
          <t>光缆与线缆</t>
        </is>
      </c>
      <c r="C2" t="inlineStr">
        <is>
          <t>核心</t>
        </is>
      </c>
      <c r="D2" t="inlineStr">
        <is>
          <t>000070</t>
        </is>
      </c>
      <c r="E2" t="inlineStr">
        <is>
          <t>特发信息</t>
        </is>
      </c>
    </row>
    <row r="3">
      <c r="A3" t="inlineStr">
        <is>
          <t>光通信</t>
        </is>
      </c>
      <c r="B3" t="inlineStr">
        <is>
          <t>光纤预制棒与光纤</t>
        </is>
      </c>
      <c r="C3" t="inlineStr">
        <is>
          <t>核心</t>
        </is>
      </c>
      <c r="D3" t="inlineStr">
        <is>
          <t>000070</t>
        </is>
      </c>
      <c r="E3" t="inlineStr">
        <is>
          <t>特发信息</t>
        </is>
      </c>
    </row>
    <row r="4">
      <c r="A4" t="inlineStr">
        <is>
          <t>光通信</t>
        </is>
      </c>
      <c r="B4" t="inlineStr">
        <is>
          <t>光缆与线缆</t>
        </is>
      </c>
      <c r="C4" t="inlineStr">
        <is>
          <t>核心</t>
        </is>
      </c>
      <c r="D4" t="inlineStr">
        <is>
          <t>000586</t>
        </is>
      </c>
      <c r="E4" t="inlineStr">
        <is>
          <t>汇源通信</t>
        </is>
      </c>
    </row>
    <row r="5">
      <c r="A5" t="inlineStr">
        <is>
          <t>光通信</t>
        </is>
      </c>
      <c r="B5" t="inlineStr">
        <is>
          <t>光纤预制棒与光纤</t>
        </is>
      </c>
      <c r="C5" t="inlineStr">
        <is>
          <t>核心</t>
        </is>
      </c>
      <c r="D5" t="inlineStr">
        <is>
          <t>000586</t>
        </is>
      </c>
      <c r="E5" t="inlineStr">
        <is>
          <t>汇源通信</t>
        </is>
      </c>
    </row>
    <row r="6">
      <c r="A6" t="inlineStr">
        <is>
          <t>光通信</t>
        </is>
      </c>
      <c r="B6" t="inlineStr">
        <is>
          <t>光模块-数通与AI算力</t>
        </is>
      </c>
      <c r="C6" t="inlineStr">
        <is>
          <t>核心</t>
        </is>
      </c>
      <c r="D6" t="inlineStr">
        <is>
          <t>000988</t>
        </is>
      </c>
      <c r="E6" t="inlineStr">
        <is>
          <t>华工科技</t>
        </is>
      </c>
    </row>
    <row r="7">
      <c r="A7" t="inlineStr">
        <is>
          <t>光通信</t>
        </is>
      </c>
      <c r="B7" t="inlineStr">
        <is>
          <t>光模块-电信与传输</t>
        </is>
      </c>
      <c r="C7" t="inlineStr">
        <is>
          <t>核心</t>
        </is>
      </c>
      <c r="D7" t="inlineStr">
        <is>
          <t>000988</t>
        </is>
      </c>
      <c r="E7" t="inlineStr">
        <is>
          <t>华工科技</t>
        </is>
      </c>
    </row>
    <row r="8">
      <c r="A8" t="inlineStr">
        <is>
          <t>光通信</t>
        </is>
      </c>
      <c r="B8" t="inlineStr">
        <is>
          <t>CPO与硅光集成</t>
        </is>
      </c>
      <c r="C8" t="inlineStr">
        <is>
          <t>核心</t>
        </is>
      </c>
      <c r="D8" t="inlineStr">
        <is>
          <t>000988</t>
        </is>
      </c>
      <c r="E8" t="inlineStr">
        <is>
          <t>华工科技</t>
        </is>
      </c>
    </row>
    <row r="9">
      <c r="A9" t="inlineStr">
        <is>
          <t>光通信</t>
        </is>
      </c>
      <c r="B9" t="inlineStr">
        <is>
          <t>光连接器与陶瓷插芯</t>
        </is>
      </c>
      <c r="C9" t="inlineStr">
        <is>
          <t>核心</t>
        </is>
      </c>
      <c r="D9" t="inlineStr">
        <is>
          <t>002179</t>
        </is>
      </c>
      <c r="E9" t="inlineStr">
        <is>
          <t>中航光电</t>
        </is>
      </c>
    </row>
    <row r="10">
      <c r="A10" t="inlineStr">
        <is>
          <t>光通信</t>
        </is>
      </c>
      <c r="B10" t="inlineStr">
        <is>
          <t>光模块-数通与AI算力</t>
        </is>
      </c>
      <c r="C10" t="inlineStr">
        <is>
          <t>核心</t>
        </is>
      </c>
      <c r="D10" t="inlineStr">
        <is>
          <t>002281</t>
        </is>
      </c>
      <c r="E10" t="inlineStr">
        <is>
          <t>光迅科技</t>
        </is>
      </c>
    </row>
    <row r="11">
      <c r="A11" t="inlineStr">
        <is>
          <t>光通信</t>
        </is>
      </c>
      <c r="B11" t="inlineStr">
        <is>
          <t>光模块-电信与传输</t>
        </is>
      </c>
      <c r="C11" t="inlineStr">
        <is>
          <t>核心</t>
        </is>
      </c>
      <c r="D11" t="inlineStr">
        <is>
          <t>002281</t>
        </is>
      </c>
      <c r="E11" t="inlineStr">
        <is>
          <t>光迅科技</t>
        </is>
      </c>
    </row>
    <row r="12">
      <c r="A12" t="inlineStr">
        <is>
          <t>光通信</t>
        </is>
      </c>
      <c r="B12" t="inlineStr">
        <is>
          <t>光器件-无源器件</t>
        </is>
      </c>
      <c r="C12" t="inlineStr">
        <is>
          <t>核心</t>
        </is>
      </c>
      <c r="D12" t="inlineStr">
        <is>
          <t>002281</t>
        </is>
      </c>
      <c r="E12" t="inlineStr">
        <is>
          <t>光迅科技</t>
        </is>
      </c>
    </row>
    <row r="13">
      <c r="A13" t="inlineStr">
        <is>
          <t>光通信</t>
        </is>
      </c>
      <c r="B13" t="inlineStr">
        <is>
          <t>CPO与硅光集成</t>
        </is>
      </c>
      <c r="C13" t="inlineStr">
        <is>
          <t>核心</t>
        </is>
      </c>
      <c r="D13" t="inlineStr">
        <is>
          <t>002281</t>
        </is>
      </c>
      <c r="E13" t="inlineStr">
        <is>
          <t>光迅科技</t>
        </is>
      </c>
    </row>
    <row r="14">
      <c r="A14" t="inlineStr">
        <is>
          <t>光通信</t>
        </is>
      </c>
      <c r="B14" t="inlineStr">
        <is>
          <t>光模块-数通与AI算力</t>
        </is>
      </c>
      <c r="C14" t="inlineStr">
        <is>
          <t>核心</t>
        </is>
      </c>
      <c r="D14" t="inlineStr">
        <is>
          <t>002384</t>
        </is>
      </c>
      <c r="E14" t="inlineStr">
        <is>
          <t>东山精密</t>
        </is>
      </c>
    </row>
    <row r="15">
      <c r="A15" t="inlineStr">
        <is>
          <t>光通信</t>
        </is>
      </c>
      <c r="B15" t="inlineStr">
        <is>
          <t>光模块-电信与传输</t>
        </is>
      </c>
      <c r="C15" t="inlineStr">
        <is>
          <t>核心</t>
        </is>
      </c>
      <c r="D15" t="inlineStr">
        <is>
          <t>002384</t>
        </is>
      </c>
      <c r="E15" t="inlineStr">
        <is>
          <t>东山精密</t>
        </is>
      </c>
    </row>
    <row r="16">
      <c r="A16" t="inlineStr">
        <is>
          <t>光通信</t>
        </is>
      </c>
      <c r="B16" t="inlineStr">
        <is>
          <t>光芯片-激光器与探测器</t>
        </is>
      </c>
      <c r="C16" t="inlineStr">
        <is>
          <t>核心</t>
        </is>
      </c>
      <c r="D16" t="inlineStr">
        <is>
          <t>002384</t>
        </is>
      </c>
      <c r="E16" t="inlineStr">
        <is>
          <t>东山精密</t>
        </is>
      </c>
    </row>
    <row r="17">
      <c r="A17" t="inlineStr">
        <is>
          <t>光通信</t>
        </is>
      </c>
      <c r="B17" t="inlineStr">
        <is>
          <t>光通信材料-光学与晶体</t>
        </is>
      </c>
      <c r="C17" t="inlineStr">
        <is>
          <t>核心</t>
        </is>
      </c>
      <c r="D17" t="inlineStr">
        <is>
          <t>002428</t>
        </is>
      </c>
      <c r="E17" t="inlineStr">
        <is>
          <t>云南锗业</t>
        </is>
      </c>
    </row>
    <row r="18">
      <c r="A18" t="inlineStr">
        <is>
          <t>光通信</t>
        </is>
      </c>
      <c r="B18" t="inlineStr">
        <is>
          <t>光纤预制棒与光纤</t>
        </is>
      </c>
      <c r="C18" t="inlineStr">
        <is>
          <t>相关</t>
        </is>
      </c>
      <c r="D18" t="inlineStr">
        <is>
          <t>002491</t>
        </is>
      </c>
      <c r="E18" t="inlineStr">
        <is>
          <t>通鼎互联</t>
        </is>
      </c>
    </row>
    <row r="19">
      <c r="A19" t="inlineStr">
        <is>
          <t>光通信</t>
        </is>
      </c>
      <c r="B19" t="inlineStr">
        <is>
          <t>光缆与线缆</t>
        </is>
      </c>
      <c r="C19" t="inlineStr">
        <is>
          <t>相关</t>
        </is>
      </c>
      <c r="D19" t="inlineStr">
        <is>
          <t>002491</t>
        </is>
      </c>
      <c r="E19" t="inlineStr">
        <is>
          <t>通鼎互联</t>
        </is>
      </c>
    </row>
    <row r="20">
      <c r="A20" t="inlineStr">
        <is>
          <t>光通信</t>
        </is>
      </c>
      <c r="B20" t="inlineStr">
        <is>
          <t>光缆与线缆</t>
        </is>
      </c>
      <c r="C20" t="inlineStr">
        <is>
          <t>核心</t>
        </is>
      </c>
      <c r="D20" t="inlineStr">
        <is>
          <t>300265</t>
        </is>
      </c>
      <c r="E20" t="inlineStr">
        <is>
          <t>通光线缆</t>
        </is>
      </c>
    </row>
    <row r="21">
      <c r="A21" t="inlineStr">
        <is>
          <t>光通信</t>
        </is>
      </c>
      <c r="B21" t="inlineStr">
        <is>
          <t>光纤预制棒与光纤</t>
        </is>
      </c>
      <c r="C21" t="inlineStr">
        <is>
          <t>核心</t>
        </is>
      </c>
      <c r="D21" t="inlineStr">
        <is>
          <t>300265</t>
        </is>
      </c>
      <c r="E21" t="inlineStr">
        <is>
          <t>通光线缆</t>
        </is>
      </c>
    </row>
    <row r="22">
      <c r="A22" t="inlineStr">
        <is>
          <t>光通信</t>
        </is>
      </c>
      <c r="B22" t="inlineStr">
        <is>
          <t>MPO/MTP与高密度连接</t>
        </is>
      </c>
      <c r="C22" t="inlineStr">
        <is>
          <t>相关</t>
        </is>
      </c>
      <c r="D22" t="inlineStr">
        <is>
          <t>300292</t>
        </is>
      </c>
      <c r="E22" t="inlineStr">
        <is>
          <t>吴通控股</t>
        </is>
      </c>
    </row>
    <row r="23">
      <c r="A23" t="inlineStr">
        <is>
          <t>光通信</t>
        </is>
      </c>
      <c r="B23" t="inlineStr">
        <is>
          <t>光缆与线缆</t>
        </is>
      </c>
      <c r="C23" t="inlineStr">
        <is>
          <t>相关</t>
        </is>
      </c>
      <c r="D23" t="inlineStr">
        <is>
          <t>300292</t>
        </is>
      </c>
      <c r="E23" t="inlineStr">
        <is>
          <t>吴通控股</t>
        </is>
      </c>
    </row>
    <row r="24">
      <c r="A24" t="inlineStr">
        <is>
          <t>光通信</t>
        </is>
      </c>
      <c r="B24" t="inlineStr">
        <is>
          <t>光模块-数通与AI算力</t>
        </is>
      </c>
      <c r="C24" t="inlineStr">
        <is>
          <t>核心</t>
        </is>
      </c>
      <c r="D24" t="inlineStr">
        <is>
          <t>300308</t>
        </is>
      </c>
      <c r="E24" t="inlineStr">
        <is>
          <t>中际旭创</t>
        </is>
      </c>
    </row>
    <row r="25">
      <c r="A25" t="inlineStr">
        <is>
          <t>光通信</t>
        </is>
      </c>
      <c r="B25" t="inlineStr">
        <is>
          <t>光模块-电信与传输</t>
        </is>
      </c>
      <c r="C25" t="inlineStr">
        <is>
          <t>核心</t>
        </is>
      </c>
      <c r="D25" t="inlineStr">
        <is>
          <t>300308</t>
        </is>
      </c>
      <c r="E25" t="inlineStr">
        <is>
          <t>中际旭创</t>
        </is>
      </c>
    </row>
    <row r="26">
      <c r="A26" t="inlineStr">
        <is>
          <t>光通信</t>
        </is>
      </c>
      <c r="B26" t="inlineStr">
        <is>
          <t>CPO与硅光集成</t>
        </is>
      </c>
      <c r="C26" t="inlineStr">
        <is>
          <t>核心</t>
        </is>
      </c>
      <c r="D26" t="inlineStr">
        <is>
          <t>300308</t>
        </is>
      </c>
      <c r="E26" t="inlineStr">
        <is>
          <t>中际旭创</t>
        </is>
      </c>
    </row>
    <row r="27">
      <c r="A27" t="inlineStr">
        <is>
          <t>光通信</t>
        </is>
      </c>
      <c r="B27" t="inlineStr">
        <is>
          <t>MPO/MTP与高密度连接</t>
        </is>
      </c>
      <c r="C27" t="inlineStr">
        <is>
          <t>相关</t>
        </is>
      </c>
      <c r="D27" t="inlineStr">
        <is>
          <t>300351</t>
        </is>
      </c>
      <c r="E27" t="inlineStr">
        <is>
          <t>永贵电器</t>
        </is>
      </c>
    </row>
    <row r="28">
      <c r="A28" t="inlineStr">
        <is>
          <t>光通信</t>
        </is>
      </c>
      <c r="B28" t="inlineStr">
        <is>
          <t>光器件-无源器件</t>
        </is>
      </c>
      <c r="C28" t="inlineStr">
        <is>
          <t>核心</t>
        </is>
      </c>
      <c r="D28" t="inlineStr">
        <is>
          <t>300394</t>
        </is>
      </c>
      <c r="E28" t="inlineStr">
        <is>
          <t>天孚通信</t>
        </is>
      </c>
    </row>
    <row r="29">
      <c r="A29" t="inlineStr">
        <is>
          <t>光通信</t>
        </is>
      </c>
      <c r="B29" t="inlineStr">
        <is>
          <t>光器件-有源器件</t>
        </is>
      </c>
      <c r="C29" t="inlineStr">
        <is>
          <t>核心</t>
        </is>
      </c>
      <c r="D29" t="inlineStr">
        <is>
          <t>300394</t>
        </is>
      </c>
      <c r="E29" t="inlineStr">
        <is>
          <t>天孚通信</t>
        </is>
      </c>
    </row>
    <row r="30">
      <c r="A30" t="inlineStr">
        <is>
          <t>光通信</t>
        </is>
      </c>
      <c r="B30" t="inlineStr">
        <is>
          <t>CPO与硅光集成</t>
        </is>
      </c>
      <c r="C30" t="inlineStr">
        <is>
          <t>核心</t>
        </is>
      </c>
      <c r="D30" t="inlineStr">
        <is>
          <t>300394</t>
        </is>
      </c>
      <c r="E30" t="inlineStr">
        <is>
          <t>天孚通信</t>
        </is>
      </c>
    </row>
    <row r="31">
      <c r="A31" t="inlineStr">
        <is>
          <t>光通信</t>
        </is>
      </c>
      <c r="B31" t="inlineStr">
        <is>
          <t>光通信材料-封装与胶材</t>
        </is>
      </c>
      <c r="C31" t="inlineStr">
        <is>
          <t>核心</t>
        </is>
      </c>
      <c r="D31" t="inlineStr">
        <is>
          <t>300398</t>
        </is>
      </c>
      <c r="E31" t="inlineStr">
        <is>
          <t>飞凯材料</t>
        </is>
      </c>
    </row>
    <row r="32">
      <c r="A32" t="inlineStr">
        <is>
          <t>光通信</t>
        </is>
      </c>
      <c r="B32" t="inlineStr">
        <is>
          <t>光连接器与陶瓷插芯</t>
        </is>
      </c>
      <c r="C32" t="inlineStr">
        <is>
          <t>核心</t>
        </is>
      </c>
      <c r="D32" t="inlineStr">
        <is>
          <t>300408</t>
        </is>
      </c>
      <c r="E32" t="inlineStr">
        <is>
          <t>三环集团</t>
        </is>
      </c>
    </row>
    <row r="33">
      <c r="A33" t="inlineStr">
        <is>
          <t>光通信</t>
        </is>
      </c>
      <c r="B33" t="inlineStr">
        <is>
          <t>MPO/MTP与高密度连接</t>
        </is>
      </c>
      <c r="C33" t="inlineStr">
        <is>
          <t>核心</t>
        </is>
      </c>
      <c r="D33" t="inlineStr">
        <is>
          <t>300408</t>
        </is>
      </c>
      <c r="E33" t="inlineStr">
        <is>
          <t>三环集团</t>
        </is>
      </c>
    </row>
    <row r="34">
      <c r="A34" t="inlineStr">
        <is>
          <t>光通信</t>
        </is>
      </c>
      <c r="B34" t="inlineStr">
        <is>
          <t>光模块-数通与AI算力</t>
        </is>
      </c>
      <c r="C34" t="inlineStr">
        <is>
          <t>核心</t>
        </is>
      </c>
      <c r="D34" t="inlineStr">
        <is>
          <t>300502</t>
        </is>
      </c>
      <c r="E34" t="inlineStr">
        <is>
          <t>新易盛</t>
        </is>
      </c>
    </row>
    <row r="35">
      <c r="A35" t="inlineStr">
        <is>
          <t>光通信</t>
        </is>
      </c>
      <c r="B35" t="inlineStr">
        <is>
          <t>光模块-电信与传输</t>
        </is>
      </c>
      <c r="C35" t="inlineStr">
        <is>
          <t>核心</t>
        </is>
      </c>
      <c r="D35" t="inlineStr">
        <is>
          <t>300502</t>
        </is>
      </c>
      <c r="E35" t="inlineStr">
        <is>
          <t>新易盛</t>
        </is>
      </c>
    </row>
    <row r="36">
      <c r="A36" t="inlineStr">
        <is>
          <t>光通信</t>
        </is>
      </c>
      <c r="B36" t="inlineStr">
        <is>
          <t>CPO与硅光集成</t>
        </is>
      </c>
      <c r="C36" t="inlineStr">
        <is>
          <t>核心</t>
        </is>
      </c>
      <c r="D36" t="inlineStr">
        <is>
          <t>300502</t>
        </is>
      </c>
      <c r="E36" t="inlineStr">
        <is>
          <t>新易盛</t>
        </is>
      </c>
    </row>
    <row r="37">
      <c r="A37" t="inlineStr">
        <is>
          <t>光通信</t>
        </is>
      </c>
      <c r="B37" t="inlineStr">
        <is>
          <t>光模块-数通与AI算力</t>
        </is>
      </c>
      <c r="C37" t="inlineStr">
        <is>
          <t>核心</t>
        </is>
      </c>
      <c r="D37" t="inlineStr">
        <is>
          <t>300548</t>
        </is>
      </c>
      <c r="E37" t="inlineStr">
        <is>
          <t>长芯博创</t>
        </is>
      </c>
    </row>
    <row r="38">
      <c r="A38" t="inlineStr">
        <is>
          <t>光通信</t>
        </is>
      </c>
      <c r="B38" t="inlineStr">
        <is>
          <t>光模块-电信与传输</t>
        </is>
      </c>
      <c r="C38" t="inlineStr">
        <is>
          <t>核心</t>
        </is>
      </c>
      <c r="D38" t="inlineStr">
        <is>
          <t>300548</t>
        </is>
      </c>
      <c r="E38" t="inlineStr">
        <is>
          <t>长芯博创</t>
        </is>
      </c>
    </row>
    <row r="39">
      <c r="A39" t="inlineStr">
        <is>
          <t>光通信</t>
        </is>
      </c>
      <c r="B39" t="inlineStr">
        <is>
          <t>MPO/MTP与高密度连接</t>
        </is>
      </c>
      <c r="C39" t="inlineStr">
        <is>
          <t>核心</t>
        </is>
      </c>
      <c r="D39" t="inlineStr">
        <is>
          <t>300570</t>
        </is>
      </c>
      <c r="E39" t="inlineStr">
        <is>
          <t>太辰光</t>
        </is>
      </c>
    </row>
    <row r="40">
      <c r="A40" t="inlineStr">
        <is>
          <t>光通信</t>
        </is>
      </c>
      <c r="B40" t="inlineStr">
        <is>
          <t>光连接器与陶瓷插芯</t>
        </is>
      </c>
      <c r="C40" t="inlineStr">
        <is>
          <t>核心</t>
        </is>
      </c>
      <c r="D40" t="inlineStr">
        <is>
          <t>300570</t>
        </is>
      </c>
      <c r="E40" t="inlineStr">
        <is>
          <t>太辰光</t>
        </is>
      </c>
    </row>
    <row r="41">
      <c r="A41" t="inlineStr">
        <is>
          <t>光通信</t>
        </is>
      </c>
      <c r="B41" t="inlineStr">
        <is>
          <t>光芯片-PLC与AWG</t>
        </is>
      </c>
      <c r="C41" t="inlineStr">
        <is>
          <t>核心</t>
        </is>
      </c>
      <c r="D41" t="inlineStr">
        <is>
          <t>300570</t>
        </is>
      </c>
      <c r="E41" t="inlineStr">
        <is>
          <t>太辰光</t>
        </is>
      </c>
    </row>
    <row r="42">
      <c r="A42" t="inlineStr">
        <is>
          <t>光通信</t>
        </is>
      </c>
      <c r="B42" t="inlineStr">
        <is>
          <t>光器件-无源器件</t>
        </is>
      </c>
      <c r="C42" t="inlineStr">
        <is>
          <t>核心</t>
        </is>
      </c>
      <c r="D42" t="inlineStr">
        <is>
          <t>300570</t>
        </is>
      </c>
      <c r="E42" t="inlineStr">
        <is>
          <t>太辰光</t>
        </is>
      </c>
    </row>
    <row r="43">
      <c r="A43" t="inlineStr">
        <is>
          <t>光通信</t>
        </is>
      </c>
      <c r="B43" t="inlineStr">
        <is>
          <t>光器件-无源器件</t>
        </is>
      </c>
      <c r="C43" t="inlineStr">
        <is>
          <t>核心</t>
        </is>
      </c>
      <c r="D43" t="inlineStr">
        <is>
          <t>300620</t>
        </is>
      </c>
      <c r="E43" t="inlineStr">
        <is>
          <t>光库科技</t>
        </is>
      </c>
    </row>
    <row r="44">
      <c r="A44" t="inlineStr">
        <is>
          <t>光通信</t>
        </is>
      </c>
      <c r="B44" t="inlineStr">
        <is>
          <t>光器件-有源器件</t>
        </is>
      </c>
      <c r="C44" t="inlineStr">
        <is>
          <t>核心</t>
        </is>
      </c>
      <c r="D44" t="inlineStr">
        <is>
          <t>300620</t>
        </is>
      </c>
      <c r="E44" t="inlineStr">
        <is>
          <t>光库科技</t>
        </is>
      </c>
    </row>
    <row r="45">
      <c r="A45" t="inlineStr">
        <is>
          <t>光通信</t>
        </is>
      </c>
      <c r="B45" t="inlineStr">
        <is>
          <t>MPO/MTP与高密度连接</t>
        </is>
      </c>
      <c r="C45" t="inlineStr">
        <is>
          <t>核心</t>
        </is>
      </c>
      <c r="D45" t="inlineStr">
        <is>
          <t>300620</t>
        </is>
      </c>
      <c r="E45" t="inlineStr">
        <is>
          <t>光库科技</t>
        </is>
      </c>
    </row>
    <row r="46">
      <c r="A46" t="inlineStr">
        <is>
          <t>光通信</t>
        </is>
      </c>
      <c r="B46" t="inlineStr">
        <is>
          <t>CPO与硅光集成</t>
        </is>
      </c>
      <c r="C46" t="inlineStr">
        <is>
          <t>核心</t>
        </is>
      </c>
      <c r="D46" t="inlineStr">
        <is>
          <t>300620</t>
        </is>
      </c>
      <c r="E46" t="inlineStr">
        <is>
          <t>光库科技</t>
        </is>
      </c>
    </row>
    <row r="47">
      <c r="A47" t="inlineStr">
        <is>
          <t>光通信</t>
        </is>
      </c>
      <c r="B47" t="inlineStr">
        <is>
          <t>光通信设备-测试与生产</t>
        </is>
      </c>
      <c r="C47" t="inlineStr">
        <is>
          <t>核心</t>
        </is>
      </c>
      <c r="D47" t="inlineStr">
        <is>
          <t>300757</t>
        </is>
      </c>
      <c r="E47" t="inlineStr">
        <is>
          <t>罗博特科</t>
        </is>
      </c>
    </row>
    <row r="48">
      <c r="A48" t="inlineStr">
        <is>
          <t>光通信</t>
        </is>
      </c>
      <c r="B48" t="inlineStr">
        <is>
          <t>CPO与硅光集成</t>
        </is>
      </c>
      <c r="C48" t="inlineStr">
        <is>
          <t>核心</t>
        </is>
      </c>
      <c r="D48" t="inlineStr">
        <is>
          <t>300757</t>
        </is>
      </c>
      <c r="E48" t="inlineStr">
        <is>
          <t>罗博特科</t>
        </is>
      </c>
    </row>
    <row r="49">
      <c r="A49" t="inlineStr">
        <is>
          <t>光通信</t>
        </is>
      </c>
      <c r="B49" t="inlineStr">
        <is>
          <t>MPO/MTP与高密度连接</t>
        </is>
      </c>
      <c r="C49" t="inlineStr">
        <is>
          <t>相关</t>
        </is>
      </c>
      <c r="D49" t="inlineStr">
        <is>
          <t>301196</t>
        </is>
      </c>
      <c r="E49" t="inlineStr">
        <is>
          <t>唯科科技</t>
        </is>
      </c>
    </row>
    <row r="50">
      <c r="A50" t="inlineStr">
        <is>
          <t>光通信</t>
        </is>
      </c>
      <c r="B50" t="inlineStr">
        <is>
          <t>光通信配套-精密结构件</t>
        </is>
      </c>
      <c r="C50" t="inlineStr">
        <is>
          <t>相关</t>
        </is>
      </c>
      <c r="D50" t="inlineStr">
        <is>
          <t>301196</t>
        </is>
      </c>
      <c r="E50" t="inlineStr">
        <is>
          <t>唯科科技</t>
        </is>
      </c>
    </row>
    <row r="51">
      <c r="A51" t="inlineStr">
        <is>
          <t>光通信</t>
        </is>
      </c>
      <c r="B51" t="inlineStr">
        <is>
          <t>光模块-数通与AI算力</t>
        </is>
      </c>
      <c r="C51" t="inlineStr">
        <is>
          <t>核心</t>
        </is>
      </c>
      <c r="D51" t="inlineStr">
        <is>
          <t>301205</t>
        </is>
      </c>
      <c r="E51" t="inlineStr">
        <is>
          <t>联特科技</t>
        </is>
      </c>
    </row>
    <row r="52">
      <c r="A52" t="inlineStr">
        <is>
          <t>光通信</t>
        </is>
      </c>
      <c r="B52" t="inlineStr">
        <is>
          <t>光模块-电信与传输</t>
        </is>
      </c>
      <c r="C52" t="inlineStr">
        <is>
          <t>核心</t>
        </is>
      </c>
      <c r="D52" t="inlineStr">
        <is>
          <t>301205</t>
        </is>
      </c>
      <c r="E52" t="inlineStr">
        <is>
          <t>联特科技</t>
        </is>
      </c>
    </row>
    <row r="53">
      <c r="A53" t="inlineStr">
        <is>
          <t>光通信</t>
        </is>
      </c>
      <c r="B53" t="inlineStr">
        <is>
          <t>光纤预制棒与光纤</t>
        </is>
      </c>
      <c r="C53" t="inlineStr">
        <is>
          <t>核心</t>
        </is>
      </c>
      <c r="D53" t="inlineStr">
        <is>
          <t>600105</t>
        </is>
      </c>
      <c r="E53" t="inlineStr">
        <is>
          <t>永鼎股份</t>
        </is>
      </c>
    </row>
    <row r="54">
      <c r="A54" t="inlineStr">
        <is>
          <t>光通信</t>
        </is>
      </c>
      <c r="B54" t="inlineStr">
        <is>
          <t>光缆与线缆</t>
        </is>
      </c>
      <c r="C54" t="inlineStr">
        <is>
          <t>核心</t>
        </is>
      </c>
      <c r="D54" t="inlineStr">
        <is>
          <t>600105</t>
        </is>
      </c>
      <c r="E54" t="inlineStr">
        <is>
          <t>永鼎股份</t>
        </is>
      </c>
    </row>
    <row r="55">
      <c r="A55" t="inlineStr">
        <is>
          <t>光通信</t>
        </is>
      </c>
      <c r="B55" t="inlineStr">
        <is>
          <t>特种光纤与光纤环</t>
        </is>
      </c>
      <c r="C55" t="inlineStr">
        <is>
          <t>核心</t>
        </is>
      </c>
      <c r="D55" t="inlineStr">
        <is>
          <t>600105</t>
        </is>
      </c>
      <c r="E55" t="inlineStr">
        <is>
          <t>永鼎股份</t>
        </is>
      </c>
    </row>
    <row r="56">
      <c r="A56" t="inlineStr">
        <is>
          <t>光通信</t>
        </is>
      </c>
      <c r="B56" t="inlineStr">
        <is>
          <t>光通信材料-光学与晶体</t>
        </is>
      </c>
      <c r="C56" t="inlineStr">
        <is>
          <t>相关</t>
        </is>
      </c>
      <c r="D56" t="inlineStr">
        <is>
          <t>600330</t>
        </is>
      </c>
      <c r="E56" t="inlineStr">
        <is>
          <t>天通股份</t>
        </is>
      </c>
    </row>
    <row r="57">
      <c r="A57" t="inlineStr">
        <is>
          <t>光通信</t>
        </is>
      </c>
      <c r="B57" t="inlineStr">
        <is>
          <t>光纤预制棒与光纤</t>
        </is>
      </c>
      <c r="C57" t="inlineStr">
        <is>
          <t>核心</t>
        </is>
      </c>
      <c r="D57" t="inlineStr">
        <is>
          <t>600487</t>
        </is>
      </c>
      <c r="E57" t="inlineStr">
        <is>
          <t>亨通光电</t>
        </is>
      </c>
    </row>
    <row r="58">
      <c r="A58" t="inlineStr">
        <is>
          <t>光通信</t>
        </is>
      </c>
      <c r="B58" t="inlineStr">
        <is>
          <t>光缆与线缆</t>
        </is>
      </c>
      <c r="C58" t="inlineStr">
        <is>
          <t>核心</t>
        </is>
      </c>
      <c r="D58" t="inlineStr">
        <is>
          <t>600487</t>
        </is>
      </c>
      <c r="E58" t="inlineStr">
        <is>
          <t>亨通光电</t>
        </is>
      </c>
    </row>
    <row r="59">
      <c r="A59" t="inlineStr">
        <is>
          <t>光通信</t>
        </is>
      </c>
      <c r="B59" t="inlineStr">
        <is>
          <t>光传输与接入设备</t>
        </is>
      </c>
      <c r="C59" t="inlineStr">
        <is>
          <t>核心</t>
        </is>
      </c>
      <c r="D59" t="inlineStr">
        <is>
          <t>600487</t>
        </is>
      </c>
      <c r="E59" t="inlineStr">
        <is>
          <t>亨通光电</t>
        </is>
      </c>
    </row>
    <row r="60">
      <c r="A60" t="inlineStr">
        <is>
          <t>光通信</t>
        </is>
      </c>
      <c r="B60" t="inlineStr">
        <is>
          <t>光传输与接入设备</t>
        </is>
      </c>
      <c r="C60" t="inlineStr">
        <is>
          <t>核心</t>
        </is>
      </c>
      <c r="D60" t="inlineStr">
        <is>
          <t>600498</t>
        </is>
      </c>
      <c r="E60" t="inlineStr">
        <is>
          <t>烽火通信</t>
        </is>
      </c>
    </row>
    <row r="61">
      <c r="A61" t="inlineStr">
        <is>
          <t>光通信</t>
        </is>
      </c>
      <c r="B61" t="inlineStr">
        <is>
          <t>光纤预制棒与光纤</t>
        </is>
      </c>
      <c r="C61" t="inlineStr">
        <is>
          <t>核心</t>
        </is>
      </c>
      <c r="D61" t="inlineStr">
        <is>
          <t>600498</t>
        </is>
      </c>
      <c r="E61" t="inlineStr">
        <is>
          <t>烽火通信</t>
        </is>
      </c>
    </row>
    <row r="62">
      <c r="A62" t="inlineStr">
        <is>
          <t>光通信</t>
        </is>
      </c>
      <c r="B62" t="inlineStr">
        <is>
          <t>光缆与线缆</t>
        </is>
      </c>
      <c r="C62" t="inlineStr">
        <is>
          <t>核心</t>
        </is>
      </c>
      <c r="D62" t="inlineStr">
        <is>
          <t>600498</t>
        </is>
      </c>
      <c r="E62" t="inlineStr">
        <is>
          <t>烽火通信</t>
        </is>
      </c>
    </row>
    <row r="63">
      <c r="A63" t="inlineStr">
        <is>
          <t>光通信</t>
        </is>
      </c>
      <c r="B63" t="inlineStr">
        <is>
          <t>光纤预制棒与光纤</t>
        </is>
      </c>
      <c r="C63" t="inlineStr">
        <is>
          <t>核心</t>
        </is>
      </c>
      <c r="D63" t="inlineStr">
        <is>
          <t>600522</t>
        </is>
      </c>
      <c r="E63" t="inlineStr">
        <is>
          <t>中天科技</t>
        </is>
      </c>
    </row>
    <row r="64">
      <c r="A64" t="inlineStr">
        <is>
          <t>光通信</t>
        </is>
      </c>
      <c r="B64" t="inlineStr">
        <is>
          <t>光缆与线缆</t>
        </is>
      </c>
      <c r="C64" t="inlineStr">
        <is>
          <t>核心</t>
        </is>
      </c>
      <c r="D64" t="inlineStr">
        <is>
          <t>600522</t>
        </is>
      </c>
      <c r="E64" t="inlineStr">
        <is>
          <t>中天科技</t>
        </is>
      </c>
    </row>
    <row r="65">
      <c r="A65" t="inlineStr">
        <is>
          <t>光通信</t>
        </is>
      </c>
      <c r="B65" t="inlineStr">
        <is>
          <t>光纤预制棒与光纤</t>
        </is>
      </c>
      <c r="C65" t="inlineStr">
        <is>
          <t>核心</t>
        </is>
      </c>
      <c r="D65" t="inlineStr">
        <is>
          <t>601869</t>
        </is>
      </c>
      <c r="E65" t="inlineStr">
        <is>
          <t>长飞光纤</t>
        </is>
      </c>
    </row>
    <row r="66">
      <c r="A66" t="inlineStr">
        <is>
          <t>光通信</t>
        </is>
      </c>
      <c r="B66" t="inlineStr">
        <is>
          <t>光缆与线缆</t>
        </is>
      </c>
      <c r="C66" t="inlineStr">
        <is>
          <t>核心</t>
        </is>
      </c>
      <c r="D66" t="inlineStr">
        <is>
          <t>601869</t>
        </is>
      </c>
      <c r="E66" t="inlineStr">
        <is>
          <t>长飞光纤</t>
        </is>
      </c>
    </row>
    <row r="67">
      <c r="A67" t="inlineStr">
        <is>
          <t>光通信</t>
        </is>
      </c>
      <c r="B67" t="inlineStr">
        <is>
          <t>光器件-无源器件</t>
        </is>
      </c>
      <c r="C67" t="inlineStr">
        <is>
          <t>核心</t>
        </is>
      </c>
      <c r="D67" t="inlineStr">
        <is>
          <t>601869</t>
        </is>
      </c>
      <c r="E67" t="inlineStr">
        <is>
          <t>长飞光纤</t>
        </is>
      </c>
    </row>
    <row r="68">
      <c r="A68" t="inlineStr">
        <is>
          <t>光通信</t>
        </is>
      </c>
      <c r="B68" t="inlineStr">
        <is>
          <t>光模块-数通与AI算力</t>
        </is>
      </c>
      <c r="C68" t="inlineStr">
        <is>
          <t>核心</t>
        </is>
      </c>
      <c r="D68" t="inlineStr">
        <is>
          <t>601869</t>
        </is>
      </c>
      <c r="E68" t="inlineStr">
        <is>
          <t>长飞光纤</t>
        </is>
      </c>
    </row>
    <row r="69">
      <c r="A69" t="inlineStr">
        <is>
          <t>光通信</t>
        </is>
      </c>
      <c r="B69" t="inlineStr">
        <is>
          <t>MPO/MTP与高密度连接</t>
        </is>
      </c>
      <c r="C69" t="inlineStr">
        <is>
          <t>核心</t>
        </is>
      </c>
      <c r="D69" t="inlineStr">
        <is>
          <t>601869</t>
        </is>
      </c>
      <c r="E69" t="inlineStr">
        <is>
          <t>长飞光纤</t>
        </is>
      </c>
    </row>
    <row r="70">
      <c r="A70" t="inlineStr">
        <is>
          <t>光通信</t>
        </is>
      </c>
      <c r="B70" t="inlineStr">
        <is>
          <t>光缆与线缆</t>
        </is>
      </c>
      <c r="C70" t="inlineStr">
        <is>
          <t>核心</t>
        </is>
      </c>
      <c r="D70" t="inlineStr">
        <is>
          <t>603042</t>
        </is>
      </c>
      <c r="E70" t="inlineStr">
        <is>
          <t>华脉科技</t>
        </is>
      </c>
    </row>
    <row r="71">
      <c r="A71" t="inlineStr">
        <is>
          <t>光通信</t>
        </is>
      </c>
      <c r="B71" t="inlineStr">
        <is>
          <t>光器件-无源器件</t>
        </is>
      </c>
      <c r="C71" t="inlineStr">
        <is>
          <t>核心</t>
        </is>
      </c>
      <c r="D71" t="inlineStr">
        <is>
          <t>603042</t>
        </is>
      </c>
      <c r="E71" t="inlineStr">
        <is>
          <t>华脉科技</t>
        </is>
      </c>
    </row>
    <row r="72">
      <c r="A72" t="inlineStr">
        <is>
          <t>光通信</t>
        </is>
      </c>
      <c r="B72" t="inlineStr">
        <is>
          <t>光连接器与陶瓷插芯</t>
        </is>
      </c>
      <c r="C72" t="inlineStr">
        <is>
          <t>核心</t>
        </is>
      </c>
      <c r="D72" t="inlineStr">
        <is>
          <t>603042</t>
        </is>
      </c>
      <c r="E72" t="inlineStr">
        <is>
          <t>华脉科技</t>
        </is>
      </c>
    </row>
    <row r="73">
      <c r="A73" t="inlineStr">
        <is>
          <t>光通信</t>
        </is>
      </c>
      <c r="B73" t="inlineStr">
        <is>
          <t>光模块-数通与AI算力</t>
        </is>
      </c>
      <c r="C73" t="inlineStr">
        <is>
          <t>核心</t>
        </is>
      </c>
      <c r="D73" t="inlineStr">
        <is>
          <t>603083</t>
        </is>
      </c>
      <c r="E73" t="inlineStr">
        <is>
          <t>剑桥科技</t>
        </is>
      </c>
    </row>
    <row r="74">
      <c r="A74" t="inlineStr">
        <is>
          <t>光通信</t>
        </is>
      </c>
      <c r="B74" t="inlineStr">
        <is>
          <t>光模块-电信与传输</t>
        </is>
      </c>
      <c r="C74" t="inlineStr">
        <is>
          <t>核心</t>
        </is>
      </c>
      <c r="D74" t="inlineStr">
        <is>
          <t>603083</t>
        </is>
      </c>
      <c r="E74" t="inlineStr">
        <is>
          <t>剑桥科技</t>
        </is>
      </c>
    </row>
    <row r="75">
      <c r="A75" t="inlineStr">
        <is>
          <t>光通信</t>
        </is>
      </c>
      <c r="B75" t="inlineStr">
        <is>
          <t>光网络系统与工程服务</t>
        </is>
      </c>
      <c r="C75" t="inlineStr">
        <is>
          <t>核心</t>
        </is>
      </c>
      <c r="D75" t="inlineStr">
        <is>
          <t>603220</t>
        </is>
      </c>
      <c r="E75" t="inlineStr">
        <is>
          <t>中贝通信</t>
        </is>
      </c>
    </row>
    <row r="76">
      <c r="A76" t="inlineStr">
        <is>
          <t>光通信</t>
        </is>
      </c>
      <c r="B76" t="inlineStr">
        <is>
          <t>时钟晶振与频率器件</t>
        </is>
      </c>
      <c r="C76" t="inlineStr">
        <is>
          <t>相关</t>
        </is>
      </c>
      <c r="D76" t="inlineStr">
        <is>
          <t>603738</t>
        </is>
      </c>
      <c r="E76" t="inlineStr">
        <is>
          <t>泰晶科技</t>
        </is>
      </c>
    </row>
    <row r="77">
      <c r="A77" t="inlineStr">
        <is>
          <t>光通信</t>
        </is>
      </c>
      <c r="B77" t="inlineStr">
        <is>
          <t>MPO/MTP与高密度连接</t>
        </is>
      </c>
      <c r="C77" t="inlineStr">
        <is>
          <t>相关</t>
        </is>
      </c>
      <c r="D77" t="inlineStr">
        <is>
          <t>688025</t>
        </is>
      </c>
      <c r="E77" t="inlineStr">
        <is>
          <t>杰普特</t>
        </is>
      </c>
    </row>
    <row r="78">
      <c r="A78" t="inlineStr">
        <is>
          <t>光通信</t>
        </is>
      </c>
      <c r="B78" t="inlineStr">
        <is>
          <t>光器件-无源器件</t>
        </is>
      </c>
      <c r="C78" t="inlineStr">
        <is>
          <t>相关</t>
        </is>
      </c>
      <c r="D78" t="inlineStr">
        <is>
          <t>688025</t>
        </is>
      </c>
      <c r="E78" t="inlineStr">
        <is>
          <t>杰普特</t>
        </is>
      </c>
    </row>
    <row r="79">
      <c r="A79" t="inlineStr">
        <is>
          <t>光通信</t>
        </is>
      </c>
      <c r="B79" t="inlineStr">
        <is>
          <t>光通信设备-测试与生产</t>
        </is>
      </c>
      <c r="C79" t="inlineStr">
        <is>
          <t>相关</t>
        </is>
      </c>
      <c r="D79" t="inlineStr">
        <is>
          <t>688025</t>
        </is>
      </c>
      <c r="E79" t="inlineStr">
        <is>
          <t>杰普特</t>
        </is>
      </c>
    </row>
    <row r="80">
      <c r="A80" t="inlineStr">
        <is>
          <t>光通信</t>
        </is>
      </c>
      <c r="B80" t="inlineStr">
        <is>
          <t>光芯片-激光器与探测器</t>
        </is>
      </c>
      <c r="C80" t="inlineStr">
        <is>
          <t>相关</t>
        </is>
      </c>
      <c r="D80" t="inlineStr">
        <is>
          <t>688048</t>
        </is>
      </c>
      <c r="E80" t="inlineStr">
        <is>
          <t>长光华芯</t>
        </is>
      </c>
    </row>
    <row r="81">
      <c r="A81" t="inlineStr">
        <is>
          <t>光通信</t>
        </is>
      </c>
      <c r="B81" t="inlineStr">
        <is>
          <t>CPO与硅光集成</t>
        </is>
      </c>
      <c r="C81" t="inlineStr">
        <is>
          <t>相关</t>
        </is>
      </c>
      <c r="D81" t="inlineStr">
        <is>
          <t>688048</t>
        </is>
      </c>
      <c r="E81" t="inlineStr">
        <is>
          <t>长光华芯</t>
        </is>
      </c>
    </row>
    <row r="82">
      <c r="A82" t="inlineStr">
        <is>
          <t>光通信</t>
        </is>
      </c>
      <c r="B82" t="inlineStr">
        <is>
          <t>光通信设备-测试与生产</t>
        </is>
      </c>
      <c r="C82" t="inlineStr">
        <is>
          <t>相关</t>
        </is>
      </c>
      <c r="D82" t="inlineStr">
        <is>
          <t>688090</t>
        </is>
      </c>
      <c r="E82" t="inlineStr">
        <is>
          <t>瑞松科技</t>
        </is>
      </c>
    </row>
    <row r="83">
      <c r="A83" t="inlineStr">
        <is>
          <t>光通信</t>
        </is>
      </c>
      <c r="B83" t="inlineStr">
        <is>
          <t>特种光纤与光纤环</t>
        </is>
      </c>
      <c r="C83" t="inlineStr">
        <is>
          <t>相关</t>
        </is>
      </c>
      <c r="D83" t="inlineStr">
        <is>
          <t>688143</t>
        </is>
      </c>
      <c r="E83" t="inlineStr">
        <is>
          <t>长盈通</t>
        </is>
      </c>
    </row>
    <row r="84">
      <c r="A84" t="inlineStr">
        <is>
          <t>光通信</t>
        </is>
      </c>
      <c r="B84" t="inlineStr">
        <is>
          <t>光模块-电信与传输</t>
        </is>
      </c>
      <c r="C84" t="inlineStr">
        <is>
          <t>核心</t>
        </is>
      </c>
      <c r="D84" t="inlineStr">
        <is>
          <t>688205</t>
        </is>
      </c>
      <c r="E84" t="inlineStr">
        <is>
          <t>德科立</t>
        </is>
      </c>
    </row>
    <row r="85">
      <c r="A85" t="inlineStr">
        <is>
          <t>光通信</t>
        </is>
      </c>
      <c r="B85" t="inlineStr">
        <is>
          <t>光模块-数通与AI算力</t>
        </is>
      </c>
      <c r="C85" t="inlineStr">
        <is>
          <t>核心</t>
        </is>
      </c>
      <c r="D85" t="inlineStr">
        <is>
          <t>688205</t>
        </is>
      </c>
      <c r="E85" t="inlineStr">
        <is>
          <t>德科立</t>
        </is>
      </c>
    </row>
    <row r="86">
      <c r="A86" t="inlineStr">
        <is>
          <t>光通信</t>
        </is>
      </c>
      <c r="B86" t="inlineStr">
        <is>
          <t>光器件-有源器件</t>
        </is>
      </c>
      <c r="C86" t="inlineStr">
        <is>
          <t>核心</t>
        </is>
      </c>
      <c r="D86" t="inlineStr">
        <is>
          <t>688205</t>
        </is>
      </c>
      <c r="E86" t="inlineStr">
        <is>
          <t>德科立</t>
        </is>
      </c>
    </row>
    <row r="87">
      <c r="A87" t="inlineStr">
        <is>
          <t>光通信</t>
        </is>
      </c>
      <c r="B87" t="inlineStr">
        <is>
          <t>光传输与接入设备</t>
        </is>
      </c>
      <c r="C87" t="inlineStr">
        <is>
          <t>核心</t>
        </is>
      </c>
      <c r="D87" t="inlineStr">
        <is>
          <t>688205</t>
        </is>
      </c>
      <c r="E87" t="inlineStr">
        <is>
          <t>德科立</t>
        </is>
      </c>
    </row>
    <row r="88">
      <c r="A88" t="inlineStr">
        <is>
          <t>光通信</t>
        </is>
      </c>
      <c r="B88" t="inlineStr">
        <is>
          <t>光芯片-PLC与AWG</t>
        </is>
      </c>
      <c r="C88" t="inlineStr">
        <is>
          <t>核心</t>
        </is>
      </c>
      <c r="D88" t="inlineStr">
        <is>
          <t>688313</t>
        </is>
      </c>
      <c r="E88" t="inlineStr">
        <is>
          <t>仕佳光子</t>
        </is>
      </c>
    </row>
    <row r="89">
      <c r="A89" t="inlineStr">
        <is>
          <t>光通信</t>
        </is>
      </c>
      <c r="B89" t="inlineStr">
        <is>
          <t>光芯片-激光器与探测器</t>
        </is>
      </c>
      <c r="C89" t="inlineStr">
        <is>
          <t>核心</t>
        </is>
      </c>
      <c r="D89" t="inlineStr">
        <is>
          <t>688313</t>
        </is>
      </c>
      <c r="E89" t="inlineStr">
        <is>
          <t>仕佳光子</t>
        </is>
      </c>
    </row>
    <row r="90">
      <c r="A90" t="inlineStr">
        <is>
          <t>光通信</t>
        </is>
      </c>
      <c r="B90" t="inlineStr">
        <is>
          <t>光连接器与陶瓷插芯</t>
        </is>
      </c>
      <c r="C90" t="inlineStr">
        <is>
          <t>核心</t>
        </is>
      </c>
      <c r="D90" t="inlineStr">
        <is>
          <t>688313</t>
        </is>
      </c>
      <c r="E90" t="inlineStr">
        <is>
          <t>仕佳光子</t>
        </is>
      </c>
    </row>
    <row r="91">
      <c r="A91" t="inlineStr">
        <is>
          <t>光通信</t>
        </is>
      </c>
      <c r="B91" t="inlineStr">
        <is>
          <t>光缆与线缆</t>
        </is>
      </c>
      <c r="C91" t="inlineStr">
        <is>
          <t>核心</t>
        </is>
      </c>
      <c r="D91" t="inlineStr">
        <is>
          <t>688313</t>
        </is>
      </c>
      <c r="E91" t="inlineStr">
        <is>
          <t>仕佳光子</t>
        </is>
      </c>
    </row>
    <row r="92">
      <c r="A92" t="inlineStr">
        <is>
          <t>光通信</t>
        </is>
      </c>
      <c r="B92" t="inlineStr">
        <is>
          <t>光芯片-激光器与探测器</t>
        </is>
      </c>
      <c r="C92" t="inlineStr">
        <is>
          <t>核心</t>
        </is>
      </c>
      <c r="D92" t="inlineStr">
        <is>
          <t>688498</t>
        </is>
      </c>
      <c r="E92" t="inlineStr">
        <is>
          <t>源杰科技</t>
        </is>
      </c>
    </row>
    <row r="93">
      <c r="A93" t="inlineStr">
        <is>
          <t>光通信</t>
        </is>
      </c>
      <c r="B93" t="inlineStr">
        <is>
          <t>光连接器与陶瓷插芯</t>
        </is>
      </c>
      <c r="C93" t="inlineStr">
        <is>
          <t>相关</t>
        </is>
      </c>
      <c r="D93" t="inlineStr">
        <is>
          <t>688629</t>
        </is>
      </c>
      <c r="E93" t="inlineStr">
        <is>
          <t>华丰科技</t>
        </is>
      </c>
    </row>
    <row r="94">
      <c r="A94" t="inlineStr">
        <is>
          <t>光通信</t>
        </is>
      </c>
      <c r="B94" t="inlineStr">
        <is>
          <t>MPO/MTP与高密度连接</t>
        </is>
      </c>
      <c r="C94" t="inlineStr">
        <is>
          <t>相关</t>
        </is>
      </c>
      <c r="D94" t="inlineStr">
        <is>
          <t>688629</t>
        </is>
      </c>
      <c r="E94" t="inlineStr">
        <is>
          <t>华丰科技</t>
        </is>
      </c>
    </row>
    <row r="95">
      <c r="A95" t="inlineStr">
        <is>
          <t>光通信</t>
        </is>
      </c>
      <c r="B95" t="inlineStr">
        <is>
          <t>特种光纤与光纤环</t>
        </is>
      </c>
      <c r="C95" t="inlineStr">
        <is>
          <t>相关</t>
        </is>
      </c>
      <c r="D95" t="inlineStr">
        <is>
          <t>688635</t>
        </is>
      </c>
      <c r="E95" t="inlineStr">
        <is>
          <t>长进光子</t>
        </is>
      </c>
    </row>
    <row r="96">
      <c r="A96" t="inlineStr">
        <is>
          <t>光通信</t>
        </is>
      </c>
      <c r="B96" t="inlineStr">
        <is>
          <t>光器件-无源器件</t>
        </is>
      </c>
      <c r="C96" t="inlineStr">
        <is>
          <t>核心</t>
        </is>
      </c>
      <c r="D96" t="inlineStr">
        <is>
          <t>920045</t>
        </is>
      </c>
      <c r="E96" t="inlineStr">
        <is>
          <t>蘅东光</t>
        </is>
      </c>
    </row>
    <row r="97">
      <c r="A97" t="inlineStr">
        <is>
          <t>光通信</t>
        </is>
      </c>
      <c r="B97" t="inlineStr">
        <is>
          <t>MPO/MTP与高密度连接</t>
        </is>
      </c>
      <c r="C97" t="inlineStr">
        <is>
          <t>核心</t>
        </is>
      </c>
      <c r="D97" t="inlineStr">
        <is>
          <t>920045</t>
        </is>
      </c>
      <c r="E97" t="inlineStr">
        <is>
          <t>蘅东光</t>
        </is>
      </c>
    </row>
    <row r="98">
      <c r="A98" t="inlineStr">
        <is>
          <t>光通信</t>
        </is>
      </c>
      <c r="B98" t="inlineStr">
        <is>
          <t>光连接器与陶瓷插芯</t>
        </is>
      </c>
      <c r="C98" t="inlineStr">
        <is>
          <t>核心</t>
        </is>
      </c>
      <c r="D98" t="inlineStr">
        <is>
          <t>920045</t>
        </is>
      </c>
      <c r="E98" t="inlineStr">
        <is>
          <t>蘅东光</t>
        </is>
      </c>
    </row>
    <row r="99">
      <c r="A99" t="inlineStr">
        <is>
          <t>光通信</t>
        </is>
      </c>
      <c r="B99" t="inlineStr">
        <is>
          <t>CPO与硅光集成</t>
        </is>
      </c>
      <c r="C99" t="inlineStr">
        <is>
          <t>核心</t>
        </is>
      </c>
      <c r="D99" t="inlineStr">
        <is>
          <t>920045</t>
        </is>
      </c>
      <c r="E99" t="inlineStr">
        <is>
          <t>蘅东光</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outlineLevelCol="0"/>
  <cols>
    <col width="2" customWidth="1" min="1" max="1"/>
    <col width="18" customWidth="1" min="2" max="2"/>
    <col width="42" customWidth="1" min="3" max="3"/>
    <col width="18" customWidth="1" min="4" max="4"/>
    <col width="18" customWidth="1" min="5" max="5"/>
    <col width="18" customWidth="1" min="6" max="6"/>
  </cols>
  <sheetData>
    <row r="2" ht="32" customHeight="1">
      <c r="B2" s="1" t="inlineStr">
        <is>
          <t>概念统计 · 核心/相关分布</t>
        </is>
      </c>
    </row>
    <row r="3">
      <c r="B3" s="2" t="inlineStr">
        <is>
          <t>公式引用隐藏展开表精确计数；一只股票可对应多个概念。</t>
        </is>
      </c>
    </row>
    <row r="4">
      <c r="B4" s="10" t="inlineStr">
        <is>
          <t>一级分类</t>
        </is>
      </c>
      <c r="C4" s="10" t="inlineStr">
        <is>
          <t>二级概念</t>
        </is>
      </c>
      <c r="D4" s="10" t="inlineStr">
        <is>
          <t>核心（只）</t>
        </is>
      </c>
      <c r="E4" s="10" t="inlineStr">
        <is>
          <t>相关（只）</t>
        </is>
      </c>
      <c r="F4" s="10" t="inlineStr">
        <is>
          <t>合计（只）</t>
        </is>
      </c>
    </row>
    <row r="5">
      <c r="B5" t="inlineStr">
        <is>
          <t>光通信</t>
        </is>
      </c>
      <c r="C5" s="11" t="inlineStr">
        <is>
          <t>CPO与硅光集成</t>
        </is>
      </c>
      <c r="D5" s="12">
        <f>COUNTIFS('概念展开'!$A$2:$A$99,B5,'概念展开'!$B$2:$B$99,C5,'概念展开'!$C$2:$C$99,"核心")</f>
        <v/>
      </c>
      <c r="E5" s="12">
        <f>COUNTIFS('概念展开'!$A$2:$A$99,B5,'概念展开'!$B$2:$B$99,C5,'概念展开'!$C$2:$C$99,"相关")</f>
        <v/>
      </c>
      <c r="F5">
        <f>SUM(D5:E5)</f>
        <v/>
      </c>
    </row>
    <row r="6">
      <c r="B6" s="13" t="inlineStr">
        <is>
          <t>光通信</t>
        </is>
      </c>
      <c r="C6" s="14" t="inlineStr">
        <is>
          <t>MPO/MTP与高密度连接</t>
        </is>
      </c>
      <c r="D6" s="15">
        <f>COUNTIFS('概念展开'!$A$2:$A$99,B6,'概念展开'!$B$2:$B$99,C6,'概念展开'!$C$2:$C$99,"核心")</f>
        <v/>
      </c>
      <c r="E6" s="15">
        <f>COUNTIFS('概念展开'!$A$2:$A$99,B6,'概念展开'!$B$2:$B$99,C6,'概念展开'!$C$2:$C$99,"相关")</f>
        <v/>
      </c>
      <c r="F6" s="13">
        <f>SUM(D6:E6)</f>
        <v/>
      </c>
    </row>
    <row r="7">
      <c r="B7" t="inlineStr">
        <is>
          <t>光通信</t>
        </is>
      </c>
      <c r="C7" s="11" t="inlineStr">
        <is>
          <t>光传输与接入设备</t>
        </is>
      </c>
      <c r="D7" s="12">
        <f>COUNTIFS('概念展开'!$A$2:$A$99,B7,'概念展开'!$B$2:$B$99,C7,'概念展开'!$C$2:$C$99,"核心")</f>
        <v/>
      </c>
      <c r="E7" s="12">
        <f>COUNTIFS('概念展开'!$A$2:$A$99,B7,'概念展开'!$B$2:$B$99,C7,'概念展开'!$C$2:$C$99,"相关")</f>
        <v/>
      </c>
      <c r="F7">
        <f>SUM(D7:E7)</f>
        <v/>
      </c>
    </row>
    <row r="8">
      <c r="B8" s="13" t="inlineStr">
        <is>
          <t>光通信</t>
        </is>
      </c>
      <c r="C8" s="14" t="inlineStr">
        <is>
          <t>光器件-无源器件</t>
        </is>
      </c>
      <c r="D8" s="15">
        <f>COUNTIFS('概念展开'!$A$2:$A$99,B8,'概念展开'!$B$2:$B$99,C8,'概念展开'!$C$2:$C$99,"核心")</f>
        <v/>
      </c>
      <c r="E8" s="15">
        <f>COUNTIFS('概念展开'!$A$2:$A$99,B8,'概念展开'!$B$2:$B$99,C8,'概念展开'!$C$2:$C$99,"相关")</f>
        <v/>
      </c>
      <c r="F8" s="13">
        <f>SUM(D8:E8)</f>
        <v/>
      </c>
    </row>
    <row r="9">
      <c r="B9" t="inlineStr">
        <is>
          <t>光通信</t>
        </is>
      </c>
      <c r="C9" s="11" t="inlineStr">
        <is>
          <t>光器件-有源器件</t>
        </is>
      </c>
      <c r="D9" s="12">
        <f>COUNTIFS('概念展开'!$A$2:$A$99,B9,'概念展开'!$B$2:$B$99,C9,'概念展开'!$C$2:$C$99,"核心")</f>
        <v/>
      </c>
      <c r="E9" s="12">
        <f>COUNTIFS('概念展开'!$A$2:$A$99,B9,'概念展开'!$B$2:$B$99,C9,'概念展开'!$C$2:$C$99,"相关")</f>
        <v/>
      </c>
      <c r="F9">
        <f>SUM(D9:E9)</f>
        <v/>
      </c>
    </row>
    <row r="10">
      <c r="B10" s="13" t="inlineStr">
        <is>
          <t>光通信</t>
        </is>
      </c>
      <c r="C10" s="14" t="inlineStr">
        <is>
          <t>光模块-数通与AI算力</t>
        </is>
      </c>
      <c r="D10" s="15">
        <f>COUNTIFS('概念展开'!$A$2:$A$99,B10,'概念展开'!$B$2:$B$99,C10,'概念展开'!$C$2:$C$99,"核心")</f>
        <v/>
      </c>
      <c r="E10" s="15">
        <f>COUNTIFS('概念展开'!$A$2:$A$99,B10,'概念展开'!$B$2:$B$99,C10,'概念展开'!$C$2:$C$99,"相关")</f>
        <v/>
      </c>
      <c r="F10" s="13">
        <f>SUM(D10:E10)</f>
        <v/>
      </c>
    </row>
    <row r="11">
      <c r="B11" t="inlineStr">
        <is>
          <t>光通信</t>
        </is>
      </c>
      <c r="C11" s="11" t="inlineStr">
        <is>
          <t>光模块-电信与传输</t>
        </is>
      </c>
      <c r="D11" s="12">
        <f>COUNTIFS('概念展开'!$A$2:$A$99,B11,'概念展开'!$B$2:$B$99,C11,'概念展开'!$C$2:$C$99,"核心")</f>
        <v/>
      </c>
      <c r="E11" s="12">
        <f>COUNTIFS('概念展开'!$A$2:$A$99,B11,'概念展开'!$B$2:$B$99,C11,'概念展开'!$C$2:$C$99,"相关")</f>
        <v/>
      </c>
      <c r="F11">
        <f>SUM(D11:E11)</f>
        <v/>
      </c>
    </row>
    <row r="12">
      <c r="B12" s="13" t="inlineStr">
        <is>
          <t>光通信</t>
        </is>
      </c>
      <c r="C12" s="14" t="inlineStr">
        <is>
          <t>光纤预制棒与光纤</t>
        </is>
      </c>
      <c r="D12" s="15">
        <f>COUNTIFS('概念展开'!$A$2:$A$99,B12,'概念展开'!$B$2:$B$99,C12,'概念展开'!$C$2:$C$99,"核心")</f>
        <v/>
      </c>
      <c r="E12" s="15">
        <f>COUNTIFS('概念展开'!$A$2:$A$99,B12,'概念展开'!$B$2:$B$99,C12,'概念展开'!$C$2:$C$99,"相关")</f>
        <v/>
      </c>
      <c r="F12" s="13">
        <f>SUM(D12:E12)</f>
        <v/>
      </c>
    </row>
    <row r="13">
      <c r="B13" t="inlineStr">
        <is>
          <t>光通信</t>
        </is>
      </c>
      <c r="C13" s="11" t="inlineStr">
        <is>
          <t>光缆与线缆</t>
        </is>
      </c>
      <c r="D13" s="12">
        <f>COUNTIFS('概念展开'!$A$2:$A$99,B13,'概念展开'!$B$2:$B$99,C13,'概念展开'!$C$2:$C$99,"核心")</f>
        <v/>
      </c>
      <c r="E13" s="12">
        <f>COUNTIFS('概念展开'!$A$2:$A$99,B13,'概念展开'!$B$2:$B$99,C13,'概念展开'!$C$2:$C$99,"相关")</f>
        <v/>
      </c>
      <c r="F13">
        <f>SUM(D13:E13)</f>
        <v/>
      </c>
    </row>
    <row r="14">
      <c r="B14" s="13" t="inlineStr">
        <is>
          <t>光通信</t>
        </is>
      </c>
      <c r="C14" s="14" t="inlineStr">
        <is>
          <t>光网络系统与工程服务</t>
        </is>
      </c>
      <c r="D14" s="15">
        <f>COUNTIFS('概念展开'!$A$2:$A$99,B14,'概念展开'!$B$2:$B$99,C14,'概念展开'!$C$2:$C$99,"核心")</f>
        <v/>
      </c>
      <c r="E14" s="15">
        <f>COUNTIFS('概念展开'!$A$2:$A$99,B14,'概念展开'!$B$2:$B$99,C14,'概念展开'!$C$2:$C$99,"相关")</f>
        <v/>
      </c>
      <c r="F14" s="13">
        <f>SUM(D14:E14)</f>
        <v/>
      </c>
    </row>
    <row r="15">
      <c r="B15" t="inlineStr">
        <is>
          <t>光通信</t>
        </is>
      </c>
      <c r="C15" s="11" t="inlineStr">
        <is>
          <t>光芯片-PLC与AWG</t>
        </is>
      </c>
      <c r="D15" s="12">
        <f>COUNTIFS('概念展开'!$A$2:$A$99,B15,'概念展开'!$B$2:$B$99,C15,'概念展开'!$C$2:$C$99,"核心")</f>
        <v/>
      </c>
      <c r="E15" s="12">
        <f>COUNTIFS('概念展开'!$A$2:$A$99,B15,'概念展开'!$B$2:$B$99,C15,'概念展开'!$C$2:$C$99,"相关")</f>
        <v/>
      </c>
      <c r="F15">
        <f>SUM(D15:E15)</f>
        <v/>
      </c>
    </row>
    <row r="16">
      <c r="B16" s="13" t="inlineStr">
        <is>
          <t>光通信</t>
        </is>
      </c>
      <c r="C16" s="14" t="inlineStr">
        <is>
          <t>光芯片-激光器与探测器</t>
        </is>
      </c>
      <c r="D16" s="15">
        <f>COUNTIFS('概念展开'!$A$2:$A$99,B16,'概念展开'!$B$2:$B$99,C16,'概念展开'!$C$2:$C$99,"核心")</f>
        <v/>
      </c>
      <c r="E16" s="15">
        <f>COUNTIFS('概念展开'!$A$2:$A$99,B16,'概念展开'!$B$2:$B$99,C16,'概念展开'!$C$2:$C$99,"相关")</f>
        <v/>
      </c>
      <c r="F16" s="13">
        <f>SUM(D16:E16)</f>
        <v/>
      </c>
    </row>
    <row r="17">
      <c r="B17" t="inlineStr">
        <is>
          <t>光通信</t>
        </is>
      </c>
      <c r="C17" s="11" t="inlineStr">
        <is>
          <t>光连接器与陶瓷插芯</t>
        </is>
      </c>
      <c r="D17" s="12">
        <f>COUNTIFS('概念展开'!$A$2:$A$99,B17,'概念展开'!$B$2:$B$99,C17,'概念展开'!$C$2:$C$99,"核心")</f>
        <v/>
      </c>
      <c r="E17" s="12">
        <f>COUNTIFS('概念展开'!$A$2:$A$99,B17,'概念展开'!$B$2:$B$99,C17,'概念展开'!$C$2:$C$99,"相关")</f>
        <v/>
      </c>
      <c r="F17">
        <f>SUM(D17:E17)</f>
        <v/>
      </c>
    </row>
    <row r="18">
      <c r="B18" s="13" t="inlineStr">
        <is>
          <t>光通信</t>
        </is>
      </c>
      <c r="C18" s="14" t="inlineStr">
        <is>
          <t>光通信材料-光学与晶体</t>
        </is>
      </c>
      <c r="D18" s="15">
        <f>COUNTIFS('概念展开'!$A$2:$A$99,B18,'概念展开'!$B$2:$B$99,C18,'概念展开'!$C$2:$C$99,"核心")</f>
        <v/>
      </c>
      <c r="E18" s="15">
        <f>COUNTIFS('概念展开'!$A$2:$A$99,B18,'概念展开'!$B$2:$B$99,C18,'概念展开'!$C$2:$C$99,"相关")</f>
        <v/>
      </c>
      <c r="F18" s="13">
        <f>SUM(D18:E18)</f>
        <v/>
      </c>
    </row>
    <row r="19">
      <c r="B19" t="inlineStr">
        <is>
          <t>光通信</t>
        </is>
      </c>
      <c r="C19" s="11" t="inlineStr">
        <is>
          <t>光通信材料-封装与胶材</t>
        </is>
      </c>
      <c r="D19" s="12">
        <f>COUNTIFS('概念展开'!$A$2:$A$99,B19,'概念展开'!$B$2:$B$99,C19,'概念展开'!$C$2:$C$99,"核心")</f>
        <v/>
      </c>
      <c r="E19" s="12">
        <f>COUNTIFS('概念展开'!$A$2:$A$99,B19,'概念展开'!$B$2:$B$99,C19,'概念展开'!$C$2:$C$99,"相关")</f>
        <v/>
      </c>
      <c r="F19">
        <f>SUM(D19:E19)</f>
        <v/>
      </c>
    </row>
    <row r="20">
      <c r="B20" s="13" t="inlineStr">
        <is>
          <t>光通信</t>
        </is>
      </c>
      <c r="C20" s="14" t="inlineStr">
        <is>
          <t>光通信设备-测试与生产</t>
        </is>
      </c>
      <c r="D20" s="15">
        <f>COUNTIFS('概念展开'!$A$2:$A$99,B20,'概念展开'!$B$2:$B$99,C20,'概念展开'!$C$2:$C$99,"核心")</f>
        <v/>
      </c>
      <c r="E20" s="15">
        <f>COUNTIFS('概念展开'!$A$2:$A$99,B20,'概念展开'!$B$2:$B$99,C20,'概念展开'!$C$2:$C$99,"相关")</f>
        <v/>
      </c>
      <c r="F20" s="13">
        <f>SUM(D20:E20)</f>
        <v/>
      </c>
    </row>
    <row r="21">
      <c r="B21" t="inlineStr">
        <is>
          <t>光通信</t>
        </is>
      </c>
      <c r="C21" s="11" t="inlineStr">
        <is>
          <t>光通信配套-精密结构件</t>
        </is>
      </c>
      <c r="D21" s="12">
        <f>COUNTIFS('概念展开'!$A$2:$A$99,B21,'概念展开'!$B$2:$B$99,C21,'概念展开'!$C$2:$C$99,"核心")</f>
        <v/>
      </c>
      <c r="E21" s="12">
        <f>COUNTIFS('概念展开'!$A$2:$A$99,B21,'概念展开'!$B$2:$B$99,C21,'概念展开'!$C$2:$C$99,"相关")</f>
        <v/>
      </c>
      <c r="F21">
        <f>SUM(D21:E21)</f>
        <v/>
      </c>
    </row>
    <row r="22">
      <c r="B22" s="13" t="inlineStr">
        <is>
          <t>光通信</t>
        </is>
      </c>
      <c r="C22" s="14" t="inlineStr">
        <is>
          <t>时钟晶振与频率器件</t>
        </is>
      </c>
      <c r="D22" s="15">
        <f>COUNTIFS('概念展开'!$A$2:$A$99,B22,'概念展开'!$B$2:$B$99,C22,'概念展开'!$C$2:$C$99,"核心")</f>
        <v/>
      </c>
      <c r="E22" s="15">
        <f>COUNTIFS('概念展开'!$A$2:$A$99,B22,'概念展开'!$B$2:$B$99,C22,'概念展开'!$C$2:$C$99,"相关")</f>
        <v/>
      </c>
      <c r="F22" s="13">
        <f>SUM(D22:E22)</f>
        <v/>
      </c>
    </row>
    <row r="23">
      <c r="B23" t="inlineStr">
        <is>
          <t>光通信</t>
        </is>
      </c>
      <c r="C23" s="11" t="inlineStr">
        <is>
          <t>特种光纤与光纤环</t>
        </is>
      </c>
      <c r="D23" s="12">
        <f>COUNTIFS('概念展开'!$A$2:$A$99,B23,'概念展开'!$B$2:$B$99,C23,'概念展开'!$C$2:$C$99,"核心")</f>
        <v/>
      </c>
      <c r="E23" s="12">
        <f>COUNTIFS('概念展开'!$A$2:$A$99,B23,'概念展开'!$B$2:$B$99,C23,'概念展开'!$C$2:$C$99,"相关")</f>
        <v/>
      </c>
      <c r="F23">
        <f>SUM(D23:E23)</f>
        <v/>
      </c>
    </row>
    <row r="24">
      <c r="B24" s="16" t="inlineStr">
        <is>
          <t>合计（概念次数，非股票去重数）</t>
        </is>
      </c>
      <c r="D24" s="16">
        <f>SUM(D5:D23)</f>
        <v/>
      </c>
      <c r="E24" s="16">
        <f>SUM(E5:E23)</f>
        <v/>
      </c>
      <c r="F24" s="16">
        <f>SUM(F5:F23)</f>
        <v/>
      </c>
    </row>
  </sheetData>
  <autoFilter ref="B4:F23"/>
  <mergeCells count="2">
    <mergeCell ref="B2:F2"/>
    <mergeCell ref="B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2026-10-27T05:44:37Z</dcterms:created>
  <dcterms:modified xmlns:dcterms="http://purl.org/dc/terms/" xmlns:xsi="http://www.w3.org/2001/XMLSchema-instance" xsi:type="dcterms:W3CDTF">2026-10-27T05:44:39Z</dcterms:modified>
</cp:coreProperties>
</file>